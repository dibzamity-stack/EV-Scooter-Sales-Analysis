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ibza\Desktop\"/>
    </mc:Choice>
  </mc:AlternateContent>
  <xr:revisionPtr revIDLastSave="0" documentId="8_{BFBAB53E-42EB-4895-9D6B-1D4D8257FB8F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Raw_Data" sheetId="1" r:id="rId1"/>
    <sheet name="Cleaned Data" sheetId="2" r:id="rId2"/>
    <sheet name="Pivot_Salesperson_Performance" sheetId="9" r:id="rId3"/>
    <sheet name="Pivot_Channel_Performance" sheetId="8" r:id="rId4"/>
    <sheet name="Pivot_Segment _Performance" sheetId="7" r:id="rId5"/>
    <sheet name="Pivot_Brand_Performance" sheetId="6" r:id="rId6"/>
    <sheet name="Pivot_Montly_Sales" sheetId="5" r:id="rId7"/>
    <sheet name="DASHBOARD" sheetId="13" r:id="rId8"/>
  </sheets>
  <definedNames>
    <definedName name="_xlnm._FilterDatabase" localSheetId="1" hidden="1">'Cleaned Data'!$A$1:$X$701</definedName>
  </definedNames>
  <calcPr calcId="191028"/>
  <pivotCaches>
    <pivotCache cacheId="41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3" l="1"/>
  <c r="A9" i="13"/>
  <c r="A7" i="13"/>
  <c r="A5" i="13"/>
  <c r="A3" i="13"/>
  <c r="A1" i="13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Y701" i="2"/>
  <c r="Y700" i="2"/>
  <c r="Y699" i="2"/>
  <c r="Y698" i="2"/>
  <c r="Y697" i="2"/>
  <c r="Y696" i="2"/>
  <c r="Y695" i="2"/>
  <c r="Y694" i="2"/>
  <c r="Y693" i="2"/>
  <c r="Y692" i="2"/>
  <c r="Y691" i="2"/>
  <c r="Y690" i="2"/>
  <c r="Y689" i="2"/>
  <c r="Y688" i="2"/>
  <c r="Y687" i="2"/>
  <c r="Y686" i="2"/>
  <c r="Y685" i="2"/>
  <c r="Y684" i="2"/>
  <c r="Y683" i="2"/>
  <c r="Y682" i="2"/>
  <c r="Y681" i="2"/>
  <c r="Y680" i="2"/>
  <c r="Y679" i="2"/>
  <c r="Y678" i="2"/>
  <c r="Y677" i="2"/>
  <c r="Y676" i="2"/>
  <c r="Y675" i="2"/>
  <c r="Y674" i="2"/>
  <c r="Y673" i="2"/>
  <c r="Y672" i="2"/>
  <c r="Y671" i="2"/>
  <c r="Y670" i="2"/>
  <c r="Y669" i="2"/>
  <c r="Y668" i="2"/>
  <c r="Y667" i="2"/>
  <c r="Y666" i="2"/>
  <c r="Y665" i="2"/>
  <c r="Y664" i="2"/>
  <c r="Y663" i="2"/>
  <c r="Y662" i="2"/>
  <c r="Y661" i="2"/>
  <c r="Y660" i="2"/>
  <c r="Y659" i="2"/>
  <c r="Y658" i="2"/>
  <c r="Y657" i="2"/>
  <c r="Y656" i="2"/>
  <c r="Y655" i="2"/>
  <c r="Y654" i="2"/>
  <c r="Y653" i="2"/>
  <c r="Y652" i="2"/>
  <c r="Y651" i="2"/>
  <c r="Y650" i="2"/>
  <c r="Y649" i="2"/>
  <c r="Y648" i="2"/>
  <c r="Y647" i="2"/>
  <c r="Y646" i="2"/>
  <c r="Y645" i="2"/>
  <c r="Y644" i="2"/>
  <c r="Y643" i="2"/>
  <c r="Y642" i="2"/>
  <c r="Y641" i="2"/>
  <c r="Y640" i="2"/>
  <c r="Y639" i="2"/>
  <c r="Y638" i="2"/>
  <c r="Y637" i="2"/>
  <c r="Y636" i="2"/>
  <c r="Y635" i="2"/>
  <c r="Y634" i="2"/>
  <c r="Y633" i="2"/>
  <c r="Y632" i="2"/>
  <c r="Y631" i="2"/>
  <c r="Y630" i="2"/>
  <c r="Y629" i="2"/>
  <c r="Y628" i="2"/>
  <c r="Y627" i="2"/>
  <c r="Y626" i="2"/>
  <c r="Y625" i="2"/>
  <c r="Y624" i="2"/>
  <c r="Y623" i="2"/>
  <c r="Y622" i="2"/>
  <c r="Y621" i="2"/>
  <c r="Y620" i="2"/>
  <c r="Y619" i="2"/>
  <c r="Y618" i="2"/>
  <c r="Y617" i="2"/>
  <c r="Y616" i="2"/>
  <c r="Y615" i="2"/>
  <c r="Y614" i="2"/>
  <c r="Y613" i="2"/>
  <c r="Y612" i="2"/>
  <c r="Y611" i="2"/>
  <c r="Y610" i="2"/>
  <c r="Y609" i="2"/>
  <c r="Y608" i="2"/>
  <c r="Y607" i="2"/>
  <c r="Y606" i="2"/>
  <c r="Y605" i="2"/>
  <c r="Y604" i="2"/>
  <c r="Y603" i="2"/>
  <c r="Y602" i="2"/>
  <c r="Y601" i="2"/>
  <c r="Y600" i="2"/>
  <c r="Y599" i="2"/>
  <c r="Y598" i="2"/>
  <c r="Y597" i="2"/>
  <c r="Y596" i="2"/>
  <c r="Y595" i="2"/>
  <c r="Y594" i="2"/>
  <c r="Y593" i="2"/>
  <c r="Y592" i="2"/>
  <c r="Y591" i="2"/>
  <c r="Y590" i="2"/>
  <c r="Y589" i="2"/>
  <c r="Y588" i="2"/>
  <c r="Y587" i="2"/>
  <c r="Y586" i="2"/>
  <c r="Y585" i="2"/>
  <c r="Y584" i="2"/>
  <c r="Y583" i="2"/>
  <c r="Y582" i="2"/>
  <c r="Y581" i="2"/>
  <c r="Y580" i="2"/>
  <c r="Y579" i="2"/>
  <c r="Y578" i="2"/>
  <c r="Y577" i="2"/>
  <c r="Y576" i="2"/>
  <c r="Y575" i="2"/>
  <c r="Y574" i="2"/>
  <c r="Y573" i="2"/>
  <c r="Y572" i="2"/>
  <c r="Y571" i="2"/>
  <c r="Y570" i="2"/>
  <c r="Y569" i="2"/>
  <c r="Y568" i="2"/>
  <c r="Y567" i="2"/>
  <c r="Y566" i="2"/>
  <c r="Y565" i="2"/>
  <c r="Y564" i="2"/>
  <c r="Y563" i="2"/>
  <c r="Y562" i="2"/>
  <c r="Y561" i="2"/>
  <c r="Y560" i="2"/>
  <c r="Y559" i="2"/>
  <c r="Y558" i="2"/>
  <c r="Y557" i="2"/>
  <c r="Y556" i="2"/>
  <c r="Y555" i="2"/>
  <c r="Y554" i="2"/>
  <c r="Y553" i="2"/>
  <c r="Y552" i="2"/>
  <c r="Y551" i="2"/>
  <c r="Y550" i="2"/>
  <c r="Y549" i="2"/>
  <c r="Y548" i="2"/>
  <c r="Y547" i="2"/>
  <c r="Y546" i="2"/>
  <c r="Y545" i="2"/>
  <c r="Y544" i="2"/>
  <c r="Y543" i="2"/>
  <c r="Y542" i="2"/>
  <c r="Y541" i="2"/>
  <c r="Y540" i="2"/>
  <c r="Y539" i="2"/>
  <c r="Y538" i="2"/>
  <c r="Y537" i="2"/>
  <c r="Y536" i="2"/>
  <c r="Y535" i="2"/>
  <c r="Y534" i="2"/>
  <c r="Y533" i="2"/>
  <c r="Y532" i="2"/>
  <c r="Y531" i="2"/>
  <c r="Y530" i="2"/>
  <c r="Y529" i="2"/>
  <c r="Y528" i="2"/>
  <c r="Y527" i="2"/>
  <c r="Y526" i="2"/>
  <c r="Y525" i="2"/>
  <c r="Y524" i="2"/>
  <c r="Y523" i="2"/>
  <c r="Y522" i="2"/>
  <c r="Y521" i="2"/>
  <c r="Y520" i="2"/>
  <c r="Y519" i="2"/>
  <c r="Y518" i="2"/>
  <c r="Y517" i="2"/>
  <c r="Y516" i="2"/>
  <c r="Y515" i="2"/>
  <c r="Y514" i="2"/>
  <c r="Y513" i="2"/>
  <c r="Y512" i="2"/>
  <c r="Y511" i="2"/>
  <c r="Y510" i="2"/>
  <c r="Y509" i="2"/>
  <c r="Y508" i="2"/>
  <c r="Y507" i="2"/>
  <c r="Y506" i="2"/>
  <c r="Y505" i="2"/>
  <c r="Y504" i="2"/>
  <c r="Y503" i="2"/>
  <c r="Y502" i="2"/>
  <c r="Y501" i="2"/>
  <c r="Y500" i="2"/>
  <c r="Y499" i="2"/>
  <c r="Y498" i="2"/>
  <c r="Y497" i="2"/>
  <c r="Y496" i="2"/>
  <c r="Y495" i="2"/>
  <c r="Y494" i="2"/>
  <c r="Y493" i="2"/>
  <c r="Y492" i="2"/>
  <c r="Y491" i="2"/>
  <c r="Y490" i="2"/>
  <c r="Y489" i="2"/>
  <c r="Y488" i="2"/>
  <c r="Y487" i="2"/>
  <c r="Y486" i="2"/>
  <c r="Y485" i="2"/>
  <c r="Y484" i="2"/>
  <c r="Y483" i="2"/>
  <c r="Y482" i="2"/>
  <c r="Y481" i="2"/>
  <c r="Y480" i="2"/>
  <c r="Y479" i="2"/>
  <c r="Y478" i="2"/>
  <c r="Y477" i="2"/>
  <c r="Y476" i="2"/>
  <c r="Y475" i="2"/>
  <c r="Y474" i="2"/>
  <c r="Y473" i="2"/>
  <c r="Y472" i="2"/>
  <c r="Y471" i="2"/>
  <c r="Y470" i="2"/>
  <c r="Y469" i="2"/>
  <c r="Y468" i="2"/>
  <c r="Y467" i="2"/>
  <c r="Y466" i="2"/>
  <c r="Y465" i="2"/>
  <c r="Y464" i="2"/>
  <c r="Y463" i="2"/>
  <c r="Y462" i="2"/>
  <c r="Y461" i="2"/>
  <c r="Y460" i="2"/>
  <c r="Y459" i="2"/>
  <c r="Y458" i="2"/>
  <c r="Y457" i="2"/>
  <c r="Y456" i="2"/>
  <c r="Y455" i="2"/>
  <c r="Y454" i="2"/>
  <c r="Y453" i="2"/>
  <c r="Y452" i="2"/>
  <c r="Y451" i="2"/>
  <c r="Y450" i="2"/>
  <c r="Y449" i="2"/>
  <c r="Y448" i="2"/>
  <c r="Y447" i="2"/>
  <c r="Y446" i="2"/>
  <c r="Y445" i="2"/>
  <c r="Y444" i="2"/>
  <c r="Y443" i="2"/>
  <c r="Y442" i="2"/>
  <c r="Y441" i="2"/>
  <c r="Y440" i="2"/>
  <c r="Y439" i="2"/>
  <c r="Y438" i="2"/>
  <c r="Y437" i="2"/>
  <c r="Y436" i="2"/>
  <c r="Y435" i="2"/>
  <c r="Y434" i="2"/>
  <c r="Y433" i="2"/>
  <c r="Y432" i="2"/>
  <c r="Y431" i="2"/>
  <c r="Y430" i="2"/>
  <c r="Y429" i="2"/>
  <c r="Y428" i="2"/>
  <c r="Y427" i="2"/>
  <c r="Y426" i="2"/>
  <c r="Y425" i="2"/>
  <c r="Y424" i="2"/>
  <c r="Y423" i="2"/>
  <c r="Y422" i="2"/>
  <c r="Y421" i="2"/>
  <c r="Y420" i="2"/>
  <c r="Y419" i="2"/>
  <c r="Y418" i="2"/>
  <c r="Y417" i="2"/>
  <c r="Y416" i="2"/>
  <c r="Y415" i="2"/>
  <c r="Y414" i="2"/>
  <c r="Y413" i="2"/>
  <c r="Y412" i="2"/>
  <c r="Y411" i="2"/>
  <c r="Y410" i="2"/>
  <c r="Y409" i="2"/>
  <c r="Y408" i="2"/>
  <c r="Y407" i="2"/>
  <c r="Y406" i="2"/>
  <c r="Y405" i="2"/>
  <c r="Y404" i="2"/>
  <c r="Y403" i="2"/>
  <c r="Y402" i="2"/>
  <c r="Y401" i="2"/>
  <c r="Y400" i="2"/>
  <c r="Y399" i="2"/>
  <c r="Y398" i="2"/>
  <c r="Y397" i="2"/>
  <c r="Y396" i="2"/>
  <c r="Y395" i="2"/>
  <c r="Y394" i="2"/>
  <c r="Y393" i="2"/>
  <c r="Y392" i="2"/>
  <c r="Y391" i="2"/>
  <c r="Y390" i="2"/>
  <c r="Y389" i="2"/>
  <c r="Y388" i="2"/>
  <c r="Y387" i="2"/>
  <c r="Y386" i="2"/>
  <c r="Y385" i="2"/>
  <c r="Y384" i="2"/>
  <c r="Y383" i="2"/>
  <c r="Y382" i="2"/>
  <c r="Y381" i="2"/>
  <c r="Y380" i="2"/>
  <c r="Y379" i="2"/>
  <c r="Y378" i="2"/>
  <c r="Y377" i="2"/>
  <c r="Y376" i="2"/>
  <c r="Y375" i="2"/>
  <c r="Y374" i="2"/>
  <c r="Y373" i="2"/>
  <c r="Y372" i="2"/>
  <c r="Y371" i="2"/>
  <c r="Y370" i="2"/>
  <c r="Y369" i="2"/>
  <c r="Y368" i="2"/>
  <c r="Y367" i="2"/>
  <c r="Y366" i="2"/>
  <c r="Y365" i="2"/>
  <c r="Y364" i="2"/>
  <c r="Y363" i="2"/>
  <c r="Y362" i="2"/>
  <c r="Y361" i="2"/>
  <c r="Y360" i="2"/>
  <c r="Y359" i="2"/>
  <c r="Y358" i="2"/>
  <c r="Y357" i="2"/>
  <c r="Y356" i="2"/>
  <c r="Y355" i="2"/>
  <c r="Y354" i="2"/>
  <c r="Y353" i="2"/>
  <c r="Y352" i="2"/>
  <c r="Y351" i="2"/>
  <c r="Y350" i="2"/>
  <c r="Y349" i="2"/>
  <c r="Y348" i="2"/>
  <c r="Y347" i="2"/>
  <c r="Y346" i="2"/>
  <c r="Y345" i="2"/>
  <c r="Y344" i="2"/>
  <c r="Y343" i="2"/>
  <c r="Y342" i="2"/>
  <c r="Y341" i="2"/>
  <c r="Y340" i="2"/>
  <c r="Y339" i="2"/>
  <c r="Y338" i="2"/>
  <c r="Y337" i="2"/>
  <c r="Y336" i="2"/>
  <c r="Y335" i="2"/>
  <c r="Y334" i="2"/>
  <c r="Y333" i="2"/>
  <c r="Y332" i="2"/>
  <c r="Y331" i="2"/>
  <c r="Y330" i="2"/>
  <c r="Y329" i="2"/>
  <c r="Y328" i="2"/>
  <c r="Y327" i="2"/>
  <c r="Y326" i="2"/>
  <c r="Y325" i="2"/>
  <c r="Y324" i="2"/>
  <c r="Y323" i="2"/>
  <c r="Y322" i="2"/>
  <c r="Y321" i="2"/>
  <c r="Y320" i="2"/>
  <c r="Y319" i="2"/>
  <c r="Y318" i="2"/>
  <c r="Y317" i="2"/>
  <c r="Y316" i="2"/>
  <c r="Y315" i="2"/>
  <c r="Y314" i="2"/>
  <c r="Y313" i="2"/>
  <c r="Y312" i="2"/>
  <c r="Y311" i="2"/>
  <c r="Y310" i="2"/>
  <c r="Y309" i="2"/>
  <c r="Y308" i="2"/>
  <c r="Y307" i="2"/>
  <c r="Y306" i="2"/>
  <c r="Y305" i="2"/>
  <c r="Y304" i="2"/>
  <c r="Y303" i="2"/>
  <c r="Y302" i="2"/>
  <c r="Y301" i="2"/>
  <c r="Y300" i="2"/>
  <c r="Y299" i="2"/>
  <c r="Y298" i="2"/>
  <c r="Y297" i="2"/>
  <c r="Y296" i="2"/>
  <c r="Y295" i="2"/>
  <c r="Y294" i="2"/>
  <c r="Y293" i="2"/>
  <c r="Y292" i="2"/>
  <c r="Y291" i="2"/>
  <c r="Y290" i="2"/>
  <c r="Y289" i="2"/>
  <c r="Y288" i="2"/>
  <c r="Y287" i="2"/>
  <c r="Y286" i="2"/>
  <c r="Y285" i="2"/>
  <c r="Y284" i="2"/>
  <c r="Y283" i="2"/>
  <c r="Y282" i="2"/>
  <c r="Y281" i="2"/>
  <c r="Y280" i="2"/>
  <c r="Y279" i="2"/>
  <c r="Y278" i="2"/>
  <c r="Y277" i="2"/>
  <c r="Y276" i="2"/>
  <c r="Y275" i="2"/>
  <c r="Y274" i="2"/>
  <c r="Y273" i="2"/>
  <c r="Y272" i="2"/>
  <c r="Y271" i="2"/>
  <c r="Y270" i="2"/>
  <c r="Y269" i="2"/>
  <c r="Y268" i="2"/>
  <c r="Y267" i="2"/>
  <c r="Y266" i="2"/>
  <c r="Y265" i="2"/>
  <c r="Y264" i="2"/>
  <c r="Y263" i="2"/>
  <c r="Y262" i="2"/>
  <c r="Y261" i="2"/>
  <c r="Y260" i="2"/>
  <c r="Y259" i="2"/>
  <c r="Y258" i="2"/>
  <c r="Y257" i="2"/>
  <c r="Y256" i="2"/>
  <c r="Y255" i="2"/>
  <c r="Y254" i="2"/>
  <c r="Y253" i="2"/>
  <c r="Y252" i="2"/>
  <c r="Y251" i="2"/>
  <c r="Y250" i="2"/>
  <c r="Y249" i="2"/>
  <c r="Y248" i="2"/>
  <c r="Y247" i="2"/>
  <c r="Y246" i="2"/>
  <c r="Y245" i="2"/>
  <c r="Y244" i="2"/>
  <c r="Y243" i="2"/>
  <c r="Y242" i="2"/>
  <c r="Y241" i="2"/>
  <c r="Y240" i="2"/>
  <c r="Y239" i="2"/>
  <c r="Y238" i="2"/>
  <c r="Y237" i="2"/>
  <c r="Y236" i="2"/>
  <c r="Y235" i="2"/>
  <c r="Y234" i="2"/>
  <c r="Y233" i="2"/>
  <c r="Y232" i="2"/>
  <c r="Y231" i="2"/>
  <c r="Y230" i="2"/>
  <c r="Y229" i="2"/>
  <c r="Y228" i="2"/>
  <c r="Y227" i="2"/>
  <c r="Y226" i="2"/>
  <c r="Y225" i="2"/>
  <c r="Y224" i="2"/>
  <c r="Y223" i="2"/>
  <c r="Y222" i="2"/>
  <c r="Y221" i="2"/>
  <c r="Y220" i="2"/>
  <c r="Y219" i="2"/>
  <c r="Y218" i="2"/>
  <c r="Y217" i="2"/>
  <c r="Y216" i="2"/>
  <c r="Y215" i="2"/>
  <c r="Y214" i="2"/>
  <c r="Y213" i="2"/>
  <c r="Y212" i="2"/>
  <c r="Y211" i="2"/>
  <c r="Y210" i="2"/>
  <c r="Y209" i="2"/>
  <c r="Y208" i="2"/>
  <c r="Y207" i="2"/>
  <c r="Y206" i="2"/>
  <c r="Y205" i="2"/>
  <c r="Y204" i="2"/>
  <c r="Y203" i="2"/>
  <c r="Y202" i="2"/>
  <c r="Y201" i="2"/>
  <c r="Y200" i="2"/>
  <c r="Y199" i="2"/>
  <c r="Y198" i="2"/>
  <c r="Y197" i="2"/>
  <c r="Y196" i="2"/>
  <c r="Y195" i="2"/>
  <c r="Y194" i="2"/>
  <c r="Y193" i="2"/>
  <c r="Y192" i="2"/>
  <c r="Y191" i="2"/>
  <c r="Y190" i="2"/>
  <c r="Y189" i="2"/>
  <c r="Y188" i="2"/>
  <c r="Y187" i="2"/>
  <c r="Y186" i="2"/>
  <c r="Y185" i="2"/>
  <c r="Y184" i="2"/>
  <c r="Y183" i="2"/>
  <c r="Y182" i="2"/>
  <c r="Y181" i="2"/>
  <c r="Y180" i="2"/>
  <c r="Y179" i="2"/>
  <c r="Y178" i="2"/>
  <c r="Y177" i="2"/>
  <c r="Y176" i="2"/>
  <c r="Y175" i="2"/>
  <c r="Y174" i="2"/>
  <c r="Y173" i="2"/>
  <c r="Y172" i="2"/>
  <c r="Y171" i="2"/>
  <c r="Y170" i="2"/>
  <c r="Y169" i="2"/>
  <c r="Y168" i="2"/>
  <c r="Y167" i="2"/>
  <c r="Y166" i="2"/>
  <c r="Y165" i="2"/>
  <c r="Y164" i="2"/>
  <c r="Y163" i="2"/>
  <c r="Y162" i="2"/>
  <c r="Y161" i="2"/>
  <c r="Y160" i="2"/>
  <c r="Y159" i="2"/>
  <c r="Y158" i="2"/>
  <c r="Y157" i="2"/>
  <c r="Y156" i="2"/>
  <c r="Y155" i="2"/>
  <c r="Y154" i="2"/>
  <c r="Y153" i="2"/>
  <c r="Y152" i="2"/>
  <c r="Y151" i="2"/>
  <c r="Y150" i="2"/>
  <c r="Y149" i="2"/>
  <c r="Y148" i="2"/>
  <c r="Y147" i="2"/>
  <c r="Y146" i="2"/>
  <c r="Y145" i="2"/>
  <c r="Y144" i="2"/>
  <c r="Y143" i="2"/>
  <c r="Y142" i="2"/>
  <c r="Y141" i="2"/>
  <c r="Y140" i="2"/>
  <c r="Y139" i="2"/>
  <c r="Y138" i="2"/>
  <c r="Y137" i="2"/>
  <c r="Y136" i="2"/>
  <c r="Y135" i="2"/>
  <c r="Y134" i="2"/>
  <c r="Y133" i="2"/>
  <c r="Y132" i="2"/>
  <c r="Y131" i="2"/>
  <c r="Y130" i="2"/>
  <c r="Y129" i="2"/>
  <c r="Y128" i="2"/>
  <c r="Y127" i="2"/>
  <c r="Y126" i="2"/>
  <c r="Y125" i="2"/>
  <c r="Y124" i="2"/>
  <c r="Y123" i="2"/>
  <c r="Y122" i="2"/>
  <c r="Y121" i="2"/>
  <c r="Y120" i="2"/>
  <c r="Y119" i="2"/>
  <c r="Y118" i="2"/>
  <c r="Y117" i="2"/>
  <c r="Y116" i="2"/>
  <c r="Y115" i="2"/>
  <c r="Y114" i="2"/>
  <c r="Y113" i="2"/>
  <c r="Y112" i="2"/>
  <c r="Y111" i="2"/>
  <c r="Y110" i="2"/>
  <c r="Y109" i="2"/>
  <c r="Y108" i="2"/>
  <c r="Y107" i="2"/>
  <c r="Y106" i="2"/>
  <c r="Y105" i="2"/>
  <c r="Y104" i="2"/>
  <c r="Y103" i="2"/>
  <c r="Y102" i="2"/>
  <c r="Y101" i="2"/>
  <c r="Y100" i="2"/>
  <c r="Y99" i="2"/>
  <c r="Y98" i="2"/>
  <c r="Y97" i="2"/>
  <c r="Y96" i="2"/>
  <c r="Y95" i="2"/>
  <c r="Y94" i="2"/>
  <c r="Y93" i="2"/>
  <c r="Y92" i="2"/>
  <c r="Y91" i="2"/>
  <c r="Y90" i="2"/>
  <c r="Y89" i="2"/>
  <c r="Y88" i="2"/>
  <c r="Y87" i="2"/>
  <c r="Y86" i="2"/>
  <c r="Y85" i="2"/>
  <c r="Y84" i="2"/>
  <c r="Y83" i="2"/>
  <c r="Y82" i="2"/>
  <c r="Y81" i="2"/>
  <c r="Y80" i="2"/>
  <c r="Y79" i="2"/>
  <c r="Y78" i="2"/>
  <c r="Y77" i="2"/>
  <c r="Y76" i="2"/>
  <c r="Y75" i="2"/>
  <c r="Y74" i="2"/>
  <c r="Y73" i="2"/>
  <c r="Y72" i="2"/>
  <c r="Y71" i="2"/>
  <c r="Y70" i="2"/>
  <c r="Y69" i="2"/>
  <c r="Y68" i="2"/>
  <c r="Y67" i="2"/>
  <c r="Y66" i="2"/>
  <c r="Y65" i="2"/>
  <c r="Y64" i="2"/>
  <c r="Y63" i="2"/>
  <c r="Y62" i="2"/>
  <c r="Y61" i="2"/>
  <c r="Y60" i="2"/>
  <c r="Y59" i="2"/>
  <c r="Y58" i="2"/>
  <c r="Y57" i="2"/>
  <c r="Y56" i="2"/>
  <c r="Y55" i="2"/>
  <c r="Y54" i="2"/>
  <c r="Y53" i="2"/>
  <c r="Y52" i="2"/>
  <c r="Y51" i="2"/>
  <c r="Y50" i="2"/>
  <c r="Y49" i="2"/>
  <c r="Y48" i="2"/>
  <c r="Y47" i="2"/>
  <c r="Y46" i="2"/>
  <c r="Y45" i="2"/>
  <c r="Y44" i="2"/>
  <c r="Y43" i="2"/>
  <c r="Y42" i="2"/>
  <c r="Y41" i="2"/>
  <c r="Y40" i="2"/>
  <c r="Y39" i="2"/>
  <c r="Y38" i="2"/>
  <c r="Y37" i="2"/>
  <c r="Y36" i="2"/>
  <c r="Y35" i="2"/>
  <c r="Y34" i="2"/>
  <c r="Y33" i="2"/>
  <c r="Y32" i="2"/>
  <c r="Y31" i="2"/>
  <c r="Y30" i="2"/>
  <c r="Y29" i="2"/>
  <c r="Y28" i="2"/>
  <c r="Y27" i="2"/>
  <c r="Y26" i="2"/>
  <c r="Y25" i="2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</calcChain>
</file>

<file path=xl/sharedStrings.xml><?xml version="1.0" encoding="utf-8"?>
<sst xmlns="http://schemas.openxmlformats.org/spreadsheetml/2006/main" count="12857" uniqueCount="829">
  <si>
    <t>Order_ID</t>
  </si>
  <si>
    <t>Order_Date</t>
  </si>
  <si>
    <t>Brand</t>
  </si>
  <si>
    <t>Model</t>
  </si>
  <si>
    <t>Segment</t>
  </si>
  <si>
    <t>City</t>
  </si>
  <si>
    <t>Sales_Channel</t>
  </si>
  <si>
    <t>Payment_Method</t>
  </si>
  <si>
    <t>Color</t>
  </si>
  <si>
    <t>Salesperson_ID</t>
  </si>
  <si>
    <t>Units_Sold</t>
  </si>
  <si>
    <t>Unit_Price</t>
  </si>
  <si>
    <t>Discount_Pct</t>
  </si>
  <si>
    <t>Gross_Sales</t>
  </si>
  <si>
    <t>Discount_Amount</t>
  </si>
  <si>
    <t>Net_Sales</t>
  </si>
  <si>
    <t>Battery_kWh</t>
  </si>
  <si>
    <t>Range_km</t>
  </si>
  <si>
    <t>Customer_Rating</t>
  </si>
  <si>
    <t>Delivery_Days</t>
  </si>
  <si>
    <t>Warranty_Years</t>
  </si>
  <si>
    <t>EV10001</t>
  </si>
  <si>
    <t>Revolt</t>
  </si>
  <si>
    <t>RV1</t>
  </si>
  <si>
    <t>Premium</t>
  </si>
  <si>
    <t>Chennai</t>
  </si>
  <si>
    <t>Online</t>
  </si>
  <si>
    <t>Finance</t>
  </si>
  <si>
    <t>Green</t>
  </si>
  <si>
    <t>SP-002</t>
  </si>
  <si>
    <t>EV10002</t>
  </si>
  <si>
    <t>Vida</t>
  </si>
  <si>
    <t>V2</t>
  </si>
  <si>
    <t>Bengaluru</t>
  </si>
  <si>
    <t>Fleet</t>
  </si>
  <si>
    <t>EMI</t>
  </si>
  <si>
    <t>Red</t>
  </si>
  <si>
    <t>SP-025</t>
  </si>
  <si>
    <t>EV10003</t>
  </si>
  <si>
    <t>TVS</t>
  </si>
  <si>
    <t>iQube</t>
  </si>
  <si>
    <t>Hyderabad</t>
  </si>
  <si>
    <t>SP-007</t>
  </si>
  <si>
    <t>EV10004</t>
  </si>
  <si>
    <t>Bajaj</t>
  </si>
  <si>
    <t>Chetak Premium</t>
  </si>
  <si>
    <t>Commuter</t>
  </si>
  <si>
    <t>Mumbai</t>
  </si>
  <si>
    <t>White</t>
  </si>
  <si>
    <t>SP-030</t>
  </si>
  <si>
    <t>EV10005</t>
  </si>
  <si>
    <t>Chetak Urbane</t>
  </si>
  <si>
    <t>Ahmedabad</t>
  </si>
  <si>
    <t>Cash</t>
  </si>
  <si>
    <t>SP-028</t>
  </si>
  <si>
    <t>EV10006</t>
  </si>
  <si>
    <t>Corporate</t>
  </si>
  <si>
    <t>Black</t>
  </si>
  <si>
    <t>SP-027</t>
  </si>
  <si>
    <t>EV10007</t>
  </si>
  <si>
    <t>Hero Electric</t>
  </si>
  <si>
    <t>Photon</t>
  </si>
  <si>
    <t>Performance</t>
  </si>
  <si>
    <t>Blue</t>
  </si>
  <si>
    <t>SP-001</t>
  </si>
  <si>
    <t>EV10008</t>
  </si>
  <si>
    <t>Kolkata</t>
  </si>
  <si>
    <t>Dealer</t>
  </si>
  <si>
    <t>EV10009</t>
  </si>
  <si>
    <t>Optima</t>
  </si>
  <si>
    <t>Jaipur</t>
  </si>
  <si>
    <t>EV10010</t>
  </si>
  <si>
    <t>SP-003</t>
  </si>
  <si>
    <t>EV10011</t>
  </si>
  <si>
    <t>Delhi</t>
  </si>
  <si>
    <t>EV10012</t>
  </si>
  <si>
    <t>Ather</t>
  </si>
  <si>
    <t>450X</t>
  </si>
  <si>
    <t>SP-023</t>
  </si>
  <si>
    <t>EV10013</t>
  </si>
  <si>
    <t>Pune</t>
  </si>
  <si>
    <t>SP-020</t>
  </si>
  <si>
    <t>EV10014</t>
  </si>
  <si>
    <t>SP-010</t>
  </si>
  <si>
    <t>EV10015</t>
  </si>
  <si>
    <t>SP-024</t>
  </si>
  <si>
    <t>EV10016</t>
  </si>
  <si>
    <t>Ampere</t>
  </si>
  <si>
    <t>Primus</t>
  </si>
  <si>
    <t>SP-016</t>
  </si>
  <si>
    <t>EV10017</t>
  </si>
  <si>
    <t>EV10018</t>
  </si>
  <si>
    <t>SP-017</t>
  </si>
  <si>
    <t>EV10019</t>
  </si>
  <si>
    <t>Grey</t>
  </si>
  <si>
    <t>SP-021</t>
  </si>
  <si>
    <t>EV10020</t>
  </si>
  <si>
    <t>V1 Pro</t>
  </si>
  <si>
    <t>EV10021</t>
  </si>
  <si>
    <t>Ola Electric</t>
  </si>
  <si>
    <t>S1 Air</t>
  </si>
  <si>
    <t>Kochi</t>
  </si>
  <si>
    <t>SP-013</t>
  </si>
  <si>
    <t>EV10022</t>
  </si>
  <si>
    <t>SP-029</t>
  </si>
  <si>
    <t>EV10023</t>
  </si>
  <si>
    <t>EV10024</t>
  </si>
  <si>
    <t>RV400</t>
  </si>
  <si>
    <t>EV10025</t>
  </si>
  <si>
    <t>SP-022</t>
  </si>
  <si>
    <t>EV10026</t>
  </si>
  <si>
    <t>EV10027</t>
  </si>
  <si>
    <t>EV10028</t>
  </si>
  <si>
    <t>EV10029</t>
  </si>
  <si>
    <t>EV10030</t>
  </si>
  <si>
    <t>450S</t>
  </si>
  <si>
    <t>EV10031</t>
  </si>
  <si>
    <t>Rizta</t>
  </si>
  <si>
    <t>SP-014</t>
  </si>
  <si>
    <t>EV10032</t>
  </si>
  <si>
    <t>EV10033</t>
  </si>
  <si>
    <t>S1 X</t>
  </si>
  <si>
    <t>EV10034</t>
  </si>
  <si>
    <t>SP-019</t>
  </si>
  <si>
    <t>EV10035</t>
  </si>
  <si>
    <t>EV10036</t>
  </si>
  <si>
    <t>EV10037</t>
  </si>
  <si>
    <t>EV10038</t>
  </si>
  <si>
    <t>EV10039</t>
  </si>
  <si>
    <t>EV10040</t>
  </si>
  <si>
    <t>Magnus EX</t>
  </si>
  <si>
    <t>SP-005</t>
  </si>
  <si>
    <t>EV10041</t>
  </si>
  <si>
    <t>EV10042</t>
  </si>
  <si>
    <t>EV10043</t>
  </si>
  <si>
    <t>EV10044</t>
  </si>
  <si>
    <t>EV10045</t>
  </si>
  <si>
    <t>EV10046</t>
  </si>
  <si>
    <t>SP-011</t>
  </si>
  <si>
    <t>EV10047</t>
  </si>
  <si>
    <t>EV10048</t>
  </si>
  <si>
    <t>S1 Pro</t>
  </si>
  <si>
    <t>EV10049</t>
  </si>
  <si>
    <t>SP-015</t>
  </si>
  <si>
    <t>EV10050</t>
  </si>
  <si>
    <t>EV10051</t>
  </si>
  <si>
    <t>EV10052</t>
  </si>
  <si>
    <t>EV10053</t>
  </si>
  <si>
    <t>SP-009</t>
  </si>
  <si>
    <t>EV10054</t>
  </si>
  <si>
    <t>ather</t>
  </si>
  <si>
    <t>EV10055</t>
  </si>
  <si>
    <t>EV10056</t>
  </si>
  <si>
    <t>EV10057</t>
  </si>
  <si>
    <t>X</t>
  </si>
  <si>
    <t>EV10058</t>
  </si>
  <si>
    <t>EV10059</t>
  </si>
  <si>
    <t>SP-026</t>
  </si>
  <si>
    <t>EV10060</t>
  </si>
  <si>
    <t>EV10061</t>
  </si>
  <si>
    <t>EV10062</t>
  </si>
  <si>
    <t>EV10063</t>
  </si>
  <si>
    <t>EV10064</t>
  </si>
  <si>
    <t>EV10065</t>
  </si>
  <si>
    <t>EV10066</t>
  </si>
  <si>
    <t>EV10067</t>
  </si>
  <si>
    <t>EV10068</t>
  </si>
  <si>
    <t>EV10069</t>
  </si>
  <si>
    <t>EV10070</t>
  </si>
  <si>
    <t>tvs</t>
  </si>
  <si>
    <t>EV10071</t>
  </si>
  <si>
    <t>EV10072</t>
  </si>
  <si>
    <t>EV10073</t>
  </si>
  <si>
    <t>EV10074</t>
  </si>
  <si>
    <t>EV10075</t>
  </si>
  <si>
    <t>SP-012</t>
  </si>
  <si>
    <t>EV10076</t>
  </si>
  <si>
    <t>EV10077</t>
  </si>
  <si>
    <t>EV10078</t>
  </si>
  <si>
    <t>EV10079</t>
  </si>
  <si>
    <t>EV10080</t>
  </si>
  <si>
    <t>EV10081</t>
  </si>
  <si>
    <t>EV10082</t>
  </si>
  <si>
    <t>EV10083</t>
  </si>
  <si>
    <t>EV10084</t>
  </si>
  <si>
    <t>EV10085</t>
  </si>
  <si>
    <t>EV10086</t>
  </si>
  <si>
    <t>EV10087</t>
  </si>
  <si>
    <t>EV10088</t>
  </si>
  <si>
    <t>EV10089</t>
  </si>
  <si>
    <t>EV10090</t>
  </si>
  <si>
    <t>EV10091</t>
  </si>
  <si>
    <t>EV10092</t>
  </si>
  <si>
    <t>EV10093</t>
  </si>
  <si>
    <t>EV10094</t>
  </si>
  <si>
    <t>EV10095</t>
  </si>
  <si>
    <t>EV10096</t>
  </si>
  <si>
    <t>SP-008</t>
  </si>
  <si>
    <t>EV10097</t>
  </si>
  <si>
    <t>EV10098</t>
  </si>
  <si>
    <t>ola electric</t>
  </si>
  <si>
    <t>EV10099</t>
  </si>
  <si>
    <t>EV10100</t>
  </si>
  <si>
    <t>SP-004</t>
  </si>
  <si>
    <t>EV10101</t>
  </si>
  <si>
    <t>EV10102</t>
  </si>
  <si>
    <t>EV10103</t>
  </si>
  <si>
    <t>EV10104</t>
  </si>
  <si>
    <t>EV10105</t>
  </si>
  <si>
    <t>EV10106</t>
  </si>
  <si>
    <t>EV10107</t>
  </si>
  <si>
    <t>EV10108</t>
  </si>
  <si>
    <t>SP-018</t>
  </si>
  <si>
    <t>EV10109</t>
  </si>
  <si>
    <t>EV10110</t>
  </si>
  <si>
    <t>EV10111</t>
  </si>
  <si>
    <t>SP-006</t>
  </si>
  <si>
    <t>EV10112</t>
  </si>
  <si>
    <t>EV10113</t>
  </si>
  <si>
    <t>EV10114</t>
  </si>
  <si>
    <t>EV10115</t>
  </si>
  <si>
    <t>EV10116</t>
  </si>
  <si>
    <t>EV10117</t>
  </si>
  <si>
    <t>EV10118</t>
  </si>
  <si>
    <t>EV10119</t>
  </si>
  <si>
    <t>EV10120</t>
  </si>
  <si>
    <t>EV10121</t>
  </si>
  <si>
    <t>EV10122</t>
  </si>
  <si>
    <t>EV10123</t>
  </si>
  <si>
    <t>EV10124</t>
  </si>
  <si>
    <t>EV10125</t>
  </si>
  <si>
    <t>EV10126</t>
  </si>
  <si>
    <t>EV10127</t>
  </si>
  <si>
    <t>EV10128</t>
  </si>
  <si>
    <t>EV10129</t>
  </si>
  <si>
    <t xml:space="preserve"> EMI </t>
  </si>
  <si>
    <t>EV10130</t>
  </si>
  <si>
    <t>EV10131</t>
  </si>
  <si>
    <t>EV10132</t>
  </si>
  <si>
    <t>EV10133</t>
  </si>
  <si>
    <t>EV10134</t>
  </si>
  <si>
    <t>EV10135</t>
  </si>
  <si>
    <t>EV10136</t>
  </si>
  <si>
    <t>EV10137</t>
  </si>
  <si>
    <t>EV10138</t>
  </si>
  <si>
    <t>EV10139</t>
  </si>
  <si>
    <t>EV10140</t>
  </si>
  <si>
    <t>EV10141</t>
  </si>
  <si>
    <t>EV10142</t>
  </si>
  <si>
    <t>EV10143</t>
  </si>
  <si>
    <t>EV10144</t>
  </si>
  <si>
    <t>EV10145</t>
  </si>
  <si>
    <t>EV10146</t>
  </si>
  <si>
    <t>EV10147</t>
  </si>
  <si>
    <t>EV10148</t>
  </si>
  <si>
    <t>EV10149</t>
  </si>
  <si>
    <t>EV10150</t>
  </si>
  <si>
    <t>EV10151</t>
  </si>
  <si>
    <t>EV10152</t>
  </si>
  <si>
    <t>EV10153</t>
  </si>
  <si>
    <t>EV10154</t>
  </si>
  <si>
    <t>EV10155</t>
  </si>
  <si>
    <t>EV10156</t>
  </si>
  <si>
    <t>EV10157</t>
  </si>
  <si>
    <t>EV10158</t>
  </si>
  <si>
    <t>EV10159</t>
  </si>
  <si>
    <t>EV10160</t>
  </si>
  <si>
    <t>EV10161</t>
  </si>
  <si>
    <t>EV10162</t>
  </si>
  <si>
    <t>EV10163</t>
  </si>
  <si>
    <t>EV10164</t>
  </si>
  <si>
    <t>EV10165</t>
  </si>
  <si>
    <t>EV10166</t>
  </si>
  <si>
    <t>EV10167</t>
  </si>
  <si>
    <t>EV10168</t>
  </si>
  <si>
    <t>EV10169</t>
  </si>
  <si>
    <t>EV10170</t>
  </si>
  <si>
    <t>EV10171</t>
  </si>
  <si>
    <t>EV10172</t>
  </si>
  <si>
    <t>EV10173</t>
  </si>
  <si>
    <t>EV10174</t>
  </si>
  <si>
    <t>EV10175</t>
  </si>
  <si>
    <t>EV10176</t>
  </si>
  <si>
    <t>EV10177</t>
  </si>
  <si>
    <t>EV10178</t>
  </si>
  <si>
    <t>EV10179</t>
  </si>
  <si>
    <t>EV10180</t>
  </si>
  <si>
    <t>EV10181</t>
  </si>
  <si>
    <t>EV10182</t>
  </si>
  <si>
    <t>EV10183</t>
  </si>
  <si>
    <t>EV10184</t>
  </si>
  <si>
    <t>EV10185</t>
  </si>
  <si>
    <t>EV10186</t>
  </si>
  <si>
    <t>EV10187</t>
  </si>
  <si>
    <t>EV10188</t>
  </si>
  <si>
    <t>EV10189</t>
  </si>
  <si>
    <t>EV10190</t>
  </si>
  <si>
    <t>EV10191</t>
  </si>
  <si>
    <t>EV10192</t>
  </si>
  <si>
    <t>EV10193</t>
  </si>
  <si>
    <t>EV10194</t>
  </si>
  <si>
    <t>EV10195</t>
  </si>
  <si>
    <t>EV10196</t>
  </si>
  <si>
    <t>EV10197</t>
  </si>
  <si>
    <t>EV10198</t>
  </si>
  <si>
    <t>EV10199</t>
  </si>
  <si>
    <t>EV10200</t>
  </si>
  <si>
    <t>EV10201</t>
  </si>
  <si>
    <t>EV10202</t>
  </si>
  <si>
    <t>EV10203</t>
  </si>
  <si>
    <t>EV10204</t>
  </si>
  <si>
    <t>EV10205</t>
  </si>
  <si>
    <t>EV10206</t>
  </si>
  <si>
    <t>EV10207</t>
  </si>
  <si>
    <t>EV10208</t>
  </si>
  <si>
    <t>EV10209</t>
  </si>
  <si>
    <t>EV10210</t>
  </si>
  <si>
    <t>EV10211</t>
  </si>
  <si>
    <t>EV10212</t>
  </si>
  <si>
    <t>EV10213</t>
  </si>
  <si>
    <t>EV10214</t>
  </si>
  <si>
    <t>EV10215</t>
  </si>
  <si>
    <t>EV10216</t>
  </si>
  <si>
    <t>EV10217</t>
  </si>
  <si>
    <t>EV10218</t>
  </si>
  <si>
    <t>EV10219</t>
  </si>
  <si>
    <t>EV10220</t>
  </si>
  <si>
    <t>EV10221</t>
  </si>
  <si>
    <t>EV10222</t>
  </si>
  <si>
    <t>EV10223</t>
  </si>
  <si>
    <t>EV10224</t>
  </si>
  <si>
    <t>EV10225</t>
  </si>
  <si>
    <t>EV10226</t>
  </si>
  <si>
    <t>EV10227</t>
  </si>
  <si>
    <t>EV10228</t>
  </si>
  <si>
    <t>EV10229</t>
  </si>
  <si>
    <t>EV10230</t>
  </si>
  <si>
    <t>EV10231</t>
  </si>
  <si>
    <t>EV10232</t>
  </si>
  <si>
    <t>EV10233</t>
  </si>
  <si>
    <t>EV10234</t>
  </si>
  <si>
    <t>EV10235</t>
  </si>
  <si>
    <t>EV10236</t>
  </si>
  <si>
    <t>EV10237</t>
  </si>
  <si>
    <t>EV10238</t>
  </si>
  <si>
    <t>EV10239</t>
  </si>
  <si>
    <t>EV10240</t>
  </si>
  <si>
    <t>EV10241</t>
  </si>
  <si>
    <t>EV10242</t>
  </si>
  <si>
    <t>EV10243</t>
  </si>
  <si>
    <t>EV10244</t>
  </si>
  <si>
    <t>EV10245</t>
  </si>
  <si>
    <t>EV10246</t>
  </si>
  <si>
    <t>EV10247</t>
  </si>
  <si>
    <t>EV10248</t>
  </si>
  <si>
    <t>EV10249</t>
  </si>
  <si>
    <t>EV10250</t>
  </si>
  <si>
    <t>EV10251</t>
  </si>
  <si>
    <t>EV10252</t>
  </si>
  <si>
    <t>EV10253</t>
  </si>
  <si>
    <t>EV10254</t>
  </si>
  <si>
    <t>EV10255</t>
  </si>
  <si>
    <t>EV10256</t>
  </si>
  <si>
    <t>EV10257</t>
  </si>
  <si>
    <t>EV10258</t>
  </si>
  <si>
    <t>EV10259</t>
  </si>
  <si>
    <t>EV10260</t>
  </si>
  <si>
    <t>EV10261</t>
  </si>
  <si>
    <t>EV10262</t>
  </si>
  <si>
    <t>EV10263</t>
  </si>
  <si>
    <t>EV10264</t>
  </si>
  <si>
    <t>EV10265</t>
  </si>
  <si>
    <t>EV10266</t>
  </si>
  <si>
    <t>EV10267</t>
  </si>
  <si>
    <t>EV10268</t>
  </si>
  <si>
    <t>EV10269</t>
  </si>
  <si>
    <t>EV10270</t>
  </si>
  <si>
    <t>EV10271</t>
  </si>
  <si>
    <t>EV10272</t>
  </si>
  <si>
    <t>EV10273</t>
  </si>
  <si>
    <t>EV10274</t>
  </si>
  <si>
    <t>EV10275</t>
  </si>
  <si>
    <t>EV10276</t>
  </si>
  <si>
    <t>EV10277</t>
  </si>
  <si>
    <t>EV10278</t>
  </si>
  <si>
    <t>EV10279</t>
  </si>
  <si>
    <t>EV10280</t>
  </si>
  <si>
    <t>EV10281</t>
  </si>
  <si>
    <t>EV10282</t>
  </si>
  <si>
    <t>EV10283</t>
  </si>
  <si>
    <t>EV10284</t>
  </si>
  <si>
    <t>EV10285</t>
  </si>
  <si>
    <t>EV10286</t>
  </si>
  <si>
    <t>EV10287</t>
  </si>
  <si>
    <t>EV10288</t>
  </si>
  <si>
    <t>EV10289</t>
  </si>
  <si>
    <t>EV10290</t>
  </si>
  <si>
    <t>EV10291</t>
  </si>
  <si>
    <t>EV10292</t>
  </si>
  <si>
    <t>EV10293</t>
  </si>
  <si>
    <t>EV10294</t>
  </si>
  <si>
    <t>EV10295</t>
  </si>
  <si>
    <t>EV10296</t>
  </si>
  <si>
    <t>EV10297</t>
  </si>
  <si>
    <t>EV10298</t>
  </si>
  <si>
    <t>EV10299</t>
  </si>
  <si>
    <t>EV10300</t>
  </si>
  <si>
    <t>EV10301</t>
  </si>
  <si>
    <t>EV10302</t>
  </si>
  <si>
    <t>EV10303</t>
  </si>
  <si>
    <t>EV10304</t>
  </si>
  <si>
    <t>EV10305</t>
  </si>
  <si>
    <t>EV10306</t>
  </si>
  <si>
    <t>EV10307</t>
  </si>
  <si>
    <t>EV10308</t>
  </si>
  <si>
    <t>EV10309</t>
  </si>
  <si>
    <t>EV10310</t>
  </si>
  <si>
    <t>EV10311</t>
  </si>
  <si>
    <t>EV10312</t>
  </si>
  <si>
    <t>EV10313</t>
  </si>
  <si>
    <t>EV10314</t>
  </si>
  <si>
    <t>EV10315</t>
  </si>
  <si>
    <t>EV10316</t>
  </si>
  <si>
    <t>EV10317</t>
  </si>
  <si>
    <t>EV10318</t>
  </si>
  <si>
    <t>EV10319</t>
  </si>
  <si>
    <t>EV10320</t>
  </si>
  <si>
    <t>EV10321</t>
  </si>
  <si>
    <t>EV10322</t>
  </si>
  <si>
    <t>EV10323</t>
  </si>
  <si>
    <t>EV10324</t>
  </si>
  <si>
    <t>EV10325</t>
  </si>
  <si>
    <t>EV10326</t>
  </si>
  <si>
    <t>EV10327</t>
  </si>
  <si>
    <t>EV10328</t>
  </si>
  <si>
    <t>EV10329</t>
  </si>
  <si>
    <t>EV10330</t>
  </si>
  <si>
    <t>EV10331</t>
  </si>
  <si>
    <t>EV10332</t>
  </si>
  <si>
    <t>EV10333</t>
  </si>
  <si>
    <t>EV10334</t>
  </si>
  <si>
    <t>EV10335</t>
  </si>
  <si>
    <t>EV10336</t>
  </si>
  <si>
    <t>EV10337</t>
  </si>
  <si>
    <t>EV10338</t>
  </si>
  <si>
    <t>EV10339</t>
  </si>
  <si>
    <t>EV10340</t>
  </si>
  <si>
    <t>EV10341</t>
  </si>
  <si>
    <t>EV10342</t>
  </si>
  <si>
    <t>EV10343</t>
  </si>
  <si>
    <t>EV10344</t>
  </si>
  <si>
    <t>EV10345</t>
  </si>
  <si>
    <t>EV10346</t>
  </si>
  <si>
    <t>EV10347</t>
  </si>
  <si>
    <t>EV10348</t>
  </si>
  <si>
    <t>EV10349</t>
  </si>
  <si>
    <t>EV10350</t>
  </si>
  <si>
    <t>EV10351</t>
  </si>
  <si>
    <t>EV10352</t>
  </si>
  <si>
    <t>EV10353</t>
  </si>
  <si>
    <t>EV10354</t>
  </si>
  <si>
    <t>EV10355</t>
  </si>
  <si>
    <t>EV10356</t>
  </si>
  <si>
    <t>EV10357</t>
  </si>
  <si>
    <t>EV10358</t>
  </si>
  <si>
    <t>EV10359</t>
  </si>
  <si>
    <t>EV10360</t>
  </si>
  <si>
    <t>EV10361</t>
  </si>
  <si>
    <t>EV10362</t>
  </si>
  <si>
    <t>EV10363</t>
  </si>
  <si>
    <t>EV10364</t>
  </si>
  <si>
    <t>EV10365</t>
  </si>
  <si>
    <t>EV10366</t>
  </si>
  <si>
    <t>EV10367</t>
  </si>
  <si>
    <t>EV10368</t>
  </si>
  <si>
    <t>EV10369</t>
  </si>
  <si>
    <t>EV10370</t>
  </si>
  <si>
    <t>EV10371</t>
  </si>
  <si>
    <t>EV10372</t>
  </si>
  <si>
    <t>EV10373</t>
  </si>
  <si>
    <t>EV10374</t>
  </si>
  <si>
    <t>EV10375</t>
  </si>
  <si>
    <t>EV10376</t>
  </si>
  <si>
    <t>EV10377</t>
  </si>
  <si>
    <t>EV10378</t>
  </si>
  <si>
    <t>EV10379</t>
  </si>
  <si>
    <t>EV10380</t>
  </si>
  <si>
    <t>EV10381</t>
  </si>
  <si>
    <t>EV10382</t>
  </si>
  <si>
    <t>EV10383</t>
  </si>
  <si>
    <t>EV10384</t>
  </si>
  <si>
    <t>EV10385</t>
  </si>
  <si>
    <t>EV10386</t>
  </si>
  <si>
    <t>EV10387</t>
  </si>
  <si>
    <t>EV10388</t>
  </si>
  <si>
    <t>EV10389</t>
  </si>
  <si>
    <t>EV10390</t>
  </si>
  <si>
    <t>EV10391</t>
  </si>
  <si>
    <t>EV10392</t>
  </si>
  <si>
    <t>EV10393</t>
  </si>
  <si>
    <t>EV10394</t>
  </si>
  <si>
    <t>EV10395</t>
  </si>
  <si>
    <t>EV10396</t>
  </si>
  <si>
    <t>EV10397</t>
  </si>
  <si>
    <t>EV10398</t>
  </si>
  <si>
    <t>EV10399</t>
  </si>
  <si>
    <t>EV10400</t>
  </si>
  <si>
    <t>EV10401</t>
  </si>
  <si>
    <t>EV10402</t>
  </si>
  <si>
    <t>EV10403</t>
  </si>
  <si>
    <t>EV10404</t>
  </si>
  <si>
    <t>EV10405</t>
  </si>
  <si>
    <t>EV10406</t>
  </si>
  <si>
    <t>EV10407</t>
  </si>
  <si>
    <t>EV10408</t>
  </si>
  <si>
    <t>EV10409</t>
  </si>
  <si>
    <t>EV10410</t>
  </si>
  <si>
    <t>EV10411</t>
  </si>
  <si>
    <t>EV10412</t>
  </si>
  <si>
    <t>EV10413</t>
  </si>
  <si>
    <t>EV10414</t>
  </si>
  <si>
    <t>EV10415</t>
  </si>
  <si>
    <t>EV10416</t>
  </si>
  <si>
    <t>EV10417</t>
  </si>
  <si>
    <t>EV10418</t>
  </si>
  <si>
    <t>EV10419</t>
  </si>
  <si>
    <t>EV10420</t>
  </si>
  <si>
    <t>EV10421</t>
  </si>
  <si>
    <t>EV10422</t>
  </si>
  <si>
    <t>EV10423</t>
  </si>
  <si>
    <t>EV10424</t>
  </si>
  <si>
    <t>EV10425</t>
  </si>
  <si>
    <t>EV10426</t>
  </si>
  <si>
    <t>EV10427</t>
  </si>
  <si>
    <t>EV10428</t>
  </si>
  <si>
    <t>EV10429</t>
  </si>
  <si>
    <t>EV10430</t>
  </si>
  <si>
    <t>EV10431</t>
  </si>
  <si>
    <t>EV10432</t>
  </si>
  <si>
    <t>EV10433</t>
  </si>
  <si>
    <t>EV10434</t>
  </si>
  <si>
    <t>EV10435</t>
  </si>
  <si>
    <t>EV10436</t>
  </si>
  <si>
    <t>EV10437</t>
  </si>
  <si>
    <t>EV10438</t>
  </si>
  <si>
    <t>EV10439</t>
  </si>
  <si>
    <t>EV10440</t>
  </si>
  <si>
    <t>EV10441</t>
  </si>
  <si>
    <t>EV10442</t>
  </si>
  <si>
    <t>EV10443</t>
  </si>
  <si>
    <t>EV10444</t>
  </si>
  <si>
    <t>EV10445</t>
  </si>
  <si>
    <t>EV10446</t>
  </si>
  <si>
    <t>EV10447</t>
  </si>
  <si>
    <t>EV10448</t>
  </si>
  <si>
    <t>EV10449</t>
  </si>
  <si>
    <t>EV10450</t>
  </si>
  <si>
    <t>EV10451</t>
  </si>
  <si>
    <t>EV10452</t>
  </si>
  <si>
    <t>EV10453</t>
  </si>
  <si>
    <t>EV10454</t>
  </si>
  <si>
    <t>EV10455</t>
  </si>
  <si>
    <t>EV10456</t>
  </si>
  <si>
    <t>vida</t>
  </si>
  <si>
    <t>EV10457</t>
  </si>
  <si>
    <t>EV10458</t>
  </si>
  <si>
    <t>EV10459</t>
  </si>
  <si>
    <t>EV10460</t>
  </si>
  <si>
    <t>EV10461</t>
  </si>
  <si>
    <t>EV10462</t>
  </si>
  <si>
    <t>EV10463</t>
  </si>
  <si>
    <t>EV10464</t>
  </si>
  <si>
    <t>EV10465</t>
  </si>
  <si>
    <t>EV10466</t>
  </si>
  <si>
    <t>EV10467</t>
  </si>
  <si>
    <t>EV10468</t>
  </si>
  <si>
    <t>EV10469</t>
  </si>
  <si>
    <t>EV10470</t>
  </si>
  <si>
    <t>EV10471</t>
  </si>
  <si>
    <t>EV10472</t>
  </si>
  <si>
    <t>EV10473</t>
  </si>
  <si>
    <t>EV10474</t>
  </si>
  <si>
    <t>EV10475</t>
  </si>
  <si>
    <t>EV10476</t>
  </si>
  <si>
    <t>EV10477</t>
  </si>
  <si>
    <t>EV10478</t>
  </si>
  <si>
    <t>EV10479</t>
  </si>
  <si>
    <t>EV10480</t>
  </si>
  <si>
    <t>EV10481</t>
  </si>
  <si>
    <t>EV10482</t>
  </si>
  <si>
    <t>EV10483</t>
  </si>
  <si>
    <t>EV10484</t>
  </si>
  <si>
    <t>EV10485</t>
  </si>
  <si>
    <t>EV10486</t>
  </si>
  <si>
    <t>EV10487</t>
  </si>
  <si>
    <t>EV10488</t>
  </si>
  <si>
    <t>EV10489</t>
  </si>
  <si>
    <t>EV10490</t>
  </si>
  <si>
    <t>EV10491</t>
  </si>
  <si>
    <t>EV10492</t>
  </si>
  <si>
    <t>EV10493</t>
  </si>
  <si>
    <t>EV10494</t>
  </si>
  <si>
    <t>EV10495</t>
  </si>
  <si>
    <t>EV10496</t>
  </si>
  <si>
    <t>EV10497</t>
  </si>
  <si>
    <t>EV10498</t>
  </si>
  <si>
    <t>EV10499</t>
  </si>
  <si>
    <t>EV10500</t>
  </si>
  <si>
    <t>EV10501</t>
  </si>
  <si>
    <t>EV10502</t>
  </si>
  <si>
    <t>EV10503</t>
  </si>
  <si>
    <t>EV10504</t>
  </si>
  <si>
    <t>EV10505</t>
  </si>
  <si>
    <t>EV10506</t>
  </si>
  <si>
    <t>EV10507</t>
  </si>
  <si>
    <t>EV10508</t>
  </si>
  <si>
    <t>EV10509</t>
  </si>
  <si>
    <t>EV10510</t>
  </si>
  <si>
    <t>EV10511</t>
  </si>
  <si>
    <t>EV10512</t>
  </si>
  <si>
    <t>EV10513</t>
  </si>
  <si>
    <t>EV10514</t>
  </si>
  <si>
    <t>EV10515</t>
  </si>
  <si>
    <t>EV10516</t>
  </si>
  <si>
    <t>EV10517</t>
  </si>
  <si>
    <t>EV10518</t>
  </si>
  <si>
    <t>EV10519</t>
  </si>
  <si>
    <t>EV10520</t>
  </si>
  <si>
    <t>EV10521</t>
  </si>
  <si>
    <t>EV10522</t>
  </si>
  <si>
    <t>EV10523</t>
  </si>
  <si>
    <t>EV10524</t>
  </si>
  <si>
    <t>EV10525</t>
  </si>
  <si>
    <t>EV10526</t>
  </si>
  <si>
    <t>EV10527</t>
  </si>
  <si>
    <t>EV10528</t>
  </si>
  <si>
    <t>EV10529</t>
  </si>
  <si>
    <t>EV10530</t>
  </si>
  <si>
    <t>EV10531</t>
  </si>
  <si>
    <t>EV10532</t>
  </si>
  <si>
    <t>EV10533</t>
  </si>
  <si>
    <t>EV10534</t>
  </si>
  <si>
    <t>EV10535</t>
  </si>
  <si>
    <t>EV10536</t>
  </si>
  <si>
    <t>EV10537</t>
  </si>
  <si>
    <t>EV10538</t>
  </si>
  <si>
    <t>EV10539</t>
  </si>
  <si>
    <t>EV10540</t>
  </si>
  <si>
    <t>EV10541</t>
  </si>
  <si>
    <t>EV10542</t>
  </si>
  <si>
    <t>EV10543</t>
  </si>
  <si>
    <t>EV10544</t>
  </si>
  <si>
    <t>EV10545</t>
  </si>
  <si>
    <t>EV10546</t>
  </si>
  <si>
    <t>EV10547</t>
  </si>
  <si>
    <t>EV10548</t>
  </si>
  <si>
    <t>EV10549</t>
  </si>
  <si>
    <t>EV10550</t>
  </si>
  <si>
    <t>EV10551</t>
  </si>
  <si>
    <t>EV10552</t>
  </si>
  <si>
    <t>EV10553</t>
  </si>
  <si>
    <t>EV10554</t>
  </si>
  <si>
    <t>EV10555</t>
  </si>
  <si>
    <t>EV10556</t>
  </si>
  <si>
    <t>EV10557</t>
  </si>
  <si>
    <t>EV10558</t>
  </si>
  <si>
    <t>EV10559</t>
  </si>
  <si>
    <t>EV10560</t>
  </si>
  <si>
    <t>EV10561</t>
  </si>
  <si>
    <t>EV10562</t>
  </si>
  <si>
    <t>EV10563</t>
  </si>
  <si>
    <t>EV10564</t>
  </si>
  <si>
    <t>EV10565</t>
  </si>
  <si>
    <t>EV10566</t>
  </si>
  <si>
    <t>EV10567</t>
  </si>
  <si>
    <t>EV10568</t>
  </si>
  <si>
    <t>EV10569</t>
  </si>
  <si>
    <t>EV10570</t>
  </si>
  <si>
    <t>EV10571</t>
  </si>
  <si>
    <t>EV10572</t>
  </si>
  <si>
    <t>EV10573</t>
  </si>
  <si>
    <t>EV10574</t>
  </si>
  <si>
    <t>EV10575</t>
  </si>
  <si>
    <t>EV10576</t>
  </si>
  <si>
    <t>EV10577</t>
  </si>
  <si>
    <t>EV10578</t>
  </si>
  <si>
    <t>EV10579</t>
  </si>
  <si>
    <t>EV10580</t>
  </si>
  <si>
    <t>EV10581</t>
  </si>
  <si>
    <t>EV10582</t>
  </si>
  <si>
    <t>EV10583</t>
  </si>
  <si>
    <t>EV10584</t>
  </si>
  <si>
    <t>EV10585</t>
  </si>
  <si>
    <t>EV10586</t>
  </si>
  <si>
    <t>EV10587</t>
  </si>
  <si>
    <t>EV10588</t>
  </si>
  <si>
    <t>EV10589</t>
  </si>
  <si>
    <t>EV10590</t>
  </si>
  <si>
    <t>EV10591</t>
  </si>
  <si>
    <t>EV10592</t>
  </si>
  <si>
    <t>EV10593</t>
  </si>
  <si>
    <t>EV10594</t>
  </si>
  <si>
    <t>EV10595</t>
  </si>
  <si>
    <t>EV10596</t>
  </si>
  <si>
    <t>EV10597</t>
  </si>
  <si>
    <t>EV10598</t>
  </si>
  <si>
    <t>EV10599</t>
  </si>
  <si>
    <t>EV10600</t>
  </si>
  <si>
    <t>EV10601</t>
  </si>
  <si>
    <t>EV10602</t>
  </si>
  <si>
    <t>EV10603</t>
  </si>
  <si>
    <t>EV10604</t>
  </si>
  <si>
    <t>EV10605</t>
  </si>
  <si>
    <t>EV10606</t>
  </si>
  <si>
    <t>EV10607</t>
  </si>
  <si>
    <t>EV10608</t>
  </si>
  <si>
    <t>EV10609</t>
  </si>
  <si>
    <t>EV10610</t>
  </si>
  <si>
    <t>EV10611</t>
  </si>
  <si>
    <t>EV10612</t>
  </si>
  <si>
    <t>EV10613</t>
  </si>
  <si>
    <t>EV10614</t>
  </si>
  <si>
    <t>EV10615</t>
  </si>
  <si>
    <t>EV10616</t>
  </si>
  <si>
    <t>EV10617</t>
  </si>
  <si>
    <t>EV10618</t>
  </si>
  <si>
    <t>EV10619</t>
  </si>
  <si>
    <t>EV10620</t>
  </si>
  <si>
    <t>EV10621</t>
  </si>
  <si>
    <t>EV10622</t>
  </si>
  <si>
    <t>EV10623</t>
  </si>
  <si>
    <t>EV10624</t>
  </si>
  <si>
    <t>EV10625</t>
  </si>
  <si>
    <t>EV10626</t>
  </si>
  <si>
    <t>EV10627</t>
  </si>
  <si>
    <t>EV10628</t>
  </si>
  <si>
    <t>EV10629</t>
  </si>
  <si>
    <t>EV10630</t>
  </si>
  <si>
    <t>EV10631</t>
  </si>
  <si>
    <t>EV10632</t>
  </si>
  <si>
    <t>EV10633</t>
  </si>
  <si>
    <t>EV10634</t>
  </si>
  <si>
    <t>EV10635</t>
  </si>
  <si>
    <t>EV10636</t>
  </si>
  <si>
    <t>EV10637</t>
  </si>
  <si>
    <t>EV10638</t>
  </si>
  <si>
    <t>EV10639</t>
  </si>
  <si>
    <t>EV10640</t>
  </si>
  <si>
    <t>EV10641</t>
  </si>
  <si>
    <t>EV10642</t>
  </si>
  <si>
    <t>EV10643</t>
  </si>
  <si>
    <t>EV10644</t>
  </si>
  <si>
    <t>EV10645</t>
  </si>
  <si>
    <t>EV10646</t>
  </si>
  <si>
    <t>ampere</t>
  </si>
  <si>
    <t>EV10647</t>
  </si>
  <si>
    <t>EV10648</t>
  </si>
  <si>
    <t>EV10649</t>
  </si>
  <si>
    <t>EV10650</t>
  </si>
  <si>
    <t>EV10651</t>
  </si>
  <si>
    <t>EV10652</t>
  </si>
  <si>
    <t>EV10653</t>
  </si>
  <si>
    <t>EV10654</t>
  </si>
  <si>
    <t>EV10655</t>
  </si>
  <si>
    <t>EV10656</t>
  </si>
  <si>
    <t>EV10657</t>
  </si>
  <si>
    <t>EV10658</t>
  </si>
  <si>
    <t>EV10659</t>
  </si>
  <si>
    <t>EV10660</t>
  </si>
  <si>
    <t>EV10661</t>
  </si>
  <si>
    <t>EV10662</t>
  </si>
  <si>
    <t>EV10663</t>
  </si>
  <si>
    <t>EV10664</t>
  </si>
  <si>
    <t>EV10665</t>
  </si>
  <si>
    <t>EV10666</t>
  </si>
  <si>
    <t>EV10667</t>
  </si>
  <si>
    <t>EV10668</t>
  </si>
  <si>
    <t>EV10669</t>
  </si>
  <si>
    <t>EV10670</t>
  </si>
  <si>
    <t>EV10671</t>
  </si>
  <si>
    <t>EV10672</t>
  </si>
  <si>
    <t>EV10673</t>
  </si>
  <si>
    <t>EV10674</t>
  </si>
  <si>
    <t>EV10675</t>
  </si>
  <si>
    <t>EV10676</t>
  </si>
  <si>
    <t>EV10677</t>
  </si>
  <si>
    <t>EV10678</t>
  </si>
  <si>
    <t>EV10679</t>
  </si>
  <si>
    <t>EV10680</t>
  </si>
  <si>
    <t>EV10681</t>
  </si>
  <si>
    <t>EV10682</t>
  </si>
  <si>
    <t>EV10683</t>
  </si>
  <si>
    <t>EV10684</t>
  </si>
  <si>
    <t>EV10685</t>
  </si>
  <si>
    <t>EV10686</t>
  </si>
  <si>
    <t>EV10687</t>
  </si>
  <si>
    <t>EV10688</t>
  </si>
  <si>
    <t>EV10689</t>
  </si>
  <si>
    <t>EV10690</t>
  </si>
  <si>
    <t>EV10691</t>
  </si>
  <si>
    <t>EV10692</t>
  </si>
  <si>
    <t>EV10693</t>
  </si>
  <si>
    <t>EV10694</t>
  </si>
  <si>
    <t>EV10695</t>
  </si>
  <si>
    <t>EV10696</t>
  </si>
  <si>
    <t>EV10697</t>
  </si>
  <si>
    <t>EV10698</t>
  </si>
  <si>
    <t>EV10699</t>
  </si>
  <si>
    <t>EV10700</t>
  </si>
  <si>
    <t>Emi</t>
  </si>
  <si>
    <t xml:space="preserve"> Emi </t>
  </si>
  <si>
    <t>Unknown</t>
  </si>
  <si>
    <t>Missing</t>
  </si>
  <si>
    <t>Cleaned Dis%</t>
  </si>
  <si>
    <t>Payment M</t>
  </si>
  <si>
    <t>Cleaned Delivery Days</t>
  </si>
  <si>
    <t>ASP</t>
  </si>
  <si>
    <t>Month-Year</t>
  </si>
  <si>
    <t>Month</t>
  </si>
  <si>
    <t>Quarter</t>
  </si>
  <si>
    <t>Row Labels</t>
  </si>
  <si>
    <t>Grand Total</t>
  </si>
  <si>
    <t>Sum of Units_Sold</t>
  </si>
  <si>
    <t>Sum of Net_Sales</t>
  </si>
  <si>
    <t>Q1</t>
  </si>
  <si>
    <t>Q2</t>
  </si>
  <si>
    <t>Q3</t>
  </si>
  <si>
    <t>Q4</t>
  </si>
  <si>
    <t>Average of Customer_Rating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</si>
</sst>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yyyy\-mm\-dd\ hh:mm:ss"/>
    <numFmt numFmtId="168" formatCode="[$₹-4009]#,##0.00"/>
    <numFmt numFmtId="170" formatCode="_ &quot;₹&quot;\ * #,##0_ ;_ &quot;₹&quot;\ * \-#,##0_ ;_ &quot;₹&quot;\ * &quot;-&quot;??_ ;_ @_ 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4" fillId="2" borderId="0" xfId="4" applyFont="1" applyFill="1" applyAlignment="1">
      <alignment vertical="center"/>
    </xf>
    <xf numFmtId="9" fontId="0" fillId="0" borderId="0" xfId="3" applyFont="1"/>
    <xf numFmtId="0" fontId="4" fillId="2" borderId="2" xfId="4" applyFont="1" applyFill="1" applyBorder="1" applyAlignment="1">
      <alignment horizontal="center" vertical="center"/>
    </xf>
    <xf numFmtId="9" fontId="4" fillId="2" borderId="2" xfId="3" applyFont="1" applyFill="1" applyBorder="1" applyAlignment="1">
      <alignment horizontal="center" vertical="center"/>
    </xf>
    <xf numFmtId="168" fontId="0" fillId="0" borderId="0" xfId="0" applyNumberFormat="1"/>
    <xf numFmtId="44" fontId="4" fillId="2" borderId="2" xfId="2" applyFont="1" applyFill="1" applyBorder="1" applyAlignment="1">
      <alignment horizontal="center" vertical="center"/>
    </xf>
    <xf numFmtId="44" fontId="0" fillId="0" borderId="0" xfId="2" applyFont="1"/>
    <xf numFmtId="170" fontId="4" fillId="2" borderId="2" xfId="2" applyNumberFormat="1" applyFont="1" applyFill="1" applyBorder="1" applyAlignment="1">
      <alignment horizontal="center" vertical="center"/>
    </xf>
    <xf numFmtId="170" fontId="0" fillId="0" borderId="0" xfId="2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3" fontId="0" fillId="0" borderId="0" xfId="0" applyNumberFormat="1"/>
    <xf numFmtId="44" fontId="5" fillId="0" borderId="0" xfId="0" applyNumberFormat="1" applyFont="1"/>
    <xf numFmtId="0" fontId="5" fillId="0" borderId="0" xfId="0" applyFont="1"/>
    <xf numFmtId="44" fontId="5" fillId="0" borderId="0" xfId="2" applyFont="1"/>
    <xf numFmtId="43" fontId="5" fillId="0" borderId="0" xfId="1" applyFont="1"/>
  </cellXfs>
  <cellStyles count="5">
    <cellStyle name="Comma" xfId="1" builtinId="3"/>
    <cellStyle name="Currency" xfId="2" builtinId="4"/>
    <cellStyle name="Heading 4" xfId="4" builtinId="19"/>
    <cellStyle name="Normal" xfId="0" builtinId="0"/>
    <cellStyle name="Percent" xfId="3" builtinId="5"/>
  </cellStyles>
  <dxfs count="16">
    <dxf>
      <numFmt numFmtId="35" formatCode="_ * #,##0.00_ ;_ * \-#,##0.00_ ;_ * &quot;-&quot;??_ ;_ @_ "/>
    </dxf>
    <dxf>
      <numFmt numFmtId="0" formatCode="General"/>
    </dxf>
    <dxf>
      <numFmt numFmtId="0" formatCode="General"/>
    </dxf>
    <dxf>
      <numFmt numFmtId="0" formatCode="General"/>
    </dxf>
    <dxf>
      <numFmt numFmtId="170" formatCode="_ &quot;₹&quot;\ * #,##0_ ;_ &quot;₹&quot;\ * \-#,##0_ ;_ &quot;₹&quot;\ * &quot;-&quot;??_ ;_ @_ "/>
    </dxf>
    <dxf>
      <numFmt numFmtId="0" formatCode="General"/>
    </dxf>
    <dxf>
      <numFmt numFmtId="164" formatCode="yyyy\-mm\-dd\ hh:mm:ss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[EV_Scooter_Sales_Analysis.xlsx]Pivot_Salesperson_Performance!PivotTable5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Pivot_Salesperson_Performance!$B$3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Pivot_Salesperson_Performance!$B$4:$B$34</c:f>
              <c:numCache>
                <c:formatCode>_(* #,##0.00_);_(* \(#,##0.00\);_(* "-"??_);_(@_)</c:formatCode>
                <c:ptCount val="30"/>
                <c:pt idx="0">
                  <c:v>4.160869565217391</c:v>
                </c:pt>
                <c:pt idx="1">
                  <c:v>4.0826086956521745</c:v>
                </c:pt>
                <c:pt idx="2">
                  <c:v>4.0242424242424235</c:v>
                </c:pt>
                <c:pt idx="3">
                  <c:v>4.1590909090909083</c:v>
                </c:pt>
                <c:pt idx="4">
                  <c:v>4.2095238095238097</c:v>
                </c:pt>
                <c:pt idx="5">
                  <c:v>4.0117647058823529</c:v>
                </c:pt>
                <c:pt idx="6">
                  <c:v>3.883333333333332</c:v>
                </c:pt>
                <c:pt idx="7">
                  <c:v>4.09375</c:v>
                </c:pt>
                <c:pt idx="8">
                  <c:v>4.10952380952381</c:v>
                </c:pt>
                <c:pt idx="9">
                  <c:v>4.2181818181818178</c:v>
                </c:pt>
                <c:pt idx="10">
                  <c:v>4.137931034482758</c:v>
                </c:pt>
                <c:pt idx="11">
                  <c:v>3.9038461538461533</c:v>
                </c:pt>
                <c:pt idx="12">
                  <c:v>4.0999999999999996</c:v>
                </c:pt>
                <c:pt idx="13">
                  <c:v>4.0666666666666664</c:v>
                </c:pt>
                <c:pt idx="14">
                  <c:v>4.1454545454545455</c:v>
                </c:pt>
                <c:pt idx="15">
                  <c:v>4.020833333333333</c:v>
                </c:pt>
                <c:pt idx="16">
                  <c:v>4.0739130434782602</c:v>
                </c:pt>
                <c:pt idx="17">
                  <c:v>4.3214285714285712</c:v>
                </c:pt>
                <c:pt idx="18">
                  <c:v>4.1035714285714278</c:v>
                </c:pt>
                <c:pt idx="19">
                  <c:v>4.2068965517241388</c:v>
                </c:pt>
                <c:pt idx="20">
                  <c:v>3.9869565217391298</c:v>
                </c:pt>
                <c:pt idx="21">
                  <c:v>4.1999999999999993</c:v>
                </c:pt>
                <c:pt idx="22">
                  <c:v>4.0411764705882343</c:v>
                </c:pt>
                <c:pt idx="23">
                  <c:v>4.0666666666666655</c:v>
                </c:pt>
                <c:pt idx="24">
                  <c:v>4.1083333333333325</c:v>
                </c:pt>
                <c:pt idx="25">
                  <c:v>4.0666666666666664</c:v>
                </c:pt>
                <c:pt idx="26">
                  <c:v>4.0666666666666664</c:v>
                </c:pt>
                <c:pt idx="27">
                  <c:v>4.1937499999999996</c:v>
                </c:pt>
                <c:pt idx="28">
                  <c:v>4.0222222222222221</c:v>
                </c:pt>
                <c:pt idx="29">
                  <c:v>4.1472222222222213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1D-4F16-A413-1EF52716A066}"/>
            </c:ext>
          </c:extLst>
        </c:ser>
        <c:ser>
          <c:idx val="1"/>
          <c:order val="1"/>
          <c:tx>
            <c:strRef>
              <c:f>Pivot_Salesperson_Performance!$C$3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Pivot_Salesperson_Performance!$C$4:$C$34</c:f>
              <c:numCache>
                <c:formatCode>General</c:formatCode>
                <c:ptCount val="30"/>
                <c:pt idx="0">
                  <c:v>48</c:v>
                </c:pt>
                <c:pt idx="1">
                  <c:v>37</c:v>
                </c:pt>
                <c:pt idx="2">
                  <c:v>85</c:v>
                </c:pt>
                <c:pt idx="3">
                  <c:v>46</c:v>
                </c:pt>
                <c:pt idx="4">
                  <c:v>38</c:v>
                </c:pt>
                <c:pt idx="5">
                  <c:v>28</c:v>
                </c:pt>
                <c:pt idx="6">
                  <c:v>48</c:v>
                </c:pt>
                <c:pt idx="7">
                  <c:v>35</c:v>
                </c:pt>
                <c:pt idx="8">
                  <c:v>43</c:v>
                </c:pt>
                <c:pt idx="9">
                  <c:v>41</c:v>
                </c:pt>
                <c:pt idx="10">
                  <c:v>62</c:v>
                </c:pt>
                <c:pt idx="11">
                  <c:v>54</c:v>
                </c:pt>
                <c:pt idx="12">
                  <c:v>53</c:v>
                </c:pt>
                <c:pt idx="13">
                  <c:v>23</c:v>
                </c:pt>
                <c:pt idx="14">
                  <c:v>35</c:v>
                </c:pt>
                <c:pt idx="15">
                  <c:v>51</c:v>
                </c:pt>
                <c:pt idx="16">
                  <c:v>53</c:v>
                </c:pt>
                <c:pt idx="17">
                  <c:v>19</c:v>
                </c:pt>
                <c:pt idx="18">
                  <c:v>50</c:v>
                </c:pt>
                <c:pt idx="19">
                  <c:v>58</c:v>
                </c:pt>
                <c:pt idx="20">
                  <c:v>45</c:v>
                </c:pt>
                <c:pt idx="21">
                  <c:v>78</c:v>
                </c:pt>
                <c:pt idx="22">
                  <c:v>41</c:v>
                </c:pt>
                <c:pt idx="23">
                  <c:v>44</c:v>
                </c:pt>
                <c:pt idx="24">
                  <c:v>50</c:v>
                </c:pt>
                <c:pt idx="25">
                  <c:v>45</c:v>
                </c:pt>
                <c:pt idx="26">
                  <c:v>45</c:v>
                </c:pt>
                <c:pt idx="27">
                  <c:v>33</c:v>
                </c:pt>
                <c:pt idx="28">
                  <c:v>45</c:v>
                </c:pt>
                <c:pt idx="2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1D-4F16-A413-1EF52716A066}"/>
            </c:ext>
          </c:extLst>
        </c:ser>
        <c:ser>
          <c:idx val="2"/>
          <c:order val="2"/>
          <c:tx>
            <c:strRef>
              <c:f>Pivot_Salesperson_Performance!$D$3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Pivot_Salesperson_Performance!$D$4:$D$34</c:f>
              <c:numCache>
                <c:formatCode>_("₹"* #,##0.00_);_("₹"* \(#,##0.00\);_("₹"* "-"??_);_(@_)</c:formatCode>
                <c:ptCount val="30"/>
                <c:pt idx="0">
                  <c:v>5672955.4000000004</c:v>
                </c:pt>
                <c:pt idx="1">
                  <c:v>4218781.6199999982</c:v>
                </c:pt>
                <c:pt idx="2">
                  <c:v>10541685.870000003</c:v>
                </c:pt>
                <c:pt idx="3">
                  <c:v>5399908.54</c:v>
                </c:pt>
                <c:pt idx="4">
                  <c:v>4769021.17</c:v>
                </c:pt>
                <c:pt idx="5">
                  <c:v>3478279.0699999994</c:v>
                </c:pt>
                <c:pt idx="6">
                  <c:v>5755963.0599999996</c:v>
                </c:pt>
                <c:pt idx="7">
                  <c:v>4064335.54</c:v>
                </c:pt>
                <c:pt idx="8">
                  <c:v>5450994.6300000018</c:v>
                </c:pt>
                <c:pt idx="9">
                  <c:v>5023702.3299999991</c:v>
                </c:pt>
                <c:pt idx="10">
                  <c:v>7432691.6000000006</c:v>
                </c:pt>
                <c:pt idx="11">
                  <c:v>6479835.7499999991</c:v>
                </c:pt>
                <c:pt idx="12">
                  <c:v>6783223.25</c:v>
                </c:pt>
                <c:pt idx="13">
                  <c:v>2841635.89</c:v>
                </c:pt>
                <c:pt idx="14">
                  <c:v>4119094.1800000006</c:v>
                </c:pt>
                <c:pt idx="15">
                  <c:v>6042291.5</c:v>
                </c:pt>
                <c:pt idx="16">
                  <c:v>7044411.459999999</c:v>
                </c:pt>
                <c:pt idx="17">
                  <c:v>2196928.33</c:v>
                </c:pt>
                <c:pt idx="18">
                  <c:v>6085962.8000000007</c:v>
                </c:pt>
                <c:pt idx="19">
                  <c:v>6744049.1799999997</c:v>
                </c:pt>
                <c:pt idx="20">
                  <c:v>5734068.4200000009</c:v>
                </c:pt>
                <c:pt idx="21">
                  <c:v>9866508.3500000015</c:v>
                </c:pt>
                <c:pt idx="22">
                  <c:v>4835601.7600000007</c:v>
                </c:pt>
                <c:pt idx="23">
                  <c:v>5208200.7799999993</c:v>
                </c:pt>
                <c:pt idx="24">
                  <c:v>6107835.9900000002</c:v>
                </c:pt>
                <c:pt idx="25">
                  <c:v>5826242.2599999988</c:v>
                </c:pt>
                <c:pt idx="26">
                  <c:v>5419144.6800000006</c:v>
                </c:pt>
                <c:pt idx="27">
                  <c:v>3860793.43</c:v>
                </c:pt>
                <c:pt idx="28">
                  <c:v>5569172.6799999997</c:v>
                </c:pt>
                <c:pt idx="29">
                  <c:v>7452578.7300000014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1D-4F16-A413-1EF52716A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7980672"/>
        <c:axId val="1315240880"/>
      </c:barChart>
      <c:catAx>
        <c:axId val="17179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40880"/>
        <c:crosses val="autoZero"/>
        <c:auto val="1"/>
        <c:lblAlgn val="ctr"/>
        <c:lblOffset val="100"/>
        <c:noMultiLvlLbl val="0"/>
      </c:catAx>
      <c:valAx>
        <c:axId val="13152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[EV_Scooter_Sales_Analysis.xlsx]Pivot_Channel_Performance!PivotTable4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Pivot_Channel_Performance!$B$3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Pivot_Channel_Performance!$A$4:$A$8</c:f>
              <c:strCache>
                <c:ptCount val="4"/>
                <c:pt idx="0">
                  <c:v>Corporate</c:v>
                </c:pt>
                <c:pt idx="1">
                  <c:v>Dealer</c:v>
                </c:pt>
                <c:pt idx="2">
                  <c:v>Fleet</c:v>
                </c:pt>
                <c:pt idx="3">
                  <c:v>Online</c:v>
                </c:pt>
              </c:strCache>
            </c:strRef>
          </c:cat>
          <c:val>
            <c:numRef>
              <c:f>Pivot_Channel_Performance!$B$4:$B$8</c:f>
              <c:numCache>
                <c:formatCode>_("₹"* #,##0.00_);_("₹"* \(#,##0.00\);_("₹"* "-"??_);_(@_)</c:formatCode>
                <c:ptCount val="4"/>
                <c:pt idx="0">
                  <c:v>44041221.069999978</c:v>
                </c:pt>
                <c:pt idx="1">
                  <c:v>43145751.49000001</c:v>
                </c:pt>
                <c:pt idx="2">
                  <c:v>41899591.809999973</c:v>
                </c:pt>
                <c:pt idx="3">
                  <c:v>40939333.880000003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0B-46CE-9375-9F4FEDDA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1003184"/>
        <c:axId val="1312539888"/>
      </c:barChart>
      <c:lineChart>
        <c:grouping val="standard"/>
        <c:varyColors val="0"/>
        <c:ser>
          <c:idx val="1"/>
          <c:order val="1"/>
          <c:tx>
            <c:strRef>
              <c:f>Pivot_Channel_Performance!$C$3</c:f>
              <c:strCache>
                <c:ptCount val="1"/>
                <c:pt idx="0">
                  <c:v>Sum of Units_Sold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Pivot_Channel_Performance!$A$4:$A$8</c:f>
              <c:strCache>
                <c:ptCount val="4"/>
                <c:pt idx="0">
                  <c:v>Corporate</c:v>
                </c:pt>
                <c:pt idx="1">
                  <c:v>Dealer</c:v>
                </c:pt>
                <c:pt idx="2">
                  <c:v>Fleet</c:v>
                </c:pt>
                <c:pt idx="3">
                  <c:v>Online</c:v>
                </c:pt>
              </c:strCache>
            </c:strRef>
          </c:cat>
          <c:val>
            <c:numRef>
              <c:f>Pivot_Channel_Performance!$C$4:$C$8</c:f>
              <c:numCache>
                <c:formatCode>General</c:formatCode>
                <c:ptCount val="4"/>
                <c:pt idx="0">
                  <c:v>358</c:v>
                </c:pt>
                <c:pt idx="1">
                  <c:v>352</c:v>
                </c:pt>
                <c:pt idx="2">
                  <c:v>344</c:v>
                </c:pt>
                <c:pt idx="3">
                  <c:v>340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0B-46CE-9375-9F4FEDDA6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8029392"/>
        <c:axId val="1315276400"/>
      </c:lineChart>
      <c:catAx>
        <c:axId val="93100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539888"/>
        <c:crosses val="autoZero"/>
        <c:auto val="1"/>
        <c:lblAlgn val="ctr"/>
        <c:lblOffset val="100"/>
        <c:noMultiLvlLbl val="0"/>
      </c:catAx>
      <c:valAx>
        <c:axId val="131253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1003184"/>
        <c:crosses val="autoZero"/>
        <c:crossBetween val="between"/>
      </c:valAx>
      <c:valAx>
        <c:axId val="1315276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029392"/>
        <c:crosses val="max"/>
        <c:crossBetween val="between"/>
      </c:valAx>
      <c:catAx>
        <c:axId val="1718029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527640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[EV_Scooter_Sales_Analysis.xlsx]Pivot_Segment _Performance!PivotTable3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'Pivot_Segment _Performance'!$B$3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'Pivot_Segment _Performance'!$A$4:$A$84</c:f>
              <c:multiLvlStrCache>
                <c:ptCount val="54"/>
                <c:lvl>
                  <c:pt idx="0">
                    <c:v>Commuter</c:v>
                  </c:pt>
                  <c:pt idx="1">
                    <c:v>Performance</c:v>
                  </c:pt>
                  <c:pt idx="2">
                    <c:v>Premium</c:v>
                  </c:pt>
                  <c:pt idx="3">
                    <c:v>Commuter</c:v>
                  </c:pt>
                  <c:pt idx="4">
                    <c:v>Performance</c:v>
                  </c:pt>
                  <c:pt idx="5">
                    <c:v>Premium</c:v>
                  </c:pt>
                  <c:pt idx="6">
                    <c:v>Commuter</c:v>
                  </c:pt>
                  <c:pt idx="7">
                    <c:v>Performance</c:v>
                  </c:pt>
                  <c:pt idx="8">
                    <c:v>Premium</c:v>
                  </c:pt>
                  <c:pt idx="9">
                    <c:v>Commuter</c:v>
                  </c:pt>
                  <c:pt idx="10">
                    <c:v>Performance</c:v>
                  </c:pt>
                  <c:pt idx="11">
                    <c:v>Premium</c:v>
                  </c:pt>
                  <c:pt idx="12">
                    <c:v>Commuter</c:v>
                  </c:pt>
                  <c:pt idx="13">
                    <c:v>Performance</c:v>
                  </c:pt>
                  <c:pt idx="14">
                    <c:v>Premium</c:v>
                  </c:pt>
                  <c:pt idx="15">
                    <c:v>Commuter</c:v>
                  </c:pt>
                  <c:pt idx="16">
                    <c:v>Performance</c:v>
                  </c:pt>
                  <c:pt idx="17">
                    <c:v>Premium</c:v>
                  </c:pt>
                  <c:pt idx="18">
                    <c:v>Commuter</c:v>
                  </c:pt>
                  <c:pt idx="19">
                    <c:v>Performance</c:v>
                  </c:pt>
                  <c:pt idx="20">
                    <c:v>Premium</c:v>
                  </c:pt>
                  <c:pt idx="21">
                    <c:v>Commuter</c:v>
                  </c:pt>
                  <c:pt idx="22">
                    <c:v>Performance</c:v>
                  </c:pt>
                  <c:pt idx="23">
                    <c:v>Premium</c:v>
                  </c:pt>
                  <c:pt idx="24">
                    <c:v>Commuter</c:v>
                  </c:pt>
                  <c:pt idx="25">
                    <c:v>Performance</c:v>
                  </c:pt>
                  <c:pt idx="26">
                    <c:v>Premium</c:v>
                  </c:pt>
                  <c:pt idx="27">
                    <c:v>Commuter</c:v>
                  </c:pt>
                  <c:pt idx="28">
                    <c:v>Performance</c:v>
                  </c:pt>
                  <c:pt idx="29">
                    <c:v>Premium</c:v>
                  </c:pt>
                  <c:pt idx="30">
                    <c:v>Commuter</c:v>
                  </c:pt>
                  <c:pt idx="31">
                    <c:v>Performance</c:v>
                  </c:pt>
                  <c:pt idx="32">
                    <c:v>Premium</c:v>
                  </c:pt>
                  <c:pt idx="33">
                    <c:v>Commuter</c:v>
                  </c:pt>
                  <c:pt idx="34">
                    <c:v>Performance</c:v>
                  </c:pt>
                  <c:pt idx="35">
                    <c:v>Premium</c:v>
                  </c:pt>
                  <c:pt idx="36">
                    <c:v>Commuter</c:v>
                  </c:pt>
                  <c:pt idx="37">
                    <c:v>Performance</c:v>
                  </c:pt>
                  <c:pt idx="38">
                    <c:v>Premium</c:v>
                  </c:pt>
                  <c:pt idx="39">
                    <c:v>Commuter</c:v>
                  </c:pt>
                  <c:pt idx="40">
                    <c:v>Performance</c:v>
                  </c:pt>
                  <c:pt idx="41">
                    <c:v>Premium</c:v>
                  </c:pt>
                  <c:pt idx="42">
                    <c:v>Commuter</c:v>
                  </c:pt>
                  <c:pt idx="43">
                    <c:v>Performance</c:v>
                  </c:pt>
                  <c:pt idx="44">
                    <c:v>Premium</c:v>
                  </c:pt>
                  <c:pt idx="45">
                    <c:v>Commuter</c:v>
                  </c:pt>
                  <c:pt idx="46">
                    <c:v>Performance</c:v>
                  </c:pt>
                  <c:pt idx="47">
                    <c:v>Premium</c:v>
                  </c:pt>
                  <c:pt idx="48">
                    <c:v>Commuter</c:v>
                  </c:pt>
                  <c:pt idx="49">
                    <c:v>Performance</c:v>
                  </c:pt>
                  <c:pt idx="50">
                    <c:v>Premium</c:v>
                  </c:pt>
                  <c:pt idx="51">
                    <c:v>Commuter</c:v>
                  </c:pt>
                  <c:pt idx="52">
                    <c:v>Performance</c:v>
                  </c:pt>
                  <c:pt idx="53">
                    <c:v>Premium</c:v>
                  </c:pt>
                </c:lvl>
                <c:lvl>
                  <c:pt idx="0">
                    <c:v>Magnus EX</c:v>
                  </c:pt>
                  <c:pt idx="3">
                    <c:v>Primus</c:v>
                  </c:pt>
                  <c:pt idx="6">
                    <c:v>450S</c:v>
                  </c:pt>
                  <c:pt idx="9">
                    <c:v>450X</c:v>
                  </c:pt>
                  <c:pt idx="12">
                    <c:v>Rizta</c:v>
                  </c:pt>
                  <c:pt idx="15">
                    <c:v>Chetak Premium</c:v>
                  </c:pt>
                  <c:pt idx="18">
                    <c:v>Chetak Urbane</c:v>
                  </c:pt>
                  <c:pt idx="21">
                    <c:v>Optima</c:v>
                  </c:pt>
                  <c:pt idx="24">
                    <c:v>Photon</c:v>
                  </c:pt>
                  <c:pt idx="27">
                    <c:v>S1 Air</c:v>
                  </c:pt>
                  <c:pt idx="30">
                    <c:v>S1 Pro</c:v>
                  </c:pt>
                  <c:pt idx="33">
                    <c:v>S1 X</c:v>
                  </c:pt>
                  <c:pt idx="36">
                    <c:v>RV1</c:v>
                  </c:pt>
                  <c:pt idx="39">
                    <c:v>RV400</c:v>
                  </c:pt>
                  <c:pt idx="42">
                    <c:v>iQube</c:v>
                  </c:pt>
                  <c:pt idx="45">
                    <c:v>X</c:v>
                  </c:pt>
                  <c:pt idx="48">
                    <c:v>V1 Pro</c:v>
                  </c:pt>
                  <c:pt idx="51">
                    <c:v>V2</c:v>
                  </c:pt>
                </c:lvl>
                <c:lvl>
                  <c:pt idx="0">
                    <c:v>Ampere</c:v>
                  </c:pt>
                  <c:pt idx="6">
                    <c:v>Ather</c:v>
                  </c:pt>
                  <c:pt idx="15">
                    <c:v>Bajaj</c:v>
                  </c:pt>
                  <c:pt idx="21">
                    <c:v>Hero Electric</c:v>
                  </c:pt>
                  <c:pt idx="27">
                    <c:v>Ola Electric</c:v>
                  </c:pt>
                  <c:pt idx="36">
                    <c:v>Revolt</c:v>
                  </c:pt>
                  <c:pt idx="42">
                    <c:v>TVS</c:v>
                  </c:pt>
                  <c:pt idx="48">
                    <c:v>Vida</c:v>
                  </c:pt>
                </c:lvl>
              </c:multiLvlStrCache>
            </c:multiLvlStrRef>
          </c:cat>
          <c:val>
            <c:numRef>
              <c:f>'Pivot_Segment _Performance'!$B$4:$B$84</c:f>
              <c:numCache>
                <c:formatCode>General</c:formatCode>
                <c:ptCount val="54"/>
                <c:pt idx="0">
                  <c:v>33</c:v>
                </c:pt>
                <c:pt idx="1">
                  <c:v>36</c:v>
                </c:pt>
                <c:pt idx="2">
                  <c:v>30</c:v>
                </c:pt>
                <c:pt idx="3">
                  <c:v>31</c:v>
                </c:pt>
                <c:pt idx="4">
                  <c:v>22</c:v>
                </c:pt>
                <c:pt idx="5">
                  <c:v>42</c:v>
                </c:pt>
                <c:pt idx="6">
                  <c:v>20</c:v>
                </c:pt>
                <c:pt idx="7">
                  <c:v>17</c:v>
                </c:pt>
                <c:pt idx="8">
                  <c:v>28</c:v>
                </c:pt>
                <c:pt idx="9">
                  <c:v>9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20</c:v>
                </c:pt>
                <c:pt idx="14">
                  <c:v>12</c:v>
                </c:pt>
                <c:pt idx="15">
                  <c:v>19</c:v>
                </c:pt>
                <c:pt idx="16">
                  <c:v>25</c:v>
                </c:pt>
                <c:pt idx="17">
                  <c:v>35</c:v>
                </c:pt>
                <c:pt idx="18">
                  <c:v>46</c:v>
                </c:pt>
                <c:pt idx="19">
                  <c:v>37</c:v>
                </c:pt>
                <c:pt idx="20">
                  <c:v>25</c:v>
                </c:pt>
                <c:pt idx="21">
                  <c:v>28</c:v>
                </c:pt>
                <c:pt idx="22">
                  <c:v>27</c:v>
                </c:pt>
                <c:pt idx="23">
                  <c:v>25</c:v>
                </c:pt>
                <c:pt idx="24">
                  <c:v>30</c:v>
                </c:pt>
                <c:pt idx="25">
                  <c:v>33</c:v>
                </c:pt>
                <c:pt idx="26">
                  <c:v>40</c:v>
                </c:pt>
                <c:pt idx="27">
                  <c:v>25</c:v>
                </c:pt>
                <c:pt idx="28">
                  <c:v>21</c:v>
                </c:pt>
                <c:pt idx="29">
                  <c:v>7</c:v>
                </c:pt>
                <c:pt idx="30">
                  <c:v>29</c:v>
                </c:pt>
                <c:pt idx="31">
                  <c:v>34</c:v>
                </c:pt>
                <c:pt idx="32">
                  <c:v>28</c:v>
                </c:pt>
                <c:pt idx="33">
                  <c:v>21</c:v>
                </c:pt>
                <c:pt idx="34">
                  <c:v>12</c:v>
                </c:pt>
                <c:pt idx="35">
                  <c:v>10</c:v>
                </c:pt>
                <c:pt idx="36">
                  <c:v>31</c:v>
                </c:pt>
                <c:pt idx="37">
                  <c:v>21</c:v>
                </c:pt>
                <c:pt idx="38">
                  <c:v>24</c:v>
                </c:pt>
                <c:pt idx="39">
                  <c:v>6</c:v>
                </c:pt>
                <c:pt idx="40">
                  <c:v>21</c:v>
                </c:pt>
                <c:pt idx="41">
                  <c:v>25</c:v>
                </c:pt>
                <c:pt idx="42">
                  <c:v>28</c:v>
                </c:pt>
                <c:pt idx="43">
                  <c:v>34</c:v>
                </c:pt>
                <c:pt idx="44">
                  <c:v>31</c:v>
                </c:pt>
                <c:pt idx="45">
                  <c:v>23</c:v>
                </c:pt>
                <c:pt idx="46">
                  <c:v>37</c:v>
                </c:pt>
                <c:pt idx="47">
                  <c:v>36</c:v>
                </c:pt>
                <c:pt idx="48">
                  <c:v>22</c:v>
                </c:pt>
                <c:pt idx="49">
                  <c:v>47</c:v>
                </c:pt>
                <c:pt idx="50">
                  <c:v>22</c:v>
                </c:pt>
                <c:pt idx="51">
                  <c:v>25</c:v>
                </c:pt>
                <c:pt idx="52">
                  <c:v>10</c:v>
                </c:pt>
                <c:pt idx="5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13-40D2-A44C-6432E52A2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674368"/>
        <c:axId val="1315265360"/>
      </c:barChart>
      <c:catAx>
        <c:axId val="1215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65360"/>
        <c:crosses val="autoZero"/>
        <c:auto val="1"/>
        <c:lblAlgn val="ctr"/>
        <c:lblOffset val="100"/>
        <c:noMultiLvlLbl val="0"/>
      </c:catAx>
      <c:valAx>
        <c:axId val="13152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[EV_Scooter_Sales_Analysis.xlsx]Pivot_Brand_Performance!PivotTable2</c:name>
    <c:fmtId val="0"/>
  </c:pivotSource>
  <c:chart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Pivot_Brand_Performance!$B$3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Pivot_Brand_Performance!$A$4:$A$30</c:f>
              <c:multiLvlStrCache>
                <c:ptCount val="18"/>
                <c:lvl>
                  <c:pt idx="0">
                    <c:v>Magnus EX</c:v>
                  </c:pt>
                  <c:pt idx="1">
                    <c:v>Primus</c:v>
                  </c:pt>
                  <c:pt idx="2">
                    <c:v>450S</c:v>
                  </c:pt>
                  <c:pt idx="3">
                    <c:v>450X</c:v>
                  </c:pt>
                  <c:pt idx="4">
                    <c:v>Rizta</c:v>
                  </c:pt>
                  <c:pt idx="5">
                    <c:v>Chetak Premium</c:v>
                  </c:pt>
                  <c:pt idx="6">
                    <c:v>Chetak Urbane</c:v>
                  </c:pt>
                  <c:pt idx="7">
                    <c:v>Optima</c:v>
                  </c:pt>
                  <c:pt idx="8">
                    <c:v>Photon</c:v>
                  </c:pt>
                  <c:pt idx="9">
                    <c:v>S1 Air</c:v>
                  </c:pt>
                  <c:pt idx="10">
                    <c:v>S1 Pro</c:v>
                  </c:pt>
                  <c:pt idx="11">
                    <c:v>S1 X</c:v>
                  </c:pt>
                  <c:pt idx="12">
                    <c:v>RV1</c:v>
                  </c:pt>
                  <c:pt idx="13">
                    <c:v>RV400</c:v>
                  </c:pt>
                  <c:pt idx="14">
                    <c:v>iQube</c:v>
                  </c:pt>
                  <c:pt idx="15">
                    <c:v>X</c:v>
                  </c:pt>
                  <c:pt idx="16">
                    <c:v>V1 Pro</c:v>
                  </c:pt>
                  <c:pt idx="17">
                    <c:v>V2</c:v>
                  </c:pt>
                </c:lvl>
                <c:lvl>
                  <c:pt idx="0">
                    <c:v>Ampere</c:v>
                  </c:pt>
                  <c:pt idx="2">
                    <c:v>Ather</c:v>
                  </c:pt>
                  <c:pt idx="5">
                    <c:v>Bajaj</c:v>
                  </c:pt>
                  <c:pt idx="7">
                    <c:v>Hero Electric</c:v>
                  </c:pt>
                  <c:pt idx="9">
                    <c:v>Ola Electric</c:v>
                  </c:pt>
                  <c:pt idx="12">
                    <c:v>Revolt</c:v>
                  </c:pt>
                  <c:pt idx="14">
                    <c:v>TVS</c:v>
                  </c:pt>
                  <c:pt idx="16">
                    <c:v>Vida</c:v>
                  </c:pt>
                </c:lvl>
              </c:multiLvlStrCache>
            </c:multiLvlStrRef>
          </c:cat>
          <c:val>
            <c:numRef>
              <c:f>Pivot_Brand_Performance!$B$4:$B$30</c:f>
              <c:numCache>
                <c:formatCode>_("₹"* #,##0.00_);_("₹"* \(#,##0.00\);_("₹"* "-"??_);_(@_)</c:formatCode>
                <c:ptCount val="18"/>
                <c:pt idx="0">
                  <c:v>10213367.539999999</c:v>
                </c:pt>
                <c:pt idx="1">
                  <c:v>13310538.279999999</c:v>
                </c:pt>
                <c:pt idx="2">
                  <c:v>7832619.8199999984</c:v>
                </c:pt>
                <c:pt idx="3">
                  <c:v>7265587.5599999987</c:v>
                </c:pt>
                <c:pt idx="4">
                  <c:v>7446661.3399999999</c:v>
                </c:pt>
                <c:pt idx="5">
                  <c:v>11208690.450000001</c:v>
                </c:pt>
                <c:pt idx="6">
                  <c:v>12427348.52</c:v>
                </c:pt>
                <c:pt idx="7">
                  <c:v>7837630.169999999</c:v>
                </c:pt>
                <c:pt idx="8">
                  <c:v>11212193.619999999</c:v>
                </c:pt>
                <c:pt idx="9">
                  <c:v>5658375.7000000002</c:v>
                </c:pt>
                <c:pt idx="10">
                  <c:v>11783650.649999999</c:v>
                </c:pt>
                <c:pt idx="11">
                  <c:v>4232765.6900000004</c:v>
                </c:pt>
                <c:pt idx="12">
                  <c:v>8463036.3099999968</c:v>
                </c:pt>
                <c:pt idx="13">
                  <c:v>6862534.830000001</c:v>
                </c:pt>
                <c:pt idx="14">
                  <c:v>11007740.510000002</c:v>
                </c:pt>
                <c:pt idx="15">
                  <c:v>16375747.500000004</c:v>
                </c:pt>
                <c:pt idx="16">
                  <c:v>10852580.68</c:v>
                </c:pt>
                <c:pt idx="17">
                  <c:v>6034829.080000001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7-4E12-8A15-4045C7AFCD24}"/>
            </c:ext>
          </c:extLst>
        </c:ser>
        <c:ser>
          <c:idx val="1"/>
          <c:order val="1"/>
          <c:tx>
            <c:strRef>
              <c:f>Pivot_Brand_Performance!$C$3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Pivot_Brand_Performance!$A$4:$A$30</c:f>
              <c:multiLvlStrCache>
                <c:ptCount val="18"/>
                <c:lvl>
                  <c:pt idx="0">
                    <c:v>Magnus EX</c:v>
                  </c:pt>
                  <c:pt idx="1">
                    <c:v>Primus</c:v>
                  </c:pt>
                  <c:pt idx="2">
                    <c:v>450S</c:v>
                  </c:pt>
                  <c:pt idx="3">
                    <c:v>450X</c:v>
                  </c:pt>
                  <c:pt idx="4">
                    <c:v>Rizta</c:v>
                  </c:pt>
                  <c:pt idx="5">
                    <c:v>Chetak Premium</c:v>
                  </c:pt>
                  <c:pt idx="6">
                    <c:v>Chetak Urbane</c:v>
                  </c:pt>
                  <c:pt idx="7">
                    <c:v>Optima</c:v>
                  </c:pt>
                  <c:pt idx="8">
                    <c:v>Photon</c:v>
                  </c:pt>
                  <c:pt idx="9">
                    <c:v>S1 Air</c:v>
                  </c:pt>
                  <c:pt idx="10">
                    <c:v>S1 Pro</c:v>
                  </c:pt>
                  <c:pt idx="11">
                    <c:v>S1 X</c:v>
                  </c:pt>
                  <c:pt idx="12">
                    <c:v>RV1</c:v>
                  </c:pt>
                  <c:pt idx="13">
                    <c:v>RV400</c:v>
                  </c:pt>
                  <c:pt idx="14">
                    <c:v>iQube</c:v>
                  </c:pt>
                  <c:pt idx="15">
                    <c:v>X</c:v>
                  </c:pt>
                  <c:pt idx="16">
                    <c:v>V1 Pro</c:v>
                  </c:pt>
                  <c:pt idx="17">
                    <c:v>V2</c:v>
                  </c:pt>
                </c:lvl>
                <c:lvl>
                  <c:pt idx="0">
                    <c:v>Ampere</c:v>
                  </c:pt>
                  <c:pt idx="2">
                    <c:v>Ather</c:v>
                  </c:pt>
                  <c:pt idx="5">
                    <c:v>Bajaj</c:v>
                  </c:pt>
                  <c:pt idx="7">
                    <c:v>Hero Electric</c:v>
                  </c:pt>
                  <c:pt idx="9">
                    <c:v>Ola Electric</c:v>
                  </c:pt>
                  <c:pt idx="12">
                    <c:v>Revolt</c:v>
                  </c:pt>
                  <c:pt idx="14">
                    <c:v>TVS</c:v>
                  </c:pt>
                  <c:pt idx="16">
                    <c:v>Vida</c:v>
                  </c:pt>
                </c:lvl>
              </c:multiLvlStrCache>
            </c:multiLvlStrRef>
          </c:cat>
          <c:val>
            <c:numRef>
              <c:f>Pivot_Brand_Performance!$C$4:$C$30</c:f>
              <c:numCache>
                <c:formatCode>General</c:formatCode>
                <c:ptCount val="18"/>
                <c:pt idx="0">
                  <c:v>99</c:v>
                </c:pt>
                <c:pt idx="1">
                  <c:v>95</c:v>
                </c:pt>
                <c:pt idx="2">
                  <c:v>65</c:v>
                </c:pt>
                <c:pt idx="3">
                  <c:v>54</c:v>
                </c:pt>
                <c:pt idx="4">
                  <c:v>57</c:v>
                </c:pt>
                <c:pt idx="5">
                  <c:v>79</c:v>
                </c:pt>
                <c:pt idx="6">
                  <c:v>108</c:v>
                </c:pt>
                <c:pt idx="7">
                  <c:v>80</c:v>
                </c:pt>
                <c:pt idx="8">
                  <c:v>103</c:v>
                </c:pt>
                <c:pt idx="9">
                  <c:v>53</c:v>
                </c:pt>
                <c:pt idx="10">
                  <c:v>91</c:v>
                </c:pt>
                <c:pt idx="11">
                  <c:v>43</c:v>
                </c:pt>
                <c:pt idx="12">
                  <c:v>76</c:v>
                </c:pt>
                <c:pt idx="13">
                  <c:v>52</c:v>
                </c:pt>
                <c:pt idx="14">
                  <c:v>93</c:v>
                </c:pt>
                <c:pt idx="15">
                  <c:v>96</c:v>
                </c:pt>
                <c:pt idx="16">
                  <c:v>91</c:v>
                </c:pt>
                <c:pt idx="1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7-4E12-8A15-4045C7AFC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15588992"/>
        <c:axId val="1315270640"/>
      </c:barChart>
      <c:catAx>
        <c:axId val="121558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70640"/>
        <c:crosses val="autoZero"/>
        <c:auto val="1"/>
        <c:lblAlgn val="ctr"/>
        <c:lblOffset val="100"/>
        <c:noMultiLvlLbl val="0"/>
      </c:catAx>
      <c:valAx>
        <c:axId val="13152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8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[EV_Scooter_Sales_Analysis.xlsx]Pivot_Montly_Sales!PivotTable1</c:name>
    <c:fmtId val="2"/>
  </c:pivotSource>
  <c:chart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Pivot_Montly_Sales!$B$3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Pivot_Montly_Sales!$A$4:$A$20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</c:multiLvlStrCache>
            </c:multiLvlStrRef>
          </c:cat>
          <c:val>
            <c:numRef>
              <c:f>Pivot_Montly_Sales!$B$4:$B$20</c:f>
              <c:numCache>
                <c:formatCode>General</c:formatCode>
                <c:ptCount val="12"/>
                <c:pt idx="0">
                  <c:v>128</c:v>
                </c:pt>
                <c:pt idx="1">
                  <c:v>95</c:v>
                </c:pt>
                <c:pt idx="2">
                  <c:v>110</c:v>
                </c:pt>
                <c:pt idx="3">
                  <c:v>131</c:v>
                </c:pt>
                <c:pt idx="4">
                  <c:v>103</c:v>
                </c:pt>
                <c:pt idx="5">
                  <c:v>137</c:v>
                </c:pt>
                <c:pt idx="6">
                  <c:v>99</c:v>
                </c:pt>
                <c:pt idx="7">
                  <c:v>123</c:v>
                </c:pt>
                <c:pt idx="8">
                  <c:v>108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1E-443D-A662-65DAC9ED81D3}"/>
            </c:ext>
          </c:extLst>
        </c:ser>
        <c:ser>
          <c:idx val="1"/>
          <c:order val="1"/>
          <c:tx>
            <c:strRef>
              <c:f>Pivot_Montly_Sales!$C$3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Pivot_Montly_Sales!$A$4:$A$20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</c:multiLvlStrCache>
            </c:multiLvlStrRef>
          </c:cat>
          <c:val>
            <c:numRef>
              <c:f>Pivot_Montly_Sales!$C$4:$C$20</c:f>
              <c:numCache>
                <c:formatCode>_("₹"* #,##0.00_);_("₹"* \(#,##0.00\);_("₹"* "-"??_);_(@_)</c:formatCode>
                <c:ptCount val="12"/>
                <c:pt idx="0">
                  <c:v>15726716.989999996</c:v>
                </c:pt>
                <c:pt idx="1">
                  <c:v>11750041.180000002</c:v>
                </c:pt>
                <c:pt idx="2">
                  <c:v>14083943.629999999</c:v>
                </c:pt>
                <c:pt idx="3">
                  <c:v>15423248.380000003</c:v>
                </c:pt>
                <c:pt idx="4">
                  <c:v>12742848.590000002</c:v>
                </c:pt>
                <c:pt idx="5">
                  <c:v>16957836.73</c:v>
                </c:pt>
                <c:pt idx="6">
                  <c:v>11327894.090000002</c:v>
                </c:pt>
                <c:pt idx="7">
                  <c:v>14864722.019999996</c:v>
                </c:pt>
                <c:pt idx="8">
                  <c:v>13563151.479999999</c:v>
                </c:pt>
                <c:pt idx="9">
                  <c:v>14314723.420000006</c:v>
                </c:pt>
                <c:pt idx="10">
                  <c:v>15382832.990000002</c:v>
                </c:pt>
                <c:pt idx="11">
                  <c:v>13887938.75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E-443D-A662-65DAC9ED8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8929760"/>
        <c:axId val="1315247120"/>
      </c:barChart>
      <c:catAx>
        <c:axId val="92892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47120"/>
        <c:crosses val="autoZero"/>
        <c:auto val="1"/>
        <c:lblAlgn val="ctr"/>
        <c:lblOffset val="100"/>
        <c:noMultiLvlLbl val="0"/>
      </c:catAx>
      <c:valAx>
        <c:axId val="13152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2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[EV_Scooter_Sales_Analysis.xlsx]Pivot_Brand_Performance!PivotTable2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Brand-Performance</a:t>
            </a:r>
          </a:p>
        </c:rich>
      </c:tx>
      <c:layout>
        <c:manualLayout>
          <c:xMode val="edge"/>
          <c:yMode val="edge"/>
          <c:x val="0.77743569183101235"/>
          <c:y val="8.421698942931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Pivot_Brand_Performance!$B$3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Pivot_Brand_Performance!$A$4:$A$30</c:f>
              <c:multiLvlStrCache>
                <c:ptCount val="18"/>
                <c:lvl>
                  <c:pt idx="0">
                    <c:v>Magnus EX</c:v>
                  </c:pt>
                  <c:pt idx="1">
                    <c:v>Primus</c:v>
                  </c:pt>
                  <c:pt idx="2">
                    <c:v>450S</c:v>
                  </c:pt>
                  <c:pt idx="3">
                    <c:v>450X</c:v>
                  </c:pt>
                  <c:pt idx="4">
                    <c:v>Rizta</c:v>
                  </c:pt>
                  <c:pt idx="5">
                    <c:v>Chetak Premium</c:v>
                  </c:pt>
                  <c:pt idx="6">
                    <c:v>Chetak Urbane</c:v>
                  </c:pt>
                  <c:pt idx="7">
                    <c:v>Optima</c:v>
                  </c:pt>
                  <c:pt idx="8">
                    <c:v>Photon</c:v>
                  </c:pt>
                  <c:pt idx="9">
                    <c:v>S1 Air</c:v>
                  </c:pt>
                  <c:pt idx="10">
                    <c:v>S1 Pro</c:v>
                  </c:pt>
                  <c:pt idx="11">
                    <c:v>S1 X</c:v>
                  </c:pt>
                  <c:pt idx="12">
                    <c:v>RV1</c:v>
                  </c:pt>
                  <c:pt idx="13">
                    <c:v>RV400</c:v>
                  </c:pt>
                  <c:pt idx="14">
                    <c:v>iQube</c:v>
                  </c:pt>
                  <c:pt idx="15">
                    <c:v>X</c:v>
                  </c:pt>
                  <c:pt idx="16">
                    <c:v>V1 Pro</c:v>
                  </c:pt>
                  <c:pt idx="17">
                    <c:v>V2</c:v>
                  </c:pt>
                </c:lvl>
                <c:lvl>
                  <c:pt idx="0">
                    <c:v>Ampere</c:v>
                  </c:pt>
                  <c:pt idx="2">
                    <c:v>Ather</c:v>
                  </c:pt>
                  <c:pt idx="5">
                    <c:v>Bajaj</c:v>
                  </c:pt>
                  <c:pt idx="7">
                    <c:v>Hero Electric</c:v>
                  </c:pt>
                  <c:pt idx="9">
                    <c:v>Ola Electric</c:v>
                  </c:pt>
                  <c:pt idx="12">
                    <c:v>Revolt</c:v>
                  </c:pt>
                  <c:pt idx="14">
                    <c:v>TVS</c:v>
                  </c:pt>
                  <c:pt idx="16">
                    <c:v>Vida</c:v>
                  </c:pt>
                </c:lvl>
              </c:multiLvlStrCache>
            </c:multiLvlStrRef>
          </c:cat>
          <c:val>
            <c:numRef>
              <c:f>Pivot_Brand_Performance!$B$4:$B$30</c:f>
              <c:numCache>
                <c:formatCode>_("₹"* #,##0.00_);_("₹"* \(#,##0.00\);_("₹"* "-"??_);_(@_)</c:formatCode>
                <c:ptCount val="18"/>
                <c:pt idx="0">
                  <c:v>10213367.539999999</c:v>
                </c:pt>
                <c:pt idx="1">
                  <c:v>13310538.279999999</c:v>
                </c:pt>
                <c:pt idx="2">
                  <c:v>7832619.8199999984</c:v>
                </c:pt>
                <c:pt idx="3">
                  <c:v>7265587.5599999987</c:v>
                </c:pt>
                <c:pt idx="4">
                  <c:v>7446661.3399999999</c:v>
                </c:pt>
                <c:pt idx="5">
                  <c:v>11208690.450000001</c:v>
                </c:pt>
                <c:pt idx="6">
                  <c:v>12427348.52</c:v>
                </c:pt>
                <c:pt idx="7">
                  <c:v>7837630.169999999</c:v>
                </c:pt>
                <c:pt idx="8">
                  <c:v>11212193.619999999</c:v>
                </c:pt>
                <c:pt idx="9">
                  <c:v>5658375.7000000002</c:v>
                </c:pt>
                <c:pt idx="10">
                  <c:v>11783650.649999999</c:v>
                </c:pt>
                <c:pt idx="11">
                  <c:v>4232765.6900000004</c:v>
                </c:pt>
                <c:pt idx="12">
                  <c:v>8463036.3099999968</c:v>
                </c:pt>
                <c:pt idx="13">
                  <c:v>6862534.830000001</c:v>
                </c:pt>
                <c:pt idx="14">
                  <c:v>11007740.510000002</c:v>
                </c:pt>
                <c:pt idx="15">
                  <c:v>16375747.500000004</c:v>
                </c:pt>
                <c:pt idx="16">
                  <c:v>10852580.68</c:v>
                </c:pt>
                <c:pt idx="17">
                  <c:v>6034829.080000001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3-4739-92A7-642A2FBA0E41}"/>
            </c:ext>
          </c:extLst>
        </c:ser>
        <c:ser>
          <c:idx val="1"/>
          <c:order val="1"/>
          <c:tx>
            <c:strRef>
              <c:f>Pivot_Brand_Performance!$C$3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Pivot_Brand_Performance!$A$4:$A$30</c:f>
              <c:multiLvlStrCache>
                <c:ptCount val="18"/>
                <c:lvl>
                  <c:pt idx="0">
                    <c:v>Magnus EX</c:v>
                  </c:pt>
                  <c:pt idx="1">
                    <c:v>Primus</c:v>
                  </c:pt>
                  <c:pt idx="2">
                    <c:v>450S</c:v>
                  </c:pt>
                  <c:pt idx="3">
                    <c:v>450X</c:v>
                  </c:pt>
                  <c:pt idx="4">
                    <c:v>Rizta</c:v>
                  </c:pt>
                  <c:pt idx="5">
                    <c:v>Chetak Premium</c:v>
                  </c:pt>
                  <c:pt idx="6">
                    <c:v>Chetak Urbane</c:v>
                  </c:pt>
                  <c:pt idx="7">
                    <c:v>Optima</c:v>
                  </c:pt>
                  <c:pt idx="8">
                    <c:v>Photon</c:v>
                  </c:pt>
                  <c:pt idx="9">
                    <c:v>S1 Air</c:v>
                  </c:pt>
                  <c:pt idx="10">
                    <c:v>S1 Pro</c:v>
                  </c:pt>
                  <c:pt idx="11">
                    <c:v>S1 X</c:v>
                  </c:pt>
                  <c:pt idx="12">
                    <c:v>RV1</c:v>
                  </c:pt>
                  <c:pt idx="13">
                    <c:v>RV400</c:v>
                  </c:pt>
                  <c:pt idx="14">
                    <c:v>iQube</c:v>
                  </c:pt>
                  <c:pt idx="15">
                    <c:v>X</c:v>
                  </c:pt>
                  <c:pt idx="16">
                    <c:v>V1 Pro</c:v>
                  </c:pt>
                  <c:pt idx="17">
                    <c:v>V2</c:v>
                  </c:pt>
                </c:lvl>
                <c:lvl>
                  <c:pt idx="0">
                    <c:v>Ampere</c:v>
                  </c:pt>
                  <c:pt idx="2">
                    <c:v>Ather</c:v>
                  </c:pt>
                  <c:pt idx="5">
                    <c:v>Bajaj</c:v>
                  </c:pt>
                  <c:pt idx="7">
                    <c:v>Hero Electric</c:v>
                  </c:pt>
                  <c:pt idx="9">
                    <c:v>Ola Electric</c:v>
                  </c:pt>
                  <c:pt idx="12">
                    <c:v>Revolt</c:v>
                  </c:pt>
                  <c:pt idx="14">
                    <c:v>TVS</c:v>
                  </c:pt>
                  <c:pt idx="16">
                    <c:v>Vida</c:v>
                  </c:pt>
                </c:lvl>
              </c:multiLvlStrCache>
            </c:multiLvlStrRef>
          </c:cat>
          <c:val>
            <c:numRef>
              <c:f>Pivot_Brand_Performance!$C$4:$C$30</c:f>
              <c:numCache>
                <c:formatCode>General</c:formatCode>
                <c:ptCount val="18"/>
                <c:pt idx="0">
                  <c:v>99</c:v>
                </c:pt>
                <c:pt idx="1">
                  <c:v>95</c:v>
                </c:pt>
                <c:pt idx="2">
                  <c:v>65</c:v>
                </c:pt>
                <c:pt idx="3">
                  <c:v>54</c:v>
                </c:pt>
                <c:pt idx="4">
                  <c:v>57</c:v>
                </c:pt>
                <c:pt idx="5">
                  <c:v>79</c:v>
                </c:pt>
                <c:pt idx="6">
                  <c:v>108</c:v>
                </c:pt>
                <c:pt idx="7">
                  <c:v>80</c:v>
                </c:pt>
                <c:pt idx="8">
                  <c:v>103</c:v>
                </c:pt>
                <c:pt idx="9">
                  <c:v>53</c:v>
                </c:pt>
                <c:pt idx="10">
                  <c:v>91</c:v>
                </c:pt>
                <c:pt idx="11">
                  <c:v>43</c:v>
                </c:pt>
                <c:pt idx="12">
                  <c:v>76</c:v>
                </c:pt>
                <c:pt idx="13">
                  <c:v>52</c:v>
                </c:pt>
                <c:pt idx="14">
                  <c:v>93</c:v>
                </c:pt>
                <c:pt idx="15">
                  <c:v>96</c:v>
                </c:pt>
                <c:pt idx="16">
                  <c:v>91</c:v>
                </c:pt>
                <c:pt idx="17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33-4739-92A7-642A2FBA0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215588992"/>
        <c:axId val="1315270640"/>
      </c:barChart>
      <c:catAx>
        <c:axId val="121558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70640"/>
        <c:crosses val="autoZero"/>
        <c:auto val="1"/>
        <c:lblAlgn val="ctr"/>
        <c:lblOffset val="100"/>
        <c:noMultiLvlLbl val="0"/>
      </c:catAx>
      <c:valAx>
        <c:axId val="13152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588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[EV_Scooter_Sales_Analysis.xlsx]Pivot_Salesperson_Performance!PivotTable5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Customer</a:t>
            </a:r>
            <a:r>
              <a:rPr lang="en-IN" baseline="0"/>
              <a:t>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Pivot_Salesperson_Performance!$B$3</c:f>
              <c:strCache>
                <c:ptCount val="1"/>
                <c:pt idx="0">
                  <c:v>Average of Customer_Rating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Pivot_Salesperson_Performance!$B$4:$B$34</c:f>
              <c:numCache>
                <c:formatCode>_(* #,##0.00_);_(* \(#,##0.00\);_(* "-"??_);_(@_)</c:formatCode>
                <c:ptCount val="30"/>
                <c:pt idx="0">
                  <c:v>4.160869565217391</c:v>
                </c:pt>
                <c:pt idx="1">
                  <c:v>4.0826086956521745</c:v>
                </c:pt>
                <c:pt idx="2">
                  <c:v>4.0242424242424235</c:v>
                </c:pt>
                <c:pt idx="3">
                  <c:v>4.1590909090909083</c:v>
                </c:pt>
                <c:pt idx="4">
                  <c:v>4.2095238095238097</c:v>
                </c:pt>
                <c:pt idx="5">
                  <c:v>4.0117647058823529</c:v>
                </c:pt>
                <c:pt idx="6">
                  <c:v>3.883333333333332</c:v>
                </c:pt>
                <c:pt idx="7">
                  <c:v>4.09375</c:v>
                </c:pt>
                <c:pt idx="8">
                  <c:v>4.10952380952381</c:v>
                </c:pt>
                <c:pt idx="9">
                  <c:v>4.2181818181818178</c:v>
                </c:pt>
                <c:pt idx="10">
                  <c:v>4.137931034482758</c:v>
                </c:pt>
                <c:pt idx="11">
                  <c:v>3.9038461538461533</c:v>
                </c:pt>
                <c:pt idx="12">
                  <c:v>4.0999999999999996</c:v>
                </c:pt>
                <c:pt idx="13">
                  <c:v>4.0666666666666664</c:v>
                </c:pt>
                <c:pt idx="14">
                  <c:v>4.1454545454545455</c:v>
                </c:pt>
                <c:pt idx="15">
                  <c:v>4.020833333333333</c:v>
                </c:pt>
                <c:pt idx="16">
                  <c:v>4.0739130434782602</c:v>
                </c:pt>
                <c:pt idx="17">
                  <c:v>4.3214285714285712</c:v>
                </c:pt>
                <c:pt idx="18">
                  <c:v>4.1035714285714278</c:v>
                </c:pt>
                <c:pt idx="19">
                  <c:v>4.2068965517241388</c:v>
                </c:pt>
                <c:pt idx="20">
                  <c:v>3.9869565217391298</c:v>
                </c:pt>
                <c:pt idx="21">
                  <c:v>4.1999999999999993</c:v>
                </c:pt>
                <c:pt idx="22">
                  <c:v>4.0411764705882343</c:v>
                </c:pt>
                <c:pt idx="23">
                  <c:v>4.0666666666666655</c:v>
                </c:pt>
                <c:pt idx="24">
                  <c:v>4.1083333333333325</c:v>
                </c:pt>
                <c:pt idx="25">
                  <c:v>4.0666666666666664</c:v>
                </c:pt>
                <c:pt idx="26">
                  <c:v>4.0666666666666664</c:v>
                </c:pt>
                <c:pt idx="27">
                  <c:v>4.1937499999999996</c:v>
                </c:pt>
                <c:pt idx="28">
                  <c:v>4.0222222222222221</c:v>
                </c:pt>
                <c:pt idx="29">
                  <c:v>4.1472222222222213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3-42D3-B652-CF2B6B66F09D}"/>
            </c:ext>
          </c:extLst>
        </c:ser>
        <c:ser>
          <c:idx val="1"/>
          <c:order val="1"/>
          <c:tx>
            <c:strRef>
              <c:f>Pivot_Salesperson_Performance!$C$3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Pivot_Salesperson_Performance!$C$4:$C$34</c:f>
              <c:numCache>
                <c:formatCode>General</c:formatCode>
                <c:ptCount val="30"/>
                <c:pt idx="0">
                  <c:v>48</c:v>
                </c:pt>
                <c:pt idx="1">
                  <c:v>37</c:v>
                </c:pt>
                <c:pt idx="2">
                  <c:v>85</c:v>
                </c:pt>
                <c:pt idx="3">
                  <c:v>46</c:v>
                </c:pt>
                <c:pt idx="4">
                  <c:v>38</c:v>
                </c:pt>
                <c:pt idx="5">
                  <c:v>28</c:v>
                </c:pt>
                <c:pt idx="6">
                  <c:v>48</c:v>
                </c:pt>
                <c:pt idx="7">
                  <c:v>35</c:v>
                </c:pt>
                <c:pt idx="8">
                  <c:v>43</c:v>
                </c:pt>
                <c:pt idx="9">
                  <c:v>41</c:v>
                </c:pt>
                <c:pt idx="10">
                  <c:v>62</c:v>
                </c:pt>
                <c:pt idx="11">
                  <c:v>54</c:v>
                </c:pt>
                <c:pt idx="12">
                  <c:v>53</c:v>
                </c:pt>
                <c:pt idx="13">
                  <c:v>23</c:v>
                </c:pt>
                <c:pt idx="14">
                  <c:v>35</c:v>
                </c:pt>
                <c:pt idx="15">
                  <c:v>51</c:v>
                </c:pt>
                <c:pt idx="16">
                  <c:v>53</c:v>
                </c:pt>
                <c:pt idx="17">
                  <c:v>19</c:v>
                </c:pt>
                <c:pt idx="18">
                  <c:v>50</c:v>
                </c:pt>
                <c:pt idx="19">
                  <c:v>58</c:v>
                </c:pt>
                <c:pt idx="20">
                  <c:v>45</c:v>
                </c:pt>
                <c:pt idx="21">
                  <c:v>78</c:v>
                </c:pt>
                <c:pt idx="22">
                  <c:v>41</c:v>
                </c:pt>
                <c:pt idx="23">
                  <c:v>44</c:v>
                </c:pt>
                <c:pt idx="24">
                  <c:v>50</c:v>
                </c:pt>
                <c:pt idx="25">
                  <c:v>45</c:v>
                </c:pt>
                <c:pt idx="26">
                  <c:v>45</c:v>
                </c:pt>
                <c:pt idx="27">
                  <c:v>33</c:v>
                </c:pt>
                <c:pt idx="28">
                  <c:v>45</c:v>
                </c:pt>
                <c:pt idx="29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53-42D3-B652-CF2B6B66F09D}"/>
            </c:ext>
          </c:extLst>
        </c:ser>
        <c:ser>
          <c:idx val="2"/>
          <c:order val="2"/>
          <c:tx>
            <c:strRef>
              <c:f>Pivot_Salesperson_Performance!$D$3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Pivot_Salesperson_Performance!$A$4:$A$34</c:f>
              <c:strCache>
                <c:ptCount val="30"/>
                <c:pt idx="0">
                  <c:v>SP-001</c:v>
                </c:pt>
                <c:pt idx="1">
                  <c:v>SP-002</c:v>
                </c:pt>
                <c:pt idx="2">
                  <c:v>SP-003</c:v>
                </c:pt>
                <c:pt idx="3">
                  <c:v>SP-004</c:v>
                </c:pt>
                <c:pt idx="4">
                  <c:v>SP-005</c:v>
                </c:pt>
                <c:pt idx="5">
                  <c:v>SP-006</c:v>
                </c:pt>
                <c:pt idx="6">
                  <c:v>SP-007</c:v>
                </c:pt>
                <c:pt idx="7">
                  <c:v>SP-008</c:v>
                </c:pt>
                <c:pt idx="8">
                  <c:v>SP-009</c:v>
                </c:pt>
                <c:pt idx="9">
                  <c:v>SP-010</c:v>
                </c:pt>
                <c:pt idx="10">
                  <c:v>SP-011</c:v>
                </c:pt>
                <c:pt idx="11">
                  <c:v>SP-012</c:v>
                </c:pt>
                <c:pt idx="12">
                  <c:v>SP-013</c:v>
                </c:pt>
                <c:pt idx="13">
                  <c:v>SP-014</c:v>
                </c:pt>
                <c:pt idx="14">
                  <c:v>SP-015</c:v>
                </c:pt>
                <c:pt idx="15">
                  <c:v>SP-016</c:v>
                </c:pt>
                <c:pt idx="16">
                  <c:v>SP-017</c:v>
                </c:pt>
                <c:pt idx="17">
                  <c:v>SP-018</c:v>
                </c:pt>
                <c:pt idx="18">
                  <c:v>SP-019</c:v>
                </c:pt>
                <c:pt idx="19">
                  <c:v>SP-020</c:v>
                </c:pt>
                <c:pt idx="20">
                  <c:v>SP-021</c:v>
                </c:pt>
                <c:pt idx="21">
                  <c:v>SP-022</c:v>
                </c:pt>
                <c:pt idx="22">
                  <c:v>SP-023</c:v>
                </c:pt>
                <c:pt idx="23">
                  <c:v>SP-024</c:v>
                </c:pt>
                <c:pt idx="24">
                  <c:v>SP-025</c:v>
                </c:pt>
                <c:pt idx="25">
                  <c:v>SP-026</c:v>
                </c:pt>
                <c:pt idx="26">
                  <c:v>SP-027</c:v>
                </c:pt>
                <c:pt idx="27">
                  <c:v>SP-028</c:v>
                </c:pt>
                <c:pt idx="28">
                  <c:v>SP-029</c:v>
                </c:pt>
                <c:pt idx="29">
                  <c:v>SP-030</c:v>
                </c:pt>
              </c:strCache>
            </c:strRef>
          </c:cat>
          <c:val>
            <c:numRef>
              <c:f>Pivot_Salesperson_Performance!$D$4:$D$34</c:f>
              <c:numCache>
                <c:formatCode>_("₹"* #,##0.00_);_("₹"* \(#,##0.00\);_("₹"* "-"??_);_(@_)</c:formatCode>
                <c:ptCount val="30"/>
                <c:pt idx="0">
                  <c:v>5672955.4000000004</c:v>
                </c:pt>
                <c:pt idx="1">
                  <c:v>4218781.6199999982</c:v>
                </c:pt>
                <c:pt idx="2">
                  <c:v>10541685.870000003</c:v>
                </c:pt>
                <c:pt idx="3">
                  <c:v>5399908.54</c:v>
                </c:pt>
                <c:pt idx="4">
                  <c:v>4769021.17</c:v>
                </c:pt>
                <c:pt idx="5">
                  <c:v>3478279.0699999994</c:v>
                </c:pt>
                <c:pt idx="6">
                  <c:v>5755963.0599999996</c:v>
                </c:pt>
                <c:pt idx="7">
                  <c:v>4064335.54</c:v>
                </c:pt>
                <c:pt idx="8">
                  <c:v>5450994.6300000018</c:v>
                </c:pt>
                <c:pt idx="9">
                  <c:v>5023702.3299999991</c:v>
                </c:pt>
                <c:pt idx="10">
                  <c:v>7432691.6000000006</c:v>
                </c:pt>
                <c:pt idx="11">
                  <c:v>6479835.7499999991</c:v>
                </c:pt>
                <c:pt idx="12">
                  <c:v>6783223.25</c:v>
                </c:pt>
                <c:pt idx="13">
                  <c:v>2841635.89</c:v>
                </c:pt>
                <c:pt idx="14">
                  <c:v>4119094.1800000006</c:v>
                </c:pt>
                <c:pt idx="15">
                  <c:v>6042291.5</c:v>
                </c:pt>
                <c:pt idx="16">
                  <c:v>7044411.459999999</c:v>
                </c:pt>
                <c:pt idx="17">
                  <c:v>2196928.33</c:v>
                </c:pt>
                <c:pt idx="18">
                  <c:v>6085962.8000000007</c:v>
                </c:pt>
                <c:pt idx="19">
                  <c:v>6744049.1799999997</c:v>
                </c:pt>
                <c:pt idx="20">
                  <c:v>5734068.4200000009</c:v>
                </c:pt>
                <c:pt idx="21">
                  <c:v>9866508.3500000015</c:v>
                </c:pt>
                <c:pt idx="22">
                  <c:v>4835601.7600000007</c:v>
                </c:pt>
                <c:pt idx="23">
                  <c:v>5208200.7799999993</c:v>
                </c:pt>
                <c:pt idx="24">
                  <c:v>6107835.9900000002</c:v>
                </c:pt>
                <c:pt idx="25">
                  <c:v>5826242.2599999988</c:v>
                </c:pt>
                <c:pt idx="26">
                  <c:v>5419144.6800000006</c:v>
                </c:pt>
                <c:pt idx="27">
                  <c:v>3860793.43</c:v>
                </c:pt>
                <c:pt idx="28">
                  <c:v>5569172.6799999997</c:v>
                </c:pt>
                <c:pt idx="29">
                  <c:v>7452578.7300000014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53-42D3-B652-CF2B6B66F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717980672"/>
        <c:axId val="1315240880"/>
      </c:barChart>
      <c:catAx>
        <c:axId val="17179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40880"/>
        <c:crosses val="autoZero"/>
        <c:auto val="1"/>
        <c:lblAlgn val="ctr"/>
        <c:lblOffset val="100"/>
        <c:noMultiLvlLbl val="0"/>
      </c:catAx>
      <c:valAx>
        <c:axId val="131524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798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[EV_Scooter_Sales_Analysis.xlsx]Pivot_Segment _Performance!PivotTable3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  <a:r>
              <a:rPr lang="en-US" baseline="0"/>
              <a:t>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'Pivot_Segment _Performance'!$B$3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'Pivot_Segment _Performance'!$A$4:$A$84</c:f>
              <c:multiLvlStrCache>
                <c:ptCount val="54"/>
                <c:lvl>
                  <c:pt idx="0">
                    <c:v>Commuter</c:v>
                  </c:pt>
                  <c:pt idx="1">
                    <c:v>Performance</c:v>
                  </c:pt>
                  <c:pt idx="2">
                    <c:v>Premium</c:v>
                  </c:pt>
                  <c:pt idx="3">
                    <c:v>Commuter</c:v>
                  </c:pt>
                  <c:pt idx="4">
                    <c:v>Performance</c:v>
                  </c:pt>
                  <c:pt idx="5">
                    <c:v>Premium</c:v>
                  </c:pt>
                  <c:pt idx="6">
                    <c:v>Commuter</c:v>
                  </c:pt>
                  <c:pt idx="7">
                    <c:v>Performance</c:v>
                  </c:pt>
                  <c:pt idx="8">
                    <c:v>Premium</c:v>
                  </c:pt>
                  <c:pt idx="9">
                    <c:v>Commuter</c:v>
                  </c:pt>
                  <c:pt idx="10">
                    <c:v>Performance</c:v>
                  </c:pt>
                  <c:pt idx="11">
                    <c:v>Premium</c:v>
                  </c:pt>
                  <c:pt idx="12">
                    <c:v>Commuter</c:v>
                  </c:pt>
                  <c:pt idx="13">
                    <c:v>Performance</c:v>
                  </c:pt>
                  <c:pt idx="14">
                    <c:v>Premium</c:v>
                  </c:pt>
                  <c:pt idx="15">
                    <c:v>Commuter</c:v>
                  </c:pt>
                  <c:pt idx="16">
                    <c:v>Performance</c:v>
                  </c:pt>
                  <c:pt idx="17">
                    <c:v>Premium</c:v>
                  </c:pt>
                  <c:pt idx="18">
                    <c:v>Commuter</c:v>
                  </c:pt>
                  <c:pt idx="19">
                    <c:v>Performance</c:v>
                  </c:pt>
                  <c:pt idx="20">
                    <c:v>Premium</c:v>
                  </c:pt>
                  <c:pt idx="21">
                    <c:v>Commuter</c:v>
                  </c:pt>
                  <c:pt idx="22">
                    <c:v>Performance</c:v>
                  </c:pt>
                  <c:pt idx="23">
                    <c:v>Premium</c:v>
                  </c:pt>
                  <c:pt idx="24">
                    <c:v>Commuter</c:v>
                  </c:pt>
                  <c:pt idx="25">
                    <c:v>Performance</c:v>
                  </c:pt>
                  <c:pt idx="26">
                    <c:v>Premium</c:v>
                  </c:pt>
                  <c:pt idx="27">
                    <c:v>Commuter</c:v>
                  </c:pt>
                  <c:pt idx="28">
                    <c:v>Performance</c:v>
                  </c:pt>
                  <c:pt idx="29">
                    <c:v>Premium</c:v>
                  </c:pt>
                  <c:pt idx="30">
                    <c:v>Commuter</c:v>
                  </c:pt>
                  <c:pt idx="31">
                    <c:v>Performance</c:v>
                  </c:pt>
                  <c:pt idx="32">
                    <c:v>Premium</c:v>
                  </c:pt>
                  <c:pt idx="33">
                    <c:v>Commuter</c:v>
                  </c:pt>
                  <c:pt idx="34">
                    <c:v>Performance</c:v>
                  </c:pt>
                  <c:pt idx="35">
                    <c:v>Premium</c:v>
                  </c:pt>
                  <c:pt idx="36">
                    <c:v>Commuter</c:v>
                  </c:pt>
                  <c:pt idx="37">
                    <c:v>Performance</c:v>
                  </c:pt>
                  <c:pt idx="38">
                    <c:v>Premium</c:v>
                  </c:pt>
                  <c:pt idx="39">
                    <c:v>Commuter</c:v>
                  </c:pt>
                  <c:pt idx="40">
                    <c:v>Performance</c:v>
                  </c:pt>
                  <c:pt idx="41">
                    <c:v>Premium</c:v>
                  </c:pt>
                  <c:pt idx="42">
                    <c:v>Commuter</c:v>
                  </c:pt>
                  <c:pt idx="43">
                    <c:v>Performance</c:v>
                  </c:pt>
                  <c:pt idx="44">
                    <c:v>Premium</c:v>
                  </c:pt>
                  <c:pt idx="45">
                    <c:v>Commuter</c:v>
                  </c:pt>
                  <c:pt idx="46">
                    <c:v>Performance</c:v>
                  </c:pt>
                  <c:pt idx="47">
                    <c:v>Premium</c:v>
                  </c:pt>
                  <c:pt idx="48">
                    <c:v>Commuter</c:v>
                  </c:pt>
                  <c:pt idx="49">
                    <c:v>Performance</c:v>
                  </c:pt>
                  <c:pt idx="50">
                    <c:v>Premium</c:v>
                  </c:pt>
                  <c:pt idx="51">
                    <c:v>Commuter</c:v>
                  </c:pt>
                  <c:pt idx="52">
                    <c:v>Performance</c:v>
                  </c:pt>
                  <c:pt idx="53">
                    <c:v>Premium</c:v>
                  </c:pt>
                </c:lvl>
                <c:lvl>
                  <c:pt idx="0">
                    <c:v>Magnus EX</c:v>
                  </c:pt>
                  <c:pt idx="3">
                    <c:v>Primus</c:v>
                  </c:pt>
                  <c:pt idx="6">
                    <c:v>450S</c:v>
                  </c:pt>
                  <c:pt idx="9">
                    <c:v>450X</c:v>
                  </c:pt>
                  <c:pt idx="12">
                    <c:v>Rizta</c:v>
                  </c:pt>
                  <c:pt idx="15">
                    <c:v>Chetak Premium</c:v>
                  </c:pt>
                  <c:pt idx="18">
                    <c:v>Chetak Urbane</c:v>
                  </c:pt>
                  <c:pt idx="21">
                    <c:v>Optima</c:v>
                  </c:pt>
                  <c:pt idx="24">
                    <c:v>Photon</c:v>
                  </c:pt>
                  <c:pt idx="27">
                    <c:v>S1 Air</c:v>
                  </c:pt>
                  <c:pt idx="30">
                    <c:v>S1 Pro</c:v>
                  </c:pt>
                  <c:pt idx="33">
                    <c:v>S1 X</c:v>
                  </c:pt>
                  <c:pt idx="36">
                    <c:v>RV1</c:v>
                  </c:pt>
                  <c:pt idx="39">
                    <c:v>RV400</c:v>
                  </c:pt>
                  <c:pt idx="42">
                    <c:v>iQube</c:v>
                  </c:pt>
                  <c:pt idx="45">
                    <c:v>X</c:v>
                  </c:pt>
                  <c:pt idx="48">
                    <c:v>V1 Pro</c:v>
                  </c:pt>
                  <c:pt idx="51">
                    <c:v>V2</c:v>
                  </c:pt>
                </c:lvl>
                <c:lvl>
                  <c:pt idx="0">
                    <c:v>Ampere</c:v>
                  </c:pt>
                  <c:pt idx="6">
                    <c:v>Ather</c:v>
                  </c:pt>
                  <c:pt idx="15">
                    <c:v>Bajaj</c:v>
                  </c:pt>
                  <c:pt idx="21">
                    <c:v>Hero Electric</c:v>
                  </c:pt>
                  <c:pt idx="27">
                    <c:v>Ola Electric</c:v>
                  </c:pt>
                  <c:pt idx="36">
                    <c:v>Revolt</c:v>
                  </c:pt>
                  <c:pt idx="42">
                    <c:v>TVS</c:v>
                  </c:pt>
                  <c:pt idx="48">
                    <c:v>Vida</c:v>
                  </c:pt>
                </c:lvl>
              </c:multiLvlStrCache>
            </c:multiLvlStrRef>
          </c:cat>
          <c:val>
            <c:numRef>
              <c:f>'Pivot_Segment _Performance'!$B$4:$B$84</c:f>
              <c:numCache>
                <c:formatCode>General</c:formatCode>
                <c:ptCount val="54"/>
                <c:pt idx="0">
                  <c:v>33</c:v>
                </c:pt>
                <c:pt idx="1">
                  <c:v>36</c:v>
                </c:pt>
                <c:pt idx="2">
                  <c:v>30</c:v>
                </c:pt>
                <c:pt idx="3">
                  <c:v>31</c:v>
                </c:pt>
                <c:pt idx="4">
                  <c:v>22</c:v>
                </c:pt>
                <c:pt idx="5">
                  <c:v>42</c:v>
                </c:pt>
                <c:pt idx="6">
                  <c:v>20</c:v>
                </c:pt>
                <c:pt idx="7">
                  <c:v>17</c:v>
                </c:pt>
                <c:pt idx="8">
                  <c:v>28</c:v>
                </c:pt>
                <c:pt idx="9">
                  <c:v>9</c:v>
                </c:pt>
                <c:pt idx="10">
                  <c:v>17</c:v>
                </c:pt>
                <c:pt idx="11">
                  <c:v>28</c:v>
                </c:pt>
                <c:pt idx="12">
                  <c:v>25</c:v>
                </c:pt>
                <c:pt idx="13">
                  <c:v>20</c:v>
                </c:pt>
                <c:pt idx="14">
                  <c:v>12</c:v>
                </c:pt>
                <c:pt idx="15">
                  <c:v>19</c:v>
                </c:pt>
                <c:pt idx="16">
                  <c:v>25</c:v>
                </c:pt>
                <c:pt idx="17">
                  <c:v>35</c:v>
                </c:pt>
                <c:pt idx="18">
                  <c:v>46</c:v>
                </c:pt>
                <c:pt idx="19">
                  <c:v>37</c:v>
                </c:pt>
                <c:pt idx="20">
                  <c:v>25</c:v>
                </c:pt>
                <c:pt idx="21">
                  <c:v>28</c:v>
                </c:pt>
                <c:pt idx="22">
                  <c:v>27</c:v>
                </c:pt>
                <c:pt idx="23">
                  <c:v>25</c:v>
                </c:pt>
                <c:pt idx="24">
                  <c:v>30</c:v>
                </c:pt>
                <c:pt idx="25">
                  <c:v>33</c:v>
                </c:pt>
                <c:pt idx="26">
                  <c:v>40</c:v>
                </c:pt>
                <c:pt idx="27">
                  <c:v>25</c:v>
                </c:pt>
                <c:pt idx="28">
                  <c:v>21</c:v>
                </c:pt>
                <c:pt idx="29">
                  <c:v>7</c:v>
                </c:pt>
                <c:pt idx="30">
                  <c:v>29</c:v>
                </c:pt>
                <c:pt idx="31">
                  <c:v>34</c:v>
                </c:pt>
                <c:pt idx="32">
                  <c:v>28</c:v>
                </c:pt>
                <c:pt idx="33">
                  <c:v>21</c:v>
                </c:pt>
                <c:pt idx="34">
                  <c:v>12</c:v>
                </c:pt>
                <c:pt idx="35">
                  <c:v>10</c:v>
                </c:pt>
                <c:pt idx="36">
                  <c:v>31</c:v>
                </c:pt>
                <c:pt idx="37">
                  <c:v>21</c:v>
                </c:pt>
                <c:pt idx="38">
                  <c:v>24</c:v>
                </c:pt>
                <c:pt idx="39">
                  <c:v>6</c:v>
                </c:pt>
                <c:pt idx="40">
                  <c:v>21</c:v>
                </c:pt>
                <c:pt idx="41">
                  <c:v>25</c:v>
                </c:pt>
                <c:pt idx="42">
                  <c:v>28</c:v>
                </c:pt>
                <c:pt idx="43">
                  <c:v>34</c:v>
                </c:pt>
                <c:pt idx="44">
                  <c:v>31</c:v>
                </c:pt>
                <c:pt idx="45">
                  <c:v>23</c:v>
                </c:pt>
                <c:pt idx="46">
                  <c:v>37</c:v>
                </c:pt>
                <c:pt idx="47">
                  <c:v>36</c:v>
                </c:pt>
                <c:pt idx="48">
                  <c:v>22</c:v>
                </c:pt>
                <c:pt idx="49">
                  <c:v>47</c:v>
                </c:pt>
                <c:pt idx="50">
                  <c:v>22</c:v>
                </c:pt>
                <c:pt idx="51">
                  <c:v>25</c:v>
                </c:pt>
                <c:pt idx="52">
                  <c:v>10</c:v>
                </c:pt>
                <c:pt idx="5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8-4D51-97DF-48F4351AEB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674368"/>
        <c:axId val="1315265360"/>
      </c:barChart>
      <c:catAx>
        <c:axId val="1215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65360"/>
        <c:crosses val="autoZero"/>
        <c:auto val="1"/>
        <c:lblAlgn val="ctr"/>
        <c:lblOffset val="100"/>
        <c:noMultiLvlLbl val="0"/>
      </c:catAx>
      <c:valAx>
        <c:axId val="131526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67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[EV_Scooter_Sales_Analysis.xlsx]Pivot_Montly_Sales!PivotTable1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Quarterly</a:t>
            </a:r>
            <a:r>
              <a:rPr lang="en-IN" baseline="0"/>
              <a:t> Performance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Pivot_Montly_Sales!$B$3</c:f>
              <c:strCache>
                <c:ptCount val="1"/>
                <c:pt idx="0">
                  <c:v>Sum of Units_Sold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Pivot_Montly_Sales!$A$4:$A$20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</c:multiLvlStrCache>
            </c:multiLvlStrRef>
          </c:cat>
          <c:val>
            <c:numRef>
              <c:f>Pivot_Montly_Sales!$B$4:$B$20</c:f>
              <c:numCache>
                <c:formatCode>General</c:formatCode>
                <c:ptCount val="12"/>
                <c:pt idx="0">
                  <c:v>128</c:v>
                </c:pt>
                <c:pt idx="1">
                  <c:v>95</c:v>
                </c:pt>
                <c:pt idx="2">
                  <c:v>110</c:v>
                </c:pt>
                <c:pt idx="3">
                  <c:v>131</c:v>
                </c:pt>
                <c:pt idx="4">
                  <c:v>103</c:v>
                </c:pt>
                <c:pt idx="5">
                  <c:v>137</c:v>
                </c:pt>
                <c:pt idx="6">
                  <c:v>99</c:v>
                </c:pt>
                <c:pt idx="7">
                  <c:v>123</c:v>
                </c:pt>
                <c:pt idx="8">
                  <c:v>108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05-4073-A906-D20947CE8F28}"/>
            </c:ext>
          </c:extLst>
        </c:ser>
        <c:ser>
          <c:idx val="1"/>
          <c:order val="1"/>
          <c:tx>
            <c:strRef>
              <c:f>Pivot_Montly_Sales!$C$3</c:f>
              <c:strCache>
                <c:ptCount val="1"/>
                <c:pt idx="0">
                  <c:v>Sum of Net_Sales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Pivot_Montly_Sales!$A$4:$A$20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Q1</c:v>
                  </c:pt>
                  <c:pt idx="3">
                    <c:v>Q2</c:v>
                  </c:pt>
                  <c:pt idx="6">
                    <c:v>Q3</c:v>
                  </c:pt>
                  <c:pt idx="9">
                    <c:v>Q4</c:v>
                  </c:pt>
                </c:lvl>
              </c:multiLvlStrCache>
            </c:multiLvlStrRef>
          </c:cat>
          <c:val>
            <c:numRef>
              <c:f>Pivot_Montly_Sales!$C$4:$C$20</c:f>
              <c:numCache>
                <c:formatCode>_("₹"* #,##0.00_);_("₹"* \(#,##0.00\);_("₹"* "-"??_);_(@_)</c:formatCode>
                <c:ptCount val="12"/>
                <c:pt idx="0">
                  <c:v>15726716.989999996</c:v>
                </c:pt>
                <c:pt idx="1">
                  <c:v>11750041.180000002</c:v>
                </c:pt>
                <c:pt idx="2">
                  <c:v>14083943.629999999</c:v>
                </c:pt>
                <c:pt idx="3">
                  <c:v>15423248.380000003</c:v>
                </c:pt>
                <c:pt idx="4">
                  <c:v>12742848.590000002</c:v>
                </c:pt>
                <c:pt idx="5">
                  <c:v>16957836.73</c:v>
                </c:pt>
                <c:pt idx="6">
                  <c:v>11327894.090000002</c:v>
                </c:pt>
                <c:pt idx="7">
                  <c:v>14864722.019999996</c:v>
                </c:pt>
                <c:pt idx="8">
                  <c:v>13563151.479999999</c:v>
                </c:pt>
                <c:pt idx="9">
                  <c:v>14314723.420000006</c:v>
                </c:pt>
                <c:pt idx="10">
                  <c:v>15382832.990000002</c:v>
                </c:pt>
                <c:pt idx="11">
                  <c:v>13887938.75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05-4073-A906-D20947CE8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8929760"/>
        <c:axId val="1315247120"/>
      </c:barChart>
      <c:catAx>
        <c:axId val="92892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47120"/>
        <c:crosses val="autoZero"/>
        <c:auto val="1"/>
        <c:lblAlgn val="ctr"/>
        <c:lblOffset val="100"/>
        <c:noMultiLvlLbl val="0"/>
      </c:catAx>
      <c:valAx>
        <c:axId val="131524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92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506853</xdr:colOff>
      <xdr:row>4</xdr:row>
      <xdr:rowOff>115652</xdr:rowOff>
    </xdr:from>
    <xdr:to>
      <xdr:col>18</xdr:col>
      <xdr:colOff>162394</xdr:colOff>
      <xdr:row>30</xdr:row>
      <xdr:rowOff>24984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AEF7E-A3C3-F202-1E25-1AB6118D8F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2</xdr:row>
      <xdr:rowOff>38100</xdr:rowOff>
    </xdr:from>
    <xdr:to>
      <xdr:col>11</xdr:col>
      <xdr:colOff>594360</xdr:colOff>
      <xdr:row>24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3E0573-BB62-59D9-F732-637AC777EC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513679</xdr:colOff>
      <xdr:row>3</xdr:row>
      <xdr:rowOff>12904</xdr:rowOff>
    </xdr:from>
    <xdr:to>
      <xdr:col>19</xdr:col>
      <xdr:colOff>268943</xdr:colOff>
      <xdr:row>36</xdr:row>
      <xdr:rowOff>56030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F72613-A9A5-D4CC-FF3A-9F92096FB9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2</xdr:row>
      <xdr:rowOff>15240</xdr:rowOff>
    </xdr:from>
    <xdr:to>
      <xdr:col>15</xdr:col>
      <xdr:colOff>0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4BA70-74FE-F09C-E03A-8BBFC36E9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191881</xdr:colOff>
      <xdr:row>2</xdr:row>
      <xdr:rowOff>166935</xdr:rowOff>
    </xdr:from>
    <xdr:to>
      <xdr:col>12</xdr:col>
      <xdr:colOff>50241</xdr:colOff>
      <xdr:row>17</xdr:row>
      <xdr:rowOff>75362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81FFE2E-7BA5-5861-ED73-6E9DCCD506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137160</xdr:colOff>
      <xdr:row>1</xdr:row>
      <xdr:rowOff>137808</xdr:rowOff>
    </xdr:from>
    <xdr:to>
      <xdr:col>24</xdr:col>
      <xdr:colOff>-1</xdr:colOff>
      <xdr:row>6</xdr:row>
      <xdr:rowOff>91440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D51E368-C3D5-0C9B-0204-7A0E9F4E5834}"/>
            </a:ext>
          </a:extLst>
        </xdr:cNvPr>
        <xdr:cNvSpPr txBox="1"/>
      </xdr:nvSpPr>
      <xdr:spPr>
        <a:xfrm>
          <a:off x="1931035" y="328308"/>
          <a:ext cx="13134339" cy="90613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/>
            <a:t>EV</a:t>
          </a:r>
          <a:r>
            <a:rPr lang="en-IN" sz="3600" b="1" baseline="0"/>
            <a:t> SCOOTER </a:t>
          </a:r>
          <a:r>
            <a:rPr lang="en-IN" sz="3600" b="1"/>
            <a:t>SALES PERFORMANCE</a:t>
          </a:r>
          <a:r>
            <a:rPr lang="en-IN" sz="4400" b="1" baseline="0"/>
            <a:t> 2025</a:t>
          </a:r>
          <a:endParaRPr lang="en-IN" sz="3600" b="1"/>
        </a:p>
      </xdr:txBody>
    </xdr:sp>
    <xdr:clientData/>
  </xdr:twoCellAnchor>
  <xdr:twoCellAnchor>
    <xdr:from>
      <xdr:col>2</xdr:col>
      <xdr:colOff>151271</xdr:colOff>
      <xdr:row>7</xdr:row>
      <xdr:rowOff>38903</xdr:rowOff>
    </xdr:from>
    <xdr:to>
      <xdr:col>4</xdr:col>
      <xdr:colOff>565009</xdr:colOff>
      <xdr:row>8</xdr:row>
      <xdr:rowOff>159217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65443DB-2C72-4D3F-8781-456BCD1E8FBE}"/>
            </a:ext>
          </a:extLst>
        </xdr:cNvPr>
        <xdr:cNvSpPr txBox="1"/>
      </xdr:nvSpPr>
      <xdr:spPr>
        <a:xfrm>
          <a:off x="1958994" y="1344031"/>
          <a:ext cx="1629696" cy="3067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Revenue</a:t>
          </a:r>
        </a:p>
      </xdr:txBody>
    </xdr:sp>
    <xdr:clientData/>
  </xdr:twoCellAnchor>
  <xdr:twoCellAnchor>
    <xdr:from>
      <xdr:col>6</xdr:col>
      <xdr:colOff>1712</xdr:colOff>
      <xdr:row>7</xdr:row>
      <xdr:rowOff>38362</xdr:rowOff>
    </xdr:from>
    <xdr:to>
      <xdr:col>8</xdr:col>
      <xdr:colOff>415451</xdr:colOff>
      <xdr:row>8</xdr:row>
      <xdr:rowOff>161906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5A5A97-A93E-4371-8BDC-A9CF0B8AEADB}"/>
            </a:ext>
          </a:extLst>
        </xdr:cNvPr>
        <xdr:cNvSpPr txBox="1"/>
      </xdr:nvSpPr>
      <xdr:spPr>
        <a:xfrm>
          <a:off x="4256841" y="1305847"/>
          <a:ext cx="1635957" cy="3046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Units</a:t>
          </a:r>
        </a:p>
      </xdr:txBody>
    </xdr:sp>
    <xdr:clientData/>
  </xdr:twoCellAnchor>
  <xdr:twoCellAnchor>
    <xdr:from>
      <xdr:col>9</xdr:col>
      <xdr:colOff>559576</xdr:colOff>
      <xdr:row>7</xdr:row>
      <xdr:rowOff>54312</xdr:rowOff>
    </xdr:from>
    <xdr:to>
      <xdr:col>12</xdr:col>
      <xdr:colOff>370065</xdr:colOff>
      <xdr:row>8</xdr:row>
      <xdr:rowOff>177856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622F78F-F517-457B-A4AF-F47C08D10C6B}"/>
            </a:ext>
          </a:extLst>
        </xdr:cNvPr>
        <xdr:cNvSpPr txBox="1"/>
      </xdr:nvSpPr>
      <xdr:spPr>
        <a:xfrm>
          <a:off x="6576201" y="1387812"/>
          <a:ext cx="1620239" cy="31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Orders</a:t>
          </a:r>
        </a:p>
      </xdr:txBody>
    </xdr:sp>
    <xdr:clientData/>
  </xdr:twoCellAnchor>
  <xdr:twoCellAnchor>
    <xdr:from>
      <xdr:col>13</xdr:col>
      <xdr:colOff>602115</xdr:colOff>
      <xdr:row>7</xdr:row>
      <xdr:rowOff>46692</xdr:rowOff>
    </xdr:from>
    <xdr:to>
      <xdr:col>16</xdr:col>
      <xdr:colOff>406265</xdr:colOff>
      <xdr:row>8</xdr:row>
      <xdr:rowOff>170236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BA3D34-99AF-4589-9A67-7DAAA5439FDA}"/>
            </a:ext>
          </a:extLst>
        </xdr:cNvPr>
        <xdr:cNvSpPr txBox="1"/>
      </xdr:nvSpPr>
      <xdr:spPr>
        <a:xfrm>
          <a:off x="9031740" y="1380192"/>
          <a:ext cx="1613900" cy="31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Avg ASP</a:t>
          </a:r>
        </a:p>
      </xdr:txBody>
    </xdr:sp>
    <xdr:clientData/>
  </xdr:twoCellAnchor>
  <xdr:twoCellAnchor>
    <xdr:from>
      <xdr:col>17</xdr:col>
      <xdr:colOff>369070</xdr:colOff>
      <xdr:row>7</xdr:row>
      <xdr:rowOff>47158</xdr:rowOff>
    </xdr:from>
    <xdr:to>
      <xdr:col>20</xdr:col>
      <xdr:colOff>173221</xdr:colOff>
      <xdr:row>8</xdr:row>
      <xdr:rowOff>167472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282E32A-FAED-47BC-B096-12B54CDCA44A}"/>
            </a:ext>
          </a:extLst>
        </xdr:cNvPr>
        <xdr:cNvSpPr txBox="1"/>
      </xdr:nvSpPr>
      <xdr:spPr>
        <a:xfrm>
          <a:off x="11211695" y="1380658"/>
          <a:ext cx="1613901" cy="3108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Rating </a:t>
          </a:r>
        </a:p>
      </xdr:txBody>
    </xdr:sp>
    <xdr:clientData/>
  </xdr:twoCellAnchor>
  <xdr:twoCellAnchor>
    <xdr:from>
      <xdr:col>21</xdr:col>
      <xdr:colOff>167140</xdr:colOff>
      <xdr:row>7</xdr:row>
      <xdr:rowOff>46692</xdr:rowOff>
    </xdr:from>
    <xdr:to>
      <xdr:col>23</xdr:col>
      <xdr:colOff>574540</xdr:colOff>
      <xdr:row>8</xdr:row>
      <xdr:rowOff>170236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980DCCD-2594-40C4-A23F-3102A835FF6A}"/>
            </a:ext>
          </a:extLst>
        </xdr:cNvPr>
        <xdr:cNvSpPr txBox="1"/>
      </xdr:nvSpPr>
      <xdr:spPr>
        <a:xfrm>
          <a:off x="13422765" y="1380192"/>
          <a:ext cx="1613900" cy="3140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/>
            <a:t>Delivery</a:t>
          </a:r>
        </a:p>
      </xdr:txBody>
    </xdr:sp>
    <xdr:clientData/>
  </xdr:twoCellAnchor>
  <xdr:twoCellAnchor>
    <xdr:from>
      <xdr:col>6</xdr:col>
      <xdr:colOff>9929</xdr:colOff>
      <xdr:row>9</xdr:row>
      <xdr:rowOff>136143</xdr:rowOff>
    </xdr:from>
    <xdr:to>
      <xdr:col>8</xdr:col>
      <xdr:colOff>423668</xdr:colOff>
      <xdr:row>11</xdr:row>
      <xdr:rowOff>72889</xdr:rowOff>
    </xdr:to>
    <xdr:sp macro="" textlink="A3">
      <xdr:nvSpPr>
        <xdr:cNvPr id="10" name="TextBox 9">
          <a:extLst>
            <a:ext uri="{FF2B5EF4-FFF2-40B4-BE49-F238E27FC236}">
              <a16:creationId xmlns:a16="http://schemas.microsoft.com/office/drawing/2014/main" id="{713C8263-F179-4B97-838F-A9F0D2F80362}"/>
            </a:ext>
          </a:extLst>
        </xdr:cNvPr>
        <xdr:cNvSpPr txBox="1"/>
      </xdr:nvSpPr>
      <xdr:spPr>
        <a:xfrm>
          <a:off x="4265058" y="1765767"/>
          <a:ext cx="1635957" cy="29888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5AE36A1-A8AA-4C5B-85A1-DE2BBE516FFB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1394</a:t>
          </a:fld>
          <a:endParaRPr lang="en-IN" sz="3200" b="1"/>
        </a:p>
      </xdr:txBody>
    </xdr:sp>
    <xdr:clientData/>
  </xdr:twoCellAnchor>
  <xdr:twoCellAnchor>
    <xdr:from>
      <xdr:col>9</xdr:col>
      <xdr:colOff>563764</xdr:colOff>
      <xdr:row>9</xdr:row>
      <xdr:rowOff>126792</xdr:rowOff>
    </xdr:from>
    <xdr:to>
      <xdr:col>12</xdr:col>
      <xdr:colOff>366393</xdr:colOff>
      <xdr:row>11</xdr:row>
      <xdr:rowOff>62014</xdr:rowOff>
    </xdr:to>
    <xdr:sp macro="" textlink="A5">
      <xdr:nvSpPr>
        <xdr:cNvPr id="11" name="TextBox 10">
          <a:extLst>
            <a:ext uri="{FF2B5EF4-FFF2-40B4-BE49-F238E27FC236}">
              <a16:creationId xmlns:a16="http://schemas.microsoft.com/office/drawing/2014/main" id="{1A4A5BAE-8F40-45C6-895C-744E849D557F}"/>
            </a:ext>
          </a:extLst>
        </xdr:cNvPr>
        <xdr:cNvSpPr txBox="1"/>
      </xdr:nvSpPr>
      <xdr:spPr>
        <a:xfrm>
          <a:off x="6652219" y="1756416"/>
          <a:ext cx="1635956" cy="297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3D65CA0-1FF7-4142-8B10-78B94C2F64ED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700</a:t>
          </a:fld>
          <a:endParaRPr lang="en-IN" sz="3200" b="1"/>
        </a:p>
      </xdr:txBody>
    </xdr:sp>
    <xdr:clientData/>
  </xdr:twoCellAnchor>
  <xdr:twoCellAnchor>
    <xdr:from>
      <xdr:col>13</xdr:col>
      <xdr:colOff>602554</xdr:colOff>
      <xdr:row>9</xdr:row>
      <xdr:rowOff>126299</xdr:rowOff>
    </xdr:from>
    <xdr:to>
      <xdr:col>16</xdr:col>
      <xdr:colOff>409640</xdr:colOff>
      <xdr:row>11</xdr:row>
      <xdr:rowOff>61519</xdr:rowOff>
    </xdr:to>
    <xdr:sp macro="" textlink="A7">
      <xdr:nvSpPr>
        <xdr:cNvPr id="12" name="TextBox 11">
          <a:extLst>
            <a:ext uri="{FF2B5EF4-FFF2-40B4-BE49-F238E27FC236}">
              <a16:creationId xmlns:a16="http://schemas.microsoft.com/office/drawing/2014/main" id="{1461BD4B-88A4-4945-9212-574A0EEFCE66}"/>
            </a:ext>
          </a:extLst>
        </xdr:cNvPr>
        <xdr:cNvSpPr txBox="1"/>
      </xdr:nvSpPr>
      <xdr:spPr>
        <a:xfrm>
          <a:off x="9135445" y="1755923"/>
          <a:ext cx="1640413" cy="297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F1B063D-2688-4FD7-8E16-CEAF4CE2218E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₹ 1,21,603.07 </a:t>
          </a:fld>
          <a:endParaRPr lang="en-IN" sz="3200" b="1"/>
        </a:p>
      </xdr:txBody>
    </xdr:sp>
    <xdr:clientData/>
  </xdr:twoCellAnchor>
  <xdr:twoCellAnchor>
    <xdr:from>
      <xdr:col>21</xdr:col>
      <xdr:colOff>150912</xdr:colOff>
      <xdr:row>9</xdr:row>
      <xdr:rowOff>134483</xdr:rowOff>
    </xdr:from>
    <xdr:to>
      <xdr:col>23</xdr:col>
      <xdr:colOff>561248</xdr:colOff>
      <xdr:row>11</xdr:row>
      <xdr:rowOff>69703</xdr:rowOff>
    </xdr:to>
    <xdr:sp macro="" textlink="A11">
      <xdr:nvSpPr>
        <xdr:cNvPr id="13" name="TextBox 12">
          <a:extLst>
            <a:ext uri="{FF2B5EF4-FFF2-40B4-BE49-F238E27FC236}">
              <a16:creationId xmlns:a16="http://schemas.microsoft.com/office/drawing/2014/main" id="{24CD95CC-BB53-432C-BC9C-8428D6A1D0F7}"/>
            </a:ext>
          </a:extLst>
        </xdr:cNvPr>
        <xdr:cNvSpPr txBox="1"/>
      </xdr:nvSpPr>
      <xdr:spPr>
        <a:xfrm>
          <a:off x="13406537" y="1848983"/>
          <a:ext cx="1616836" cy="3162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8055C01B-0C94-4408-9615-D23C3CEE57F1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7.87 </a:t>
          </a:fld>
          <a:endParaRPr lang="en-IN" sz="3600" b="1"/>
        </a:p>
      </xdr:txBody>
    </xdr:sp>
    <xdr:clientData/>
  </xdr:twoCellAnchor>
  <xdr:twoCellAnchor>
    <xdr:from>
      <xdr:col>17</xdr:col>
      <xdr:colOff>380029</xdr:colOff>
      <xdr:row>9</xdr:row>
      <xdr:rowOff>111210</xdr:rowOff>
    </xdr:from>
    <xdr:to>
      <xdr:col>20</xdr:col>
      <xdr:colOff>187114</xdr:colOff>
      <xdr:row>11</xdr:row>
      <xdr:rowOff>46430</xdr:rowOff>
    </xdr:to>
    <xdr:sp macro="" textlink="A9">
      <xdr:nvSpPr>
        <xdr:cNvPr id="14" name="TextBox 13">
          <a:extLst>
            <a:ext uri="{FF2B5EF4-FFF2-40B4-BE49-F238E27FC236}">
              <a16:creationId xmlns:a16="http://schemas.microsoft.com/office/drawing/2014/main" id="{093DBCE5-5786-439F-AE22-29D1EFDCA2F5}"/>
            </a:ext>
          </a:extLst>
        </xdr:cNvPr>
        <xdr:cNvSpPr txBox="1"/>
      </xdr:nvSpPr>
      <xdr:spPr>
        <a:xfrm>
          <a:off x="11357356" y="1740834"/>
          <a:ext cx="1640411" cy="2973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07999E7-06A7-4196-96F8-CDED9ABB0AB2}" type="TxLink">
            <a:rPr lang="en-US" sz="1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4.10 </a:t>
          </a:fld>
          <a:endParaRPr lang="en-IN" sz="3600" b="1"/>
        </a:p>
      </xdr:txBody>
    </xdr:sp>
    <xdr:clientData/>
  </xdr:twoCellAnchor>
  <xdr:twoCellAnchor>
    <xdr:from>
      <xdr:col>2</xdr:col>
      <xdr:colOff>152471</xdr:colOff>
      <xdr:row>9</xdr:row>
      <xdr:rowOff>131368</xdr:rowOff>
    </xdr:from>
    <xdr:to>
      <xdr:col>4</xdr:col>
      <xdr:colOff>566209</xdr:colOff>
      <xdr:row>11</xdr:row>
      <xdr:rowOff>71072</xdr:rowOff>
    </xdr:to>
    <xdr:sp macro="" textlink="A1">
      <xdr:nvSpPr>
        <xdr:cNvPr id="15" name="TextBox 14">
          <a:extLst>
            <a:ext uri="{FF2B5EF4-FFF2-40B4-BE49-F238E27FC236}">
              <a16:creationId xmlns:a16="http://schemas.microsoft.com/office/drawing/2014/main" id="{43784FB0-8545-4D73-8D8A-772FEBC310C8}"/>
            </a:ext>
          </a:extLst>
        </xdr:cNvPr>
        <xdr:cNvSpPr txBox="1"/>
      </xdr:nvSpPr>
      <xdr:spPr>
        <a:xfrm>
          <a:off x="1960194" y="1809389"/>
          <a:ext cx="1629696" cy="3125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A28FDEE-996A-4396-8FC7-220F871039C8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₹ 17,00,25,898.25 </a:t>
          </a:fld>
          <a:endParaRPr lang="en-IN" sz="2800" b="1"/>
        </a:p>
      </xdr:txBody>
    </xdr:sp>
    <xdr:clientData/>
  </xdr:twoCellAnchor>
  <xdr:twoCellAnchor>
    <xdr:from>
      <xdr:col>12</xdr:col>
      <xdr:colOff>122856</xdr:colOff>
      <xdr:row>12</xdr:row>
      <xdr:rowOff>31751</xdr:rowOff>
    </xdr:from>
    <xdr:to>
      <xdr:col>24</xdr:col>
      <xdr:colOff>0</xdr:colOff>
      <xdr:row>31</xdr:row>
      <xdr:rowOff>74706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8217FA00-DD90-4B10-BA2C-2F5179B7D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144142</xdr:colOff>
      <xdr:row>32</xdr:row>
      <xdr:rowOff>62252</xdr:rowOff>
    </xdr:from>
    <xdr:to>
      <xdr:col>10</xdr:col>
      <xdr:colOff>477184</xdr:colOff>
      <xdr:row>52</xdr:row>
      <xdr:rowOff>94933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3E5A2829-4E4A-45FA-9284-37BF1BC9D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572434</xdr:colOff>
      <xdr:row>32</xdr:row>
      <xdr:rowOff>30536</xdr:rowOff>
    </xdr:from>
    <xdr:to>
      <xdr:col>23</xdr:col>
      <xdr:colOff>572434</xdr:colOff>
      <xdr:row>52</xdr:row>
      <xdr:rowOff>53329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5E8066D6-B5DC-41A8-B590-42FF42EF1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59764</xdr:colOff>
      <xdr:row>0</xdr:row>
      <xdr:rowOff>179293</xdr:rowOff>
    </xdr:from>
    <xdr:to>
      <xdr:col>24</xdr:col>
      <xdr:colOff>209175</xdr:colOff>
      <xdr:row>53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2B161A08-0DDD-81C3-CF64-926A030B18D7}"/>
            </a:ext>
          </a:extLst>
        </xdr:cNvPr>
        <xdr:cNvSpPr/>
      </xdr:nvSpPr>
      <xdr:spPr>
        <a:xfrm>
          <a:off x="1867646" y="179293"/>
          <a:ext cx="13626353" cy="9323295"/>
        </a:xfrm>
        <a:prstGeom prst="rect">
          <a:avLst/>
        </a:prstGeom>
        <a:noFill/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209176</xdr:colOff>
      <xdr:row>13</xdr:row>
      <xdr:rowOff>164352</xdr:rowOff>
    </xdr:from>
    <xdr:to>
      <xdr:col>12</xdr:col>
      <xdr:colOff>14940</xdr:colOff>
      <xdr:row>29</xdr:row>
      <xdr:rowOff>59765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92CF72E-B67C-41DF-BB1D-E6E99CF967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bz Amity" refreshedDate="46277.524295601848" createdVersion="8" refreshedVersion="8" minRefreshableVersion="3" recordCount="700" xr:uid="{97EAE88C-4A61-487D-9042-2DDBE93DD71F}">
  <cacheSource type="worksheet">
    <worksheetSource name="EV_Sales"/>
  </cacheSource>
  <cacheFields count="28">
    <cacheField name="Order_ID" numFmtId="0">
      <sharedItems count="700">
        <s v="EV10001"/>
        <s v="EV10002"/>
        <s v="EV10003"/>
        <s v="EV10004"/>
        <s v="EV10005"/>
        <s v="EV10006"/>
        <s v="EV10007"/>
        <s v="EV10008"/>
        <s v="EV10009"/>
        <s v="EV10010"/>
        <s v="EV10011"/>
        <s v="EV10012"/>
        <s v="EV10013"/>
        <s v="EV10014"/>
        <s v="EV10015"/>
        <s v="EV10016"/>
        <s v="EV10017"/>
        <s v="EV10018"/>
        <s v="EV10019"/>
        <s v="EV10020"/>
        <s v="EV10021"/>
        <s v="EV10022"/>
        <s v="EV10023"/>
        <s v="EV10024"/>
        <s v="EV10025"/>
        <s v="EV10026"/>
        <s v="EV10027"/>
        <s v="EV10028"/>
        <s v="EV10029"/>
        <s v="EV10030"/>
        <s v="EV10031"/>
        <s v="EV10032"/>
        <s v="EV10033"/>
        <s v="EV10034"/>
        <s v="EV10035"/>
        <s v="EV10036"/>
        <s v="EV10037"/>
        <s v="EV10038"/>
        <s v="EV10039"/>
        <s v="EV10040"/>
        <s v="EV10041"/>
        <s v="EV10042"/>
        <s v="EV10043"/>
        <s v="EV10044"/>
        <s v="EV10045"/>
        <s v="EV10046"/>
        <s v="EV10047"/>
        <s v="EV10048"/>
        <s v="EV10049"/>
        <s v="EV10050"/>
        <s v="EV10051"/>
        <s v="EV10052"/>
        <s v="EV10053"/>
        <s v="EV10054"/>
        <s v="EV10055"/>
        <s v="EV10056"/>
        <s v="EV10057"/>
        <s v="EV10058"/>
        <s v="EV10059"/>
        <s v="EV10060"/>
        <s v="EV10061"/>
        <s v="EV10062"/>
        <s v="EV10063"/>
        <s v="EV10064"/>
        <s v="EV10065"/>
        <s v="EV10066"/>
        <s v="EV10067"/>
        <s v="EV10068"/>
        <s v="EV10069"/>
        <s v="EV10070"/>
        <s v="EV10071"/>
        <s v="EV10072"/>
        <s v="EV10073"/>
        <s v="EV10074"/>
        <s v="EV10075"/>
        <s v="EV10076"/>
        <s v="EV10077"/>
        <s v="EV10078"/>
        <s v="EV10079"/>
        <s v="EV10080"/>
        <s v="EV10081"/>
        <s v="EV10082"/>
        <s v="EV10083"/>
        <s v="EV10084"/>
        <s v="EV10085"/>
        <s v="EV10086"/>
        <s v="EV10087"/>
        <s v="EV10088"/>
        <s v="EV10089"/>
        <s v="EV10090"/>
        <s v="EV10091"/>
        <s v="EV10092"/>
        <s v="EV10093"/>
        <s v="EV10094"/>
        <s v="EV10095"/>
        <s v="EV10096"/>
        <s v="EV10097"/>
        <s v="EV10098"/>
        <s v="EV10099"/>
        <s v="EV10100"/>
        <s v="EV10101"/>
        <s v="EV10102"/>
        <s v="EV10103"/>
        <s v="EV10104"/>
        <s v="EV10105"/>
        <s v="EV10106"/>
        <s v="EV10107"/>
        <s v="EV10108"/>
        <s v="EV10109"/>
        <s v="EV10110"/>
        <s v="EV10111"/>
        <s v="EV10112"/>
        <s v="EV10113"/>
        <s v="EV10114"/>
        <s v="EV10115"/>
        <s v="EV10116"/>
        <s v="EV10117"/>
        <s v="EV10118"/>
        <s v="EV10119"/>
        <s v="EV10120"/>
        <s v="EV10121"/>
        <s v="EV10122"/>
        <s v="EV10123"/>
        <s v="EV10124"/>
        <s v="EV10125"/>
        <s v="EV10126"/>
        <s v="EV10127"/>
        <s v="EV10128"/>
        <s v="EV10129"/>
        <s v="EV10130"/>
        <s v="EV10131"/>
        <s v="EV10132"/>
        <s v="EV10133"/>
        <s v="EV10134"/>
        <s v="EV10135"/>
        <s v="EV10136"/>
        <s v="EV10137"/>
        <s v="EV10138"/>
        <s v="EV10139"/>
        <s v="EV10140"/>
        <s v="EV10141"/>
        <s v="EV10142"/>
        <s v="EV10143"/>
        <s v="EV10144"/>
        <s v="EV10145"/>
        <s v="EV10146"/>
        <s v="EV10147"/>
        <s v="EV10148"/>
        <s v="EV10149"/>
        <s v="EV10150"/>
        <s v="EV10151"/>
        <s v="EV10152"/>
        <s v="EV10153"/>
        <s v="EV10154"/>
        <s v="EV10155"/>
        <s v="EV10156"/>
        <s v="EV10157"/>
        <s v="EV10158"/>
        <s v="EV10159"/>
        <s v="EV10160"/>
        <s v="EV10161"/>
        <s v="EV10162"/>
        <s v="EV10163"/>
        <s v="EV10164"/>
        <s v="EV10165"/>
        <s v="EV10166"/>
        <s v="EV10167"/>
        <s v="EV10168"/>
        <s v="EV10169"/>
        <s v="EV10170"/>
        <s v="EV10171"/>
        <s v="EV10172"/>
        <s v="EV10173"/>
        <s v="EV10174"/>
        <s v="EV10175"/>
        <s v="EV10176"/>
        <s v="EV10177"/>
        <s v="EV10178"/>
        <s v="EV10179"/>
        <s v="EV10180"/>
        <s v="EV10181"/>
        <s v="EV10182"/>
        <s v="EV10183"/>
        <s v="EV10184"/>
        <s v="EV10185"/>
        <s v="EV10186"/>
        <s v="EV10187"/>
        <s v="EV10188"/>
        <s v="EV10189"/>
        <s v="EV10190"/>
        <s v="EV10191"/>
        <s v="EV10192"/>
        <s v="EV10193"/>
        <s v="EV10194"/>
        <s v="EV10195"/>
        <s v="EV10196"/>
        <s v="EV10197"/>
        <s v="EV10198"/>
        <s v="EV10199"/>
        <s v="EV10200"/>
        <s v="EV10201"/>
        <s v="EV10202"/>
        <s v="EV10203"/>
        <s v="EV10204"/>
        <s v="EV10205"/>
        <s v="EV10206"/>
        <s v="EV10207"/>
        <s v="EV10208"/>
        <s v="EV10209"/>
        <s v="EV10210"/>
        <s v="EV10211"/>
        <s v="EV10212"/>
        <s v="EV10213"/>
        <s v="EV10214"/>
        <s v="EV10215"/>
        <s v="EV10216"/>
        <s v="EV10217"/>
        <s v="EV10218"/>
        <s v="EV10219"/>
        <s v="EV10220"/>
        <s v="EV10221"/>
        <s v="EV10222"/>
        <s v="EV10223"/>
        <s v="EV10224"/>
        <s v="EV10225"/>
        <s v="EV10226"/>
        <s v="EV10227"/>
        <s v="EV10228"/>
        <s v="EV10229"/>
        <s v="EV10230"/>
        <s v="EV10231"/>
        <s v="EV10232"/>
        <s v="EV10233"/>
        <s v="EV10234"/>
        <s v="EV10235"/>
        <s v="EV10236"/>
        <s v="EV10237"/>
        <s v="EV10238"/>
        <s v="EV10239"/>
        <s v="EV10240"/>
        <s v="EV10241"/>
        <s v="EV10242"/>
        <s v="EV10243"/>
        <s v="EV10244"/>
        <s v="EV10245"/>
        <s v="EV10246"/>
        <s v="EV10247"/>
        <s v="EV10248"/>
        <s v="EV10249"/>
        <s v="EV10250"/>
        <s v="EV10251"/>
        <s v="EV10252"/>
        <s v="EV10253"/>
        <s v="EV10254"/>
        <s v="EV10255"/>
        <s v="EV10256"/>
        <s v="EV10257"/>
        <s v="EV10258"/>
        <s v="EV10259"/>
        <s v="EV10260"/>
        <s v="EV10261"/>
        <s v="EV10262"/>
        <s v="EV10263"/>
        <s v="EV10264"/>
        <s v="EV10265"/>
        <s v="EV10266"/>
        <s v="EV10267"/>
        <s v="EV10268"/>
        <s v="EV10269"/>
        <s v="EV10270"/>
        <s v="EV10271"/>
        <s v="EV10272"/>
        <s v="EV10273"/>
        <s v="EV10274"/>
        <s v="EV10275"/>
        <s v="EV10276"/>
        <s v="EV10277"/>
        <s v="EV10278"/>
        <s v="EV10279"/>
        <s v="EV10280"/>
        <s v="EV10281"/>
        <s v="EV10282"/>
        <s v="EV10283"/>
        <s v="EV10284"/>
        <s v="EV10285"/>
        <s v="EV10286"/>
        <s v="EV10287"/>
        <s v="EV10288"/>
        <s v="EV10289"/>
        <s v="EV10290"/>
        <s v="EV10291"/>
        <s v="EV10292"/>
        <s v="EV10293"/>
        <s v="EV10294"/>
        <s v="EV10295"/>
        <s v="EV10296"/>
        <s v="EV10297"/>
        <s v="EV10298"/>
        <s v="EV10299"/>
        <s v="EV10300"/>
        <s v="EV10301"/>
        <s v="EV10302"/>
        <s v="EV10303"/>
        <s v="EV10304"/>
        <s v="EV10305"/>
        <s v="EV10306"/>
        <s v="EV10307"/>
        <s v="EV10308"/>
        <s v="EV10309"/>
        <s v="EV10310"/>
        <s v="EV10311"/>
        <s v="EV10312"/>
        <s v="EV10313"/>
        <s v="EV10314"/>
        <s v="EV10315"/>
        <s v="EV10316"/>
        <s v="EV10317"/>
        <s v="EV10318"/>
        <s v="EV10319"/>
        <s v="EV10320"/>
        <s v="EV10321"/>
        <s v="EV10322"/>
        <s v="EV10323"/>
        <s v="EV10324"/>
        <s v="EV10325"/>
        <s v="EV10326"/>
        <s v="EV10327"/>
        <s v="EV10328"/>
        <s v="EV10329"/>
        <s v="EV10330"/>
        <s v="EV10331"/>
        <s v="EV10332"/>
        <s v="EV10333"/>
        <s v="EV10334"/>
        <s v="EV10335"/>
        <s v="EV10336"/>
        <s v="EV10337"/>
        <s v="EV10338"/>
        <s v="EV10339"/>
        <s v="EV10340"/>
        <s v="EV10341"/>
        <s v="EV10342"/>
        <s v="EV10343"/>
        <s v="EV10344"/>
        <s v="EV10345"/>
        <s v="EV10346"/>
        <s v="EV10347"/>
        <s v="EV10348"/>
        <s v="EV10349"/>
        <s v="EV10350"/>
        <s v="EV10351"/>
        <s v="EV10352"/>
        <s v="EV10353"/>
        <s v="EV10354"/>
        <s v="EV10355"/>
        <s v="EV10356"/>
        <s v="EV10357"/>
        <s v="EV10358"/>
        <s v="EV10359"/>
        <s v="EV10360"/>
        <s v="EV10361"/>
        <s v="EV10362"/>
        <s v="EV10363"/>
        <s v="EV10364"/>
        <s v="EV10365"/>
        <s v="EV10366"/>
        <s v="EV10367"/>
        <s v="EV10368"/>
        <s v="EV10369"/>
        <s v="EV10370"/>
        <s v="EV10371"/>
        <s v="EV10372"/>
        <s v="EV10373"/>
        <s v="EV10374"/>
        <s v="EV10375"/>
        <s v="EV10376"/>
        <s v="EV10377"/>
        <s v="EV10378"/>
        <s v="EV10379"/>
        <s v="EV10380"/>
        <s v="EV10381"/>
        <s v="EV10382"/>
        <s v="EV10383"/>
        <s v="EV10384"/>
        <s v="EV10385"/>
        <s v="EV10386"/>
        <s v="EV10387"/>
        <s v="EV10388"/>
        <s v="EV10389"/>
        <s v="EV10390"/>
        <s v="EV10391"/>
        <s v="EV10392"/>
        <s v="EV10393"/>
        <s v="EV10394"/>
        <s v="EV10395"/>
        <s v="EV10396"/>
        <s v="EV10397"/>
        <s v="EV10398"/>
        <s v="EV10399"/>
        <s v="EV10400"/>
        <s v="EV10401"/>
        <s v="EV10402"/>
        <s v="EV10403"/>
        <s v="EV10404"/>
        <s v="EV10405"/>
        <s v="EV10406"/>
        <s v="EV10407"/>
        <s v="EV10408"/>
        <s v="EV10409"/>
        <s v="EV10410"/>
        <s v="EV10411"/>
        <s v="EV10412"/>
        <s v="EV10413"/>
        <s v="EV10414"/>
        <s v="EV10415"/>
        <s v="EV10416"/>
        <s v="EV10417"/>
        <s v="EV10418"/>
        <s v="EV10419"/>
        <s v="EV10420"/>
        <s v="EV10421"/>
        <s v="EV10422"/>
        <s v="EV10423"/>
        <s v="EV10424"/>
        <s v="EV10425"/>
        <s v="EV10426"/>
        <s v="EV10427"/>
        <s v="EV10428"/>
        <s v="EV10429"/>
        <s v="EV10430"/>
        <s v="EV10431"/>
        <s v="EV10432"/>
        <s v="EV10433"/>
        <s v="EV10434"/>
        <s v="EV10435"/>
        <s v="EV10436"/>
        <s v="EV10437"/>
        <s v="EV10438"/>
        <s v="EV10439"/>
        <s v="EV10440"/>
        <s v="EV10441"/>
        <s v="EV10442"/>
        <s v="EV10443"/>
        <s v="EV10444"/>
        <s v="EV10445"/>
        <s v="EV10446"/>
        <s v="EV10447"/>
        <s v="EV10448"/>
        <s v="EV10449"/>
        <s v="EV10450"/>
        <s v="EV10451"/>
        <s v="EV10452"/>
        <s v="EV10453"/>
        <s v="EV10454"/>
        <s v="EV10455"/>
        <s v="EV10456"/>
        <s v="EV10457"/>
        <s v="EV10458"/>
        <s v="EV10459"/>
        <s v="EV10460"/>
        <s v="EV10461"/>
        <s v="EV10462"/>
        <s v="EV10463"/>
        <s v="EV10464"/>
        <s v="EV10465"/>
        <s v="EV10466"/>
        <s v="EV10467"/>
        <s v="EV10468"/>
        <s v="EV10469"/>
        <s v="EV10470"/>
        <s v="EV10471"/>
        <s v="EV10472"/>
        <s v="EV10473"/>
        <s v="EV10474"/>
        <s v="EV10475"/>
        <s v="EV10476"/>
        <s v="EV10477"/>
        <s v="EV10478"/>
        <s v="EV10479"/>
        <s v="EV10480"/>
        <s v="EV10481"/>
        <s v="EV10482"/>
        <s v="EV10483"/>
        <s v="EV10484"/>
        <s v="EV10485"/>
        <s v="EV10486"/>
        <s v="EV10487"/>
        <s v="EV10488"/>
        <s v="EV10489"/>
        <s v="EV10490"/>
        <s v="EV10491"/>
        <s v="EV10492"/>
        <s v="EV10493"/>
        <s v="EV10494"/>
        <s v="EV10495"/>
        <s v="EV10496"/>
        <s v="EV10497"/>
        <s v="EV10498"/>
        <s v="EV10499"/>
        <s v="EV10500"/>
        <s v="EV10501"/>
        <s v="EV10502"/>
        <s v="EV10503"/>
        <s v="EV10504"/>
        <s v="EV10505"/>
        <s v="EV10506"/>
        <s v="EV10507"/>
        <s v="EV10508"/>
        <s v="EV10509"/>
        <s v="EV10510"/>
        <s v="EV10511"/>
        <s v="EV10512"/>
        <s v="EV10513"/>
        <s v="EV10514"/>
        <s v="EV10515"/>
        <s v="EV10516"/>
        <s v="EV10517"/>
        <s v="EV10518"/>
        <s v="EV10519"/>
        <s v="EV10520"/>
        <s v="EV10521"/>
        <s v="EV10522"/>
        <s v="EV10523"/>
        <s v="EV10524"/>
        <s v="EV10525"/>
        <s v="EV10526"/>
        <s v="EV10527"/>
        <s v="EV10528"/>
        <s v="EV10529"/>
        <s v="EV10530"/>
        <s v="EV10531"/>
        <s v="EV10532"/>
        <s v="EV10533"/>
        <s v="EV10534"/>
        <s v="EV10535"/>
        <s v="EV10536"/>
        <s v="EV10537"/>
        <s v="EV10538"/>
        <s v="EV10539"/>
        <s v="EV10540"/>
        <s v="EV10541"/>
        <s v="EV10542"/>
        <s v="EV10543"/>
        <s v="EV10544"/>
        <s v="EV10545"/>
        <s v="EV10546"/>
        <s v="EV10547"/>
        <s v="EV10548"/>
        <s v="EV10549"/>
        <s v="EV10550"/>
        <s v="EV10551"/>
        <s v="EV10552"/>
        <s v="EV10553"/>
        <s v="EV10554"/>
        <s v="EV10555"/>
        <s v="EV10556"/>
        <s v="EV10557"/>
        <s v="EV10558"/>
        <s v="EV10559"/>
        <s v="EV10560"/>
        <s v="EV10561"/>
        <s v="EV10562"/>
        <s v="EV10563"/>
        <s v="EV10564"/>
        <s v="EV10565"/>
        <s v="EV10566"/>
        <s v="EV10567"/>
        <s v="EV10568"/>
        <s v="EV10569"/>
        <s v="EV10570"/>
        <s v="EV10571"/>
        <s v="EV10572"/>
        <s v="EV10573"/>
        <s v="EV10574"/>
        <s v="EV10575"/>
        <s v="EV10576"/>
        <s v="EV10577"/>
        <s v="EV10578"/>
        <s v="EV10579"/>
        <s v="EV10580"/>
        <s v="EV10581"/>
        <s v="EV10582"/>
        <s v="EV10583"/>
        <s v="EV10584"/>
        <s v="EV10585"/>
        <s v="EV10586"/>
        <s v="EV10587"/>
        <s v="EV10588"/>
        <s v="EV10589"/>
        <s v="EV10590"/>
        <s v="EV10591"/>
        <s v="EV10592"/>
        <s v="EV10593"/>
        <s v="EV10594"/>
        <s v="EV10595"/>
        <s v="EV10596"/>
        <s v="EV10597"/>
        <s v="EV10598"/>
        <s v="EV10599"/>
        <s v="EV10600"/>
        <s v="EV10601"/>
        <s v="EV10602"/>
        <s v="EV10603"/>
        <s v="EV10604"/>
        <s v="EV10605"/>
        <s v="EV10606"/>
        <s v="EV10607"/>
        <s v="EV10608"/>
        <s v="EV10609"/>
        <s v="EV10610"/>
        <s v="EV10611"/>
        <s v="EV10612"/>
        <s v="EV10613"/>
        <s v="EV10614"/>
        <s v="EV10615"/>
        <s v="EV10616"/>
        <s v="EV10617"/>
        <s v="EV10618"/>
        <s v="EV10619"/>
        <s v="EV10620"/>
        <s v="EV10621"/>
        <s v="EV10622"/>
        <s v="EV10623"/>
        <s v="EV10624"/>
        <s v="EV10625"/>
        <s v="EV10626"/>
        <s v="EV10627"/>
        <s v="EV10628"/>
        <s v="EV10629"/>
        <s v="EV10630"/>
        <s v="EV10631"/>
        <s v="EV10632"/>
        <s v="EV10633"/>
        <s v="EV10634"/>
        <s v="EV10635"/>
        <s v="EV10636"/>
        <s v="EV10637"/>
        <s v="EV10638"/>
        <s v="EV10639"/>
        <s v="EV10640"/>
        <s v="EV10641"/>
        <s v="EV10642"/>
        <s v="EV10643"/>
        <s v="EV10644"/>
        <s v="EV10645"/>
        <s v="EV10646"/>
        <s v="EV10647"/>
        <s v="EV10648"/>
        <s v="EV10649"/>
        <s v="EV10650"/>
        <s v="EV10651"/>
        <s v="EV10652"/>
        <s v="EV10653"/>
        <s v="EV10654"/>
        <s v="EV10655"/>
        <s v="EV10656"/>
        <s v="EV10657"/>
        <s v="EV10658"/>
        <s v="EV10659"/>
        <s v="EV10660"/>
        <s v="EV10661"/>
        <s v="EV10662"/>
        <s v="EV10663"/>
        <s v="EV10664"/>
        <s v="EV10665"/>
        <s v="EV10666"/>
        <s v="EV10667"/>
        <s v="EV10668"/>
        <s v="EV10669"/>
        <s v="EV10670"/>
        <s v="EV10671"/>
        <s v="EV10672"/>
        <s v="EV10673"/>
        <s v="EV10674"/>
        <s v="EV10675"/>
        <s v="EV10676"/>
        <s v="EV10677"/>
        <s v="EV10678"/>
        <s v="EV10679"/>
        <s v="EV10680"/>
        <s v="EV10681"/>
        <s v="EV10682"/>
        <s v="EV10683"/>
        <s v="EV10684"/>
        <s v="EV10685"/>
        <s v="EV10686"/>
        <s v="EV10687"/>
        <s v="EV10688"/>
        <s v="EV10689"/>
        <s v="EV10690"/>
        <s v="EV10691"/>
        <s v="EV10692"/>
        <s v="EV10693"/>
        <s v="EV10694"/>
        <s v="EV10695"/>
        <s v="EV10696"/>
        <s v="EV10697"/>
        <s v="EV10698"/>
        <s v="EV10699"/>
        <s v="EV10700"/>
      </sharedItems>
    </cacheField>
    <cacheField name="Order_Date" numFmtId="164">
      <sharedItems containsSemiMixedTypes="0" containsNonDate="0" containsDate="1" containsString="0" minDate="2025-01-01T00:00:00" maxDate="2026-01-01T00:00:00"/>
    </cacheField>
    <cacheField name="Brand" numFmtId="0">
      <sharedItems count="8">
        <s v="Revolt"/>
        <s v="Vida"/>
        <s v="TVS"/>
        <s v="Bajaj"/>
        <s v="Hero Electric"/>
        <s v="Ather"/>
        <s v="Ampere"/>
        <s v="Ola Electric"/>
      </sharedItems>
    </cacheField>
    <cacheField name="Model" numFmtId="0">
      <sharedItems count="18">
        <s v="RV1"/>
        <s v="V2"/>
        <s v="iQube"/>
        <s v="Chetak Premium"/>
        <s v="Chetak Urbane"/>
        <s v="Photon"/>
        <s v="Optima"/>
        <s v="450X"/>
        <s v="Primus"/>
        <s v="V1 Pro"/>
        <s v="S1 Air"/>
        <s v="RV400"/>
        <s v="450S"/>
        <s v="Rizta"/>
        <s v="S1 X"/>
        <s v="Magnus EX"/>
        <s v="S1 Pro"/>
        <s v="X"/>
      </sharedItems>
    </cacheField>
    <cacheField name="Segment" numFmtId="0">
      <sharedItems count="3">
        <s v="Premium"/>
        <s v="Commuter"/>
        <s v="Performance"/>
      </sharedItems>
    </cacheField>
    <cacheField name="City" numFmtId="0">
      <sharedItems/>
    </cacheField>
    <cacheField name="Sales_Channel" numFmtId="0">
      <sharedItems count="4">
        <s v="Online"/>
        <s v="Fleet"/>
        <s v="Corporate"/>
        <s v="Dealer"/>
      </sharedItems>
    </cacheField>
    <cacheField name="Payment_Method" numFmtId="0">
      <sharedItems/>
    </cacheField>
    <cacheField name="Payment M" numFmtId="0">
      <sharedItems count="4">
        <s v="Finance"/>
        <s v="EMI"/>
        <s v="Cash"/>
        <s v=" Emi "/>
      </sharedItems>
    </cacheField>
    <cacheField name="Color" numFmtId="0">
      <sharedItems/>
    </cacheField>
    <cacheField name="Salesperson_ID" numFmtId="0">
      <sharedItems count="30">
        <s v="SP-002"/>
        <s v="SP-025"/>
        <s v="SP-007"/>
        <s v="SP-030"/>
        <s v="SP-028"/>
        <s v="SP-027"/>
        <s v="SP-001"/>
        <s v="SP-003"/>
        <s v="SP-023"/>
        <s v="SP-020"/>
        <s v="SP-010"/>
        <s v="SP-024"/>
        <s v="SP-016"/>
        <s v="SP-017"/>
        <s v="SP-021"/>
        <s v="SP-013"/>
        <s v="SP-029"/>
        <s v="SP-022"/>
        <s v="SP-014"/>
        <s v="SP-019"/>
        <s v="SP-005"/>
        <s v="SP-011"/>
        <s v="SP-015"/>
        <s v="SP-009"/>
        <s v="SP-026"/>
        <s v="SP-012"/>
        <s v="SP-008"/>
        <s v="SP-004"/>
        <s v="SP-018"/>
        <s v="SP-006"/>
      </sharedItems>
    </cacheField>
    <cacheField name="Units_Sold" numFmtId="0">
      <sharedItems containsSemiMixedTypes="0" containsString="0" containsNumber="1" containsInteger="1" minValue="1" maxValue="5"/>
    </cacheField>
    <cacheField name="Unit_Price" numFmtId="44">
      <sharedItems containsSemiMixedTypes="0" containsString="0" containsNumber="1" containsInteger="1" minValue="99182" maxValue="193254"/>
    </cacheField>
    <cacheField name="Discount_Pct" numFmtId="9">
      <sharedItems containsString="0" containsBlank="1" containsNumber="1" minValue="0.02" maxValue="0.12"/>
    </cacheField>
    <cacheField name="Cleaned Dis%" numFmtId="9">
      <sharedItems containsMixedTypes="1" containsNumber="1" minValue="0.02" maxValue="0.12"/>
    </cacheField>
    <cacheField name="Gross_Sales" numFmtId="170">
      <sharedItems containsSemiMixedTypes="0" containsString="0" containsNumber="1" containsInteger="1" minValue="101066" maxValue="950265"/>
    </cacheField>
    <cacheField name="Discount_Amount" numFmtId="44">
      <sharedItems containsSemiMixedTypes="0" containsString="0" containsNumber="1" minValue="2280.12" maxValue="85523.85"/>
    </cacheField>
    <cacheField name="Net_Sales" numFmtId="44">
      <sharedItems containsSemiMixedTypes="0" containsString="0" containsNumber="1" minValue="92866.04" maxValue="915228.84"/>
    </cacheField>
    <cacheField name="Battery_kWh" numFmtId="0">
      <sharedItems containsSemiMixedTypes="0" containsString="0" containsNumber="1" containsInteger="1" minValue="2" maxValue="5"/>
    </cacheField>
    <cacheField name="Range_km" numFmtId="0">
      <sharedItems containsSemiMixedTypes="0" containsString="0" containsNumber="1" containsInteger="1" minValue="116" maxValue="236"/>
    </cacheField>
    <cacheField name="Customer_Rating" numFmtId="0">
      <sharedItems containsMixedTypes="1" containsNumber="1" minValue="3" maxValue="5" count="22">
        <n v="3.7"/>
        <n v="4.4000000000000004"/>
        <n v="4.5999999999999996"/>
        <n v="3.2"/>
        <n v="3.4"/>
        <n v="3.8"/>
        <n v="4.5"/>
        <n v="3.9"/>
        <n v="4"/>
        <n v="4.2"/>
        <n v="4.8"/>
        <n v="4.9000000000000004"/>
        <n v="3.3"/>
        <s v="Missing"/>
        <n v="4.7"/>
        <n v="4.3"/>
        <n v="4.0999999999999996"/>
        <n v="3.6"/>
        <n v="5"/>
        <n v="3.5"/>
        <n v="3.1"/>
        <n v="3"/>
      </sharedItems>
    </cacheField>
    <cacheField name="Delivery_Days" numFmtId="0">
      <sharedItems containsSemiMixedTypes="0" containsString="0" containsNumber="1" containsInteger="1" minValue="-11" maxValue="14"/>
    </cacheField>
    <cacheField name="Cleaned Delivery Days" numFmtId="0">
      <sharedItems containsMixedTypes="1" containsNumber="1" containsInteger="1" minValue="2" maxValue="14"/>
    </cacheField>
    <cacheField name="Warranty_Years" numFmtId="0">
      <sharedItems containsSemiMixedTypes="0" containsString="0" containsNumber="1" containsInteger="1" minValue="2" maxValue="5"/>
    </cacheField>
    <cacheField name="ASP" numFmtId="168">
      <sharedItems containsSemiMixedTypes="0" containsString="0" containsNumber="1" minValue="88172.800000000003" maxValue="186517.97"/>
    </cacheField>
    <cacheField name="Month-Year" numFmtId="0">
      <sharedItems count="12">
        <s v="Dec-2025"/>
        <s v="Oct-2025"/>
        <s v="Nov-2025"/>
        <s v="Sep-2025"/>
        <s v="Feb-2025"/>
        <s v="Aug-2025"/>
        <s v="May-2025"/>
        <s v="Apr-2025"/>
        <s v="Jul-2025"/>
        <s v="Jun-2025"/>
        <s v="Mar-2025"/>
        <s v="Jan-2025"/>
      </sharedItems>
    </cacheField>
    <cacheField name="Month" numFmtId="0">
      <sharedItems containsSemiMixedTypes="0" containsString="0" containsNumber="1" containsInteger="1" minValue="1" maxValue="12" count="12">
        <n v="12"/>
        <n v="10"/>
        <n v="11"/>
        <n v="9"/>
        <n v="2"/>
        <n v="8"/>
        <n v="5"/>
        <n v="4"/>
        <n v="7"/>
        <n v="6"/>
        <n v="3"/>
        <n v="1"/>
      </sharedItems>
    </cacheField>
    <cacheField name="Quarter" numFmtId="0">
      <sharedItems count="4">
        <s v="Q4"/>
        <s v="Q3"/>
        <s v="Q1"/>
        <s v="Q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d v="2025-12-15T00:00:00"/>
    <x v="0"/>
    <x v="0"/>
    <x v="0"/>
    <s v="Chennai"/>
    <x v="0"/>
    <s v="Finance"/>
    <x v="0"/>
    <s v="Green"/>
    <x v="0"/>
    <n v="1"/>
    <n v="125898"/>
    <n v="0.08"/>
    <n v="0.08"/>
    <n v="125898"/>
    <n v="10071.84"/>
    <n v="115826.16"/>
    <n v="3"/>
    <n v="162"/>
    <x v="0"/>
    <n v="6"/>
    <n v="6"/>
    <n v="5"/>
    <n v="115826.16"/>
    <x v="0"/>
    <x v="0"/>
    <x v="0"/>
  </r>
  <r>
    <x v="1"/>
    <d v="2025-10-04T00:00:00"/>
    <x v="1"/>
    <x v="1"/>
    <x v="0"/>
    <s v="Bengaluru"/>
    <x v="1"/>
    <s v="Emi"/>
    <x v="1"/>
    <s v="Red"/>
    <x v="1"/>
    <n v="2"/>
    <n v="112819"/>
    <n v="2.1000000000000001E-2"/>
    <n v="2.1000000000000001E-2"/>
    <n v="225638"/>
    <n v="4738.3999999999996"/>
    <n v="220899.6"/>
    <n v="2"/>
    <n v="116"/>
    <x v="1"/>
    <n v="13"/>
    <n v="13"/>
    <n v="5"/>
    <n v="110449.8"/>
    <x v="1"/>
    <x v="1"/>
    <x v="0"/>
  </r>
  <r>
    <x v="2"/>
    <d v="2025-11-03T00:00:00"/>
    <x v="2"/>
    <x v="2"/>
    <x v="0"/>
    <s v="Hyderabad"/>
    <x v="1"/>
    <s v="Emi"/>
    <x v="1"/>
    <s v="Red"/>
    <x v="2"/>
    <n v="2"/>
    <n v="125383"/>
    <n v="2.1000000000000001E-2"/>
    <n v="2.1000000000000001E-2"/>
    <n v="250766"/>
    <n v="5266.09"/>
    <n v="245499.91"/>
    <n v="5"/>
    <n v="175"/>
    <x v="2"/>
    <n v="11"/>
    <n v="11"/>
    <n v="2"/>
    <n v="122749.955"/>
    <x v="2"/>
    <x v="2"/>
    <x v="0"/>
  </r>
  <r>
    <x v="3"/>
    <d v="2025-09-21T00:00:00"/>
    <x v="3"/>
    <x v="3"/>
    <x v="1"/>
    <s v="Mumbai"/>
    <x v="0"/>
    <s v="Finance"/>
    <x v="0"/>
    <s v="White"/>
    <x v="3"/>
    <n v="1"/>
    <n v="160095"/>
    <n v="4.5999999999999999E-2"/>
    <n v="4.5999999999999999E-2"/>
    <n v="160095"/>
    <n v="7364.37"/>
    <n v="152730.63"/>
    <n v="4"/>
    <n v="184"/>
    <x v="3"/>
    <n v="11"/>
    <n v="11"/>
    <n v="3"/>
    <n v="152730.63"/>
    <x v="3"/>
    <x v="3"/>
    <x v="1"/>
  </r>
  <r>
    <x v="4"/>
    <d v="2025-12-17T00:00:00"/>
    <x v="3"/>
    <x v="4"/>
    <x v="1"/>
    <s v="Ahmedabad"/>
    <x v="0"/>
    <s v="Cash"/>
    <x v="2"/>
    <s v="Red"/>
    <x v="4"/>
    <n v="4"/>
    <n v="114286"/>
    <n v="0.04"/>
    <n v="0.04"/>
    <n v="457144"/>
    <n v="18285.759999999998"/>
    <n v="438858.23999999999"/>
    <n v="2"/>
    <n v="133"/>
    <x v="4"/>
    <n v="3"/>
    <n v="3"/>
    <n v="5"/>
    <n v="109714.56"/>
    <x v="0"/>
    <x v="0"/>
    <x v="0"/>
  </r>
  <r>
    <x v="5"/>
    <d v="2025-02-10T00:00:00"/>
    <x v="3"/>
    <x v="3"/>
    <x v="1"/>
    <s v="Ahmedabad"/>
    <x v="2"/>
    <s v="Emi"/>
    <x v="1"/>
    <s v="Black"/>
    <x v="5"/>
    <n v="1"/>
    <n v="144470"/>
    <n v="2.1999999999999999E-2"/>
    <n v="2.1999999999999999E-2"/>
    <n v="144470"/>
    <n v="3178.34"/>
    <n v="141291.66"/>
    <n v="3"/>
    <n v="145"/>
    <x v="0"/>
    <n v="12"/>
    <n v="12"/>
    <n v="5"/>
    <n v="141291.66"/>
    <x v="4"/>
    <x v="4"/>
    <x v="2"/>
  </r>
  <r>
    <x v="6"/>
    <d v="2025-08-19T00:00:00"/>
    <x v="4"/>
    <x v="5"/>
    <x v="2"/>
    <s v="Ahmedabad"/>
    <x v="0"/>
    <s v="Emi"/>
    <x v="1"/>
    <s v="Blue"/>
    <x v="6"/>
    <n v="2"/>
    <n v="122830"/>
    <n v="0.105"/>
    <n v="0.105"/>
    <n v="245660"/>
    <n v="25794.3"/>
    <n v="219865.7"/>
    <n v="3"/>
    <n v="161"/>
    <x v="5"/>
    <n v="9"/>
    <n v="9"/>
    <n v="2"/>
    <n v="109932.85"/>
    <x v="5"/>
    <x v="5"/>
    <x v="1"/>
  </r>
  <r>
    <x v="7"/>
    <d v="2025-05-11T00:00:00"/>
    <x v="2"/>
    <x v="2"/>
    <x v="2"/>
    <s v="Kolkata"/>
    <x v="3"/>
    <s v="Cash"/>
    <x v="2"/>
    <s v="Red"/>
    <x v="3"/>
    <n v="3"/>
    <n v="127322"/>
    <n v="9.7000000000000003E-2"/>
    <n v="9.7000000000000003E-2"/>
    <n v="381966"/>
    <n v="37050.699999999997"/>
    <n v="344915.3"/>
    <n v="3"/>
    <n v="132"/>
    <x v="6"/>
    <n v="11"/>
    <n v="11"/>
    <n v="2"/>
    <n v="114971.76666666666"/>
    <x v="6"/>
    <x v="6"/>
    <x v="3"/>
  </r>
  <r>
    <x v="8"/>
    <d v="2025-08-19T00:00:00"/>
    <x v="4"/>
    <x v="6"/>
    <x v="1"/>
    <s v="Jaipur"/>
    <x v="3"/>
    <s v="Finance"/>
    <x v="0"/>
    <s v="Red"/>
    <x v="4"/>
    <n v="1"/>
    <n v="109806"/>
    <n v="4.2999999999999997E-2"/>
    <n v="4.2999999999999997E-2"/>
    <n v="109806"/>
    <n v="4721.66"/>
    <n v="105084.34"/>
    <n v="2"/>
    <n v="136"/>
    <x v="7"/>
    <n v="3"/>
    <n v="3"/>
    <n v="3"/>
    <n v="105084.34"/>
    <x v="5"/>
    <x v="5"/>
    <x v="1"/>
  </r>
  <r>
    <x v="9"/>
    <d v="2025-12-06T00:00:00"/>
    <x v="3"/>
    <x v="4"/>
    <x v="0"/>
    <s v="Jaipur"/>
    <x v="1"/>
    <s v="Cash"/>
    <x v="2"/>
    <s v="Black"/>
    <x v="7"/>
    <n v="4"/>
    <n v="121860"/>
    <n v="0.10100000000000001"/>
    <n v="0.10100000000000001"/>
    <n v="487440"/>
    <n v="49231.44"/>
    <n v="438208.56"/>
    <n v="5"/>
    <n v="191"/>
    <x v="8"/>
    <n v="10"/>
    <n v="10"/>
    <n v="5"/>
    <n v="109552.14"/>
    <x v="0"/>
    <x v="0"/>
    <x v="0"/>
  </r>
  <r>
    <x v="10"/>
    <d v="2025-05-17T00:00:00"/>
    <x v="0"/>
    <x v="0"/>
    <x v="1"/>
    <s v="Delhi"/>
    <x v="0"/>
    <s v="Finance"/>
    <x v="0"/>
    <s v="White"/>
    <x v="7"/>
    <n v="1"/>
    <n v="124432"/>
    <n v="4.7E-2"/>
    <n v="4.7E-2"/>
    <n v="124432"/>
    <n v="5848.3"/>
    <n v="118583.7"/>
    <n v="3"/>
    <n v="158"/>
    <x v="5"/>
    <n v="9"/>
    <n v="9"/>
    <n v="2"/>
    <n v="118583.7"/>
    <x v="6"/>
    <x v="6"/>
    <x v="3"/>
  </r>
  <r>
    <x v="11"/>
    <d v="2025-04-23T00:00:00"/>
    <x v="5"/>
    <x v="7"/>
    <x v="0"/>
    <s v="Mumbai"/>
    <x v="3"/>
    <s v="Finance"/>
    <x v="0"/>
    <s v="Green"/>
    <x v="8"/>
    <n v="5"/>
    <n v="141715"/>
    <n v="0.11799999999999999"/>
    <n v="0.11799999999999999"/>
    <n v="708575"/>
    <n v="83611.850000000006"/>
    <n v="624963.15"/>
    <n v="3"/>
    <n v="163"/>
    <x v="8"/>
    <n v="2"/>
    <n v="2"/>
    <n v="5"/>
    <n v="124992.63"/>
    <x v="7"/>
    <x v="7"/>
    <x v="3"/>
  </r>
  <r>
    <x v="12"/>
    <d v="2025-07-22T00:00:00"/>
    <x v="3"/>
    <x v="3"/>
    <x v="2"/>
    <s v="Pune"/>
    <x v="1"/>
    <s v="Cash"/>
    <x v="2"/>
    <s v="Blue"/>
    <x v="9"/>
    <n v="1"/>
    <n v="146085"/>
    <n v="0.1"/>
    <n v="0.1"/>
    <n v="146085"/>
    <n v="14608.5"/>
    <n v="131476.5"/>
    <n v="3"/>
    <n v="163"/>
    <x v="9"/>
    <n v="2"/>
    <n v="2"/>
    <n v="2"/>
    <n v="131476.5"/>
    <x v="8"/>
    <x v="8"/>
    <x v="1"/>
  </r>
  <r>
    <x v="13"/>
    <d v="2025-12-12T00:00:00"/>
    <x v="3"/>
    <x v="3"/>
    <x v="2"/>
    <s v="Jaipur"/>
    <x v="3"/>
    <s v="Finance"/>
    <x v="0"/>
    <s v="Green"/>
    <x v="10"/>
    <n v="2"/>
    <n v="145756"/>
    <n v="8.5000000000000006E-2"/>
    <n v="8.5000000000000006E-2"/>
    <n v="291512"/>
    <n v="24778.52"/>
    <n v="266733.48"/>
    <n v="3"/>
    <n v="152"/>
    <x v="10"/>
    <n v="3"/>
    <n v="3"/>
    <n v="2"/>
    <n v="133366.74"/>
    <x v="0"/>
    <x v="0"/>
    <x v="0"/>
  </r>
  <r>
    <x v="14"/>
    <d v="2025-09-09T00:00:00"/>
    <x v="2"/>
    <x v="2"/>
    <x v="1"/>
    <s v="Bengaluru"/>
    <x v="2"/>
    <s v="Emi"/>
    <x v="1"/>
    <s v="Red"/>
    <x v="11"/>
    <n v="1"/>
    <n v="134687"/>
    <n v="7.1999999999999995E-2"/>
    <n v="7.1999999999999995E-2"/>
    <n v="134687"/>
    <n v="9697.4599999999991"/>
    <n v="124989.54"/>
    <n v="3"/>
    <n v="176"/>
    <x v="9"/>
    <n v="8"/>
    <n v="8"/>
    <n v="2"/>
    <n v="124989.54"/>
    <x v="3"/>
    <x v="3"/>
    <x v="1"/>
  </r>
  <r>
    <x v="15"/>
    <d v="2025-06-10T00:00:00"/>
    <x v="6"/>
    <x v="8"/>
    <x v="0"/>
    <s v="Mumbai"/>
    <x v="0"/>
    <s v="Finance"/>
    <x v="0"/>
    <s v="Blue"/>
    <x v="12"/>
    <n v="2"/>
    <n v="142766"/>
    <n v="3.5999999999999997E-2"/>
    <n v="3.5999999999999997E-2"/>
    <n v="285532"/>
    <n v="10279.15"/>
    <n v="275252.84999999998"/>
    <n v="5"/>
    <n v="203"/>
    <x v="5"/>
    <n v="14"/>
    <n v="14"/>
    <n v="3"/>
    <n v="137626.42499999999"/>
    <x v="9"/>
    <x v="9"/>
    <x v="3"/>
  </r>
  <r>
    <x v="16"/>
    <d v="2025-06-10T00:00:00"/>
    <x v="4"/>
    <x v="6"/>
    <x v="2"/>
    <s v="Pune"/>
    <x v="2"/>
    <s v="Finance"/>
    <x v="0"/>
    <s v="Green"/>
    <x v="3"/>
    <n v="1"/>
    <n v="105960"/>
    <n v="3.7999999999999999E-2"/>
    <n v="3.7999999999999999E-2"/>
    <n v="105960"/>
    <n v="4026.48"/>
    <n v="101933.52"/>
    <n v="3"/>
    <n v="174"/>
    <x v="6"/>
    <n v="2"/>
    <n v="2"/>
    <n v="5"/>
    <n v="101933.52"/>
    <x v="9"/>
    <x v="9"/>
    <x v="3"/>
  </r>
  <r>
    <x v="17"/>
    <d v="2025-12-31T00:00:00"/>
    <x v="6"/>
    <x v="8"/>
    <x v="1"/>
    <s v="Bengaluru"/>
    <x v="1"/>
    <s v="Emi"/>
    <x v="1"/>
    <s v="Black"/>
    <x v="13"/>
    <n v="1"/>
    <n v="160028"/>
    <n v="6.3E-2"/>
    <n v="6.3E-2"/>
    <n v="160028"/>
    <n v="10081.76"/>
    <n v="149946.23999999999"/>
    <n v="3"/>
    <n v="180"/>
    <x v="2"/>
    <n v="2"/>
    <n v="2"/>
    <n v="2"/>
    <n v="149946.23999999999"/>
    <x v="0"/>
    <x v="0"/>
    <x v="0"/>
  </r>
  <r>
    <x v="18"/>
    <d v="2025-06-07T00:00:00"/>
    <x v="3"/>
    <x v="4"/>
    <x v="2"/>
    <s v="Delhi"/>
    <x v="1"/>
    <s v="Emi"/>
    <x v="1"/>
    <s v="Grey"/>
    <x v="14"/>
    <n v="5"/>
    <n v="128169"/>
    <n v="5.7000000000000002E-2"/>
    <n v="5.7000000000000002E-2"/>
    <n v="640845"/>
    <n v="36528.17"/>
    <n v="604316.82999999996"/>
    <n v="2"/>
    <n v="144"/>
    <x v="1"/>
    <n v="6"/>
    <n v="6"/>
    <n v="5"/>
    <n v="120863.36599999999"/>
    <x v="9"/>
    <x v="9"/>
    <x v="3"/>
  </r>
  <r>
    <x v="19"/>
    <d v="2025-06-10T00:00:00"/>
    <x v="1"/>
    <x v="9"/>
    <x v="2"/>
    <s v="Pune"/>
    <x v="2"/>
    <s v="Finance"/>
    <x v="0"/>
    <s v="Blue"/>
    <x v="10"/>
    <n v="1"/>
    <n v="125284"/>
    <n v="7.5999999999999998E-2"/>
    <n v="7.5999999999999998E-2"/>
    <n v="125284"/>
    <n v="9521.58"/>
    <n v="115762.42"/>
    <n v="5"/>
    <n v="207"/>
    <x v="11"/>
    <n v="9"/>
    <n v="9"/>
    <n v="3"/>
    <n v="115762.42"/>
    <x v="9"/>
    <x v="9"/>
    <x v="3"/>
  </r>
  <r>
    <x v="20"/>
    <d v="2025-09-30T00:00:00"/>
    <x v="7"/>
    <x v="10"/>
    <x v="1"/>
    <s v="Kochi"/>
    <x v="2"/>
    <s v="Cash"/>
    <x v="2"/>
    <s v="Red"/>
    <x v="15"/>
    <n v="3"/>
    <n v="110299"/>
    <n v="9.0999999999999998E-2"/>
    <n v="9.0999999999999998E-2"/>
    <n v="330897"/>
    <n v="30111.63"/>
    <n v="300785.37"/>
    <n v="4"/>
    <n v="173"/>
    <x v="12"/>
    <n v="3"/>
    <n v="3"/>
    <n v="2"/>
    <n v="100261.79"/>
    <x v="3"/>
    <x v="3"/>
    <x v="1"/>
  </r>
  <r>
    <x v="21"/>
    <d v="2025-09-21T00:00:00"/>
    <x v="3"/>
    <x v="3"/>
    <x v="0"/>
    <s v="Bengaluru"/>
    <x v="3"/>
    <s v="Finance"/>
    <x v="0"/>
    <s v="Green"/>
    <x v="16"/>
    <n v="2"/>
    <n v="157711"/>
    <n v="0.109"/>
    <n v="0.109"/>
    <n v="315422"/>
    <n v="34381"/>
    <n v="281041"/>
    <n v="3"/>
    <n v="154"/>
    <x v="8"/>
    <n v="8"/>
    <n v="8"/>
    <n v="5"/>
    <n v="140520.5"/>
    <x v="3"/>
    <x v="3"/>
    <x v="1"/>
  </r>
  <r>
    <x v="22"/>
    <d v="2025-02-27T00:00:00"/>
    <x v="6"/>
    <x v="8"/>
    <x v="2"/>
    <s v="Hyderabad"/>
    <x v="0"/>
    <s v="Cash"/>
    <x v="2"/>
    <s v="Red"/>
    <x v="3"/>
    <n v="1"/>
    <n v="141784"/>
    <n v="0.10199999999999999"/>
    <n v="0.10199999999999999"/>
    <n v="141784"/>
    <n v="14461.97"/>
    <n v="127322.03"/>
    <n v="3"/>
    <n v="164"/>
    <x v="13"/>
    <n v="6"/>
    <n v="6"/>
    <n v="2"/>
    <n v="127322.03"/>
    <x v="4"/>
    <x v="4"/>
    <x v="2"/>
  </r>
  <r>
    <x v="23"/>
    <d v="2025-11-07T00:00:00"/>
    <x v="0"/>
    <x v="11"/>
    <x v="2"/>
    <s v="Kochi"/>
    <x v="3"/>
    <s v="Finance"/>
    <x v="0"/>
    <s v="Grey"/>
    <x v="3"/>
    <n v="1"/>
    <n v="134201"/>
    <n v="0.11700000000000001"/>
    <n v="0.11700000000000001"/>
    <n v="134201"/>
    <n v="15701.52"/>
    <n v="118499.48"/>
    <n v="4"/>
    <n v="180"/>
    <x v="7"/>
    <n v="4"/>
    <n v="4"/>
    <n v="3"/>
    <n v="118499.48"/>
    <x v="2"/>
    <x v="2"/>
    <x v="0"/>
  </r>
  <r>
    <x v="24"/>
    <d v="2025-05-09T00:00:00"/>
    <x v="0"/>
    <x v="11"/>
    <x v="1"/>
    <s v="Kolkata"/>
    <x v="1"/>
    <s v="Emi"/>
    <x v="1"/>
    <s v="Grey"/>
    <x v="17"/>
    <n v="1"/>
    <n v="134666"/>
    <n v="4.4999999999999998E-2"/>
    <n v="4.4999999999999998E-2"/>
    <n v="134666"/>
    <n v="6059.97"/>
    <n v="128606.03"/>
    <n v="4"/>
    <n v="193"/>
    <x v="14"/>
    <n v="6"/>
    <n v="6"/>
    <n v="2"/>
    <n v="128606.03"/>
    <x v="6"/>
    <x v="6"/>
    <x v="3"/>
  </r>
  <r>
    <x v="25"/>
    <d v="2025-03-17T00:00:00"/>
    <x v="4"/>
    <x v="6"/>
    <x v="0"/>
    <s v="Chennai"/>
    <x v="2"/>
    <s v="Finance"/>
    <x v="0"/>
    <s v="White"/>
    <x v="17"/>
    <n v="2"/>
    <n v="101032"/>
    <n v="3.2000000000000001E-2"/>
    <n v="3.2000000000000001E-2"/>
    <n v="202064"/>
    <n v="6466.05"/>
    <n v="195597.95"/>
    <n v="3"/>
    <n v="172"/>
    <x v="1"/>
    <n v="5"/>
    <n v="5"/>
    <n v="2"/>
    <n v="97798.975000000006"/>
    <x v="10"/>
    <x v="10"/>
    <x v="2"/>
  </r>
  <r>
    <x v="26"/>
    <d v="2025-10-17T00:00:00"/>
    <x v="4"/>
    <x v="5"/>
    <x v="0"/>
    <s v="Delhi"/>
    <x v="1"/>
    <s v="Emi"/>
    <x v="1"/>
    <s v="Red"/>
    <x v="11"/>
    <n v="1"/>
    <n v="108346"/>
    <n v="0.113"/>
    <n v="0.113"/>
    <n v="108346"/>
    <n v="12243.1"/>
    <n v="96102.9"/>
    <n v="4"/>
    <n v="205"/>
    <x v="15"/>
    <n v="9"/>
    <n v="9"/>
    <n v="5"/>
    <n v="96102.9"/>
    <x v="1"/>
    <x v="1"/>
    <x v="0"/>
  </r>
  <r>
    <x v="27"/>
    <d v="2025-06-12T00:00:00"/>
    <x v="3"/>
    <x v="4"/>
    <x v="1"/>
    <s v="Mumbai"/>
    <x v="3"/>
    <s v="Emi"/>
    <x v="1"/>
    <s v="White"/>
    <x v="7"/>
    <n v="2"/>
    <n v="120498"/>
    <n v="7.4999999999999997E-2"/>
    <n v="7.4999999999999997E-2"/>
    <n v="240996"/>
    <n v="18074.7"/>
    <n v="222921.3"/>
    <n v="5"/>
    <n v="205"/>
    <x v="16"/>
    <n v="11"/>
    <n v="11"/>
    <n v="5"/>
    <n v="111460.65"/>
    <x v="9"/>
    <x v="9"/>
    <x v="3"/>
  </r>
  <r>
    <x v="28"/>
    <d v="2025-03-31T00:00:00"/>
    <x v="0"/>
    <x v="11"/>
    <x v="1"/>
    <s v="Ahmedabad"/>
    <x v="1"/>
    <s v="Cash"/>
    <x v="2"/>
    <s v="Grey"/>
    <x v="16"/>
    <n v="1"/>
    <n v="148159"/>
    <n v="2.1999999999999999E-2"/>
    <n v="2.1999999999999999E-2"/>
    <n v="148159"/>
    <n v="3259.5"/>
    <n v="144899.5"/>
    <n v="4"/>
    <n v="174"/>
    <x v="7"/>
    <n v="6"/>
    <n v="6"/>
    <n v="3"/>
    <n v="144899.5"/>
    <x v="10"/>
    <x v="10"/>
    <x v="2"/>
  </r>
  <r>
    <x v="29"/>
    <d v="2025-12-23T00:00:00"/>
    <x v="5"/>
    <x v="12"/>
    <x v="0"/>
    <s v="Chennai"/>
    <x v="1"/>
    <s v="Cash"/>
    <x v="2"/>
    <s v="Grey"/>
    <x v="8"/>
    <n v="3"/>
    <n v="136884"/>
    <n v="0.11899999999999999"/>
    <n v="0.11899999999999999"/>
    <n v="410652"/>
    <n v="48867.59"/>
    <n v="361784.41"/>
    <n v="3"/>
    <n v="179"/>
    <x v="5"/>
    <n v="9"/>
    <n v="9"/>
    <n v="5"/>
    <n v="120594.80333333333"/>
    <x v="0"/>
    <x v="0"/>
    <x v="0"/>
  </r>
  <r>
    <x v="30"/>
    <d v="2025-12-27T00:00:00"/>
    <x v="5"/>
    <x v="13"/>
    <x v="1"/>
    <s v="Bengaluru"/>
    <x v="1"/>
    <s v="Cash"/>
    <x v="2"/>
    <s v="Red"/>
    <x v="18"/>
    <n v="1"/>
    <n v="136998"/>
    <n v="7.0000000000000007E-2"/>
    <n v="7.0000000000000007E-2"/>
    <n v="136998"/>
    <n v="9589.86"/>
    <n v="127408.14"/>
    <n v="3"/>
    <n v="156"/>
    <x v="8"/>
    <n v="5"/>
    <n v="5"/>
    <n v="2"/>
    <n v="127408.14"/>
    <x v="0"/>
    <x v="0"/>
    <x v="0"/>
  </r>
  <r>
    <x v="31"/>
    <d v="2025-02-21T00:00:00"/>
    <x v="0"/>
    <x v="0"/>
    <x v="2"/>
    <s v="Jaipur"/>
    <x v="2"/>
    <s v="Cash"/>
    <x v="2"/>
    <s v="Grey"/>
    <x v="10"/>
    <n v="2"/>
    <n v="123414"/>
    <n v="6.5000000000000002E-2"/>
    <n v="6.5000000000000002E-2"/>
    <n v="246828"/>
    <n v="16043.82"/>
    <n v="230784.18"/>
    <n v="3"/>
    <n v="178"/>
    <x v="17"/>
    <n v="5"/>
    <n v="5"/>
    <n v="2"/>
    <n v="115392.09"/>
    <x v="4"/>
    <x v="4"/>
    <x v="2"/>
  </r>
  <r>
    <x v="32"/>
    <d v="2025-08-11T00:00:00"/>
    <x v="7"/>
    <x v="14"/>
    <x v="0"/>
    <s v="Ahmedabad"/>
    <x v="0"/>
    <s v="Cash"/>
    <x v="2"/>
    <s v="White"/>
    <x v="5"/>
    <n v="1"/>
    <n v="109534"/>
    <n v="7.4999999999999997E-2"/>
    <n v="7.4999999999999997E-2"/>
    <n v="109534"/>
    <n v="8215.0499999999993"/>
    <n v="101318.95"/>
    <n v="4"/>
    <n v="183"/>
    <x v="16"/>
    <n v="7"/>
    <n v="7"/>
    <n v="5"/>
    <n v="101318.95"/>
    <x v="5"/>
    <x v="5"/>
    <x v="1"/>
  </r>
  <r>
    <x v="33"/>
    <d v="2025-01-05T00:00:00"/>
    <x v="7"/>
    <x v="10"/>
    <x v="1"/>
    <s v="Hyderabad"/>
    <x v="1"/>
    <s v="Finance"/>
    <x v="0"/>
    <s v="Red"/>
    <x v="19"/>
    <n v="2"/>
    <n v="111854"/>
    <n v="7.8E-2"/>
    <n v="7.8E-2"/>
    <n v="223708"/>
    <n v="17449.22"/>
    <n v="206258.78"/>
    <n v="5"/>
    <n v="196"/>
    <x v="15"/>
    <n v="8"/>
    <n v="8"/>
    <n v="2"/>
    <n v="103129.39"/>
    <x v="11"/>
    <x v="11"/>
    <x v="2"/>
  </r>
  <r>
    <x v="34"/>
    <d v="2025-07-01T00:00:00"/>
    <x v="4"/>
    <x v="5"/>
    <x v="2"/>
    <s v="Jaipur"/>
    <x v="2"/>
    <s v="Cash"/>
    <x v="2"/>
    <s v="Blue"/>
    <x v="15"/>
    <n v="2"/>
    <n v="112104"/>
    <n v="5.2999999999999999E-2"/>
    <n v="5.2999999999999999E-2"/>
    <n v="224208"/>
    <n v="11883.02"/>
    <n v="212324.98"/>
    <n v="3"/>
    <n v="157"/>
    <x v="4"/>
    <n v="11"/>
    <n v="11"/>
    <n v="2"/>
    <n v="106162.49"/>
    <x v="8"/>
    <x v="8"/>
    <x v="1"/>
  </r>
  <r>
    <x v="35"/>
    <d v="2025-07-10T00:00:00"/>
    <x v="3"/>
    <x v="4"/>
    <x v="2"/>
    <s v="Chennai"/>
    <x v="1"/>
    <s v="Emi"/>
    <x v="1"/>
    <s v="Blue"/>
    <x v="9"/>
    <n v="1"/>
    <n v="114192"/>
    <n v="7.2999999999999995E-2"/>
    <n v="7.2999999999999995E-2"/>
    <n v="114192"/>
    <n v="8336.02"/>
    <n v="105855.98"/>
    <n v="3"/>
    <n v="141"/>
    <x v="1"/>
    <n v="7"/>
    <n v="7"/>
    <n v="2"/>
    <n v="105855.98"/>
    <x v="8"/>
    <x v="8"/>
    <x v="1"/>
  </r>
  <r>
    <x v="36"/>
    <d v="2025-02-16T00:00:00"/>
    <x v="5"/>
    <x v="12"/>
    <x v="0"/>
    <s v="Ahmedabad"/>
    <x v="0"/>
    <s v="Cash"/>
    <x v="2"/>
    <s v="White"/>
    <x v="4"/>
    <n v="2"/>
    <n v="134862"/>
    <n v="6.5000000000000002E-2"/>
    <n v="6.5000000000000002E-2"/>
    <n v="269724"/>
    <n v="17532.060000000001"/>
    <n v="252191.94"/>
    <n v="4"/>
    <n v="192"/>
    <x v="9"/>
    <n v="10"/>
    <n v="10"/>
    <n v="5"/>
    <n v="126095.97"/>
    <x v="4"/>
    <x v="4"/>
    <x v="2"/>
  </r>
  <r>
    <x v="37"/>
    <d v="2025-05-16T00:00:00"/>
    <x v="3"/>
    <x v="4"/>
    <x v="1"/>
    <s v="Bengaluru"/>
    <x v="3"/>
    <s v="Finance"/>
    <x v="0"/>
    <s v="White"/>
    <x v="19"/>
    <n v="1"/>
    <n v="122605"/>
    <n v="2.8000000000000001E-2"/>
    <n v="2.8000000000000001E-2"/>
    <n v="122605"/>
    <n v="3432.94"/>
    <n v="119172.06"/>
    <n v="5"/>
    <n v="177"/>
    <x v="15"/>
    <n v="5"/>
    <n v="5"/>
    <n v="2"/>
    <n v="119172.06"/>
    <x v="6"/>
    <x v="6"/>
    <x v="3"/>
  </r>
  <r>
    <x v="38"/>
    <d v="2025-10-30T00:00:00"/>
    <x v="1"/>
    <x v="9"/>
    <x v="0"/>
    <s v="Delhi"/>
    <x v="2"/>
    <s v="Cash"/>
    <x v="2"/>
    <s v="White"/>
    <x v="1"/>
    <n v="4"/>
    <n v="123706"/>
    <n v="0.108"/>
    <n v="0.108"/>
    <n v="494824"/>
    <n v="53440.99"/>
    <n v="441383.01"/>
    <n v="4"/>
    <n v="178"/>
    <x v="17"/>
    <n v="7"/>
    <n v="7"/>
    <n v="2"/>
    <n v="110345.7525"/>
    <x v="1"/>
    <x v="1"/>
    <x v="0"/>
  </r>
  <r>
    <x v="39"/>
    <d v="2025-10-10T00:00:00"/>
    <x v="6"/>
    <x v="15"/>
    <x v="2"/>
    <s v="Chennai"/>
    <x v="2"/>
    <s v="Cash"/>
    <x v="2"/>
    <s v="Grey"/>
    <x v="20"/>
    <n v="2"/>
    <n v="104378"/>
    <n v="2.4E-2"/>
    <n v="2.4E-2"/>
    <n v="208756"/>
    <n v="5010.1400000000003"/>
    <n v="203745.86"/>
    <n v="3"/>
    <n v="168"/>
    <x v="18"/>
    <n v="6"/>
    <n v="6"/>
    <n v="3"/>
    <n v="101872.93"/>
    <x v="1"/>
    <x v="1"/>
    <x v="0"/>
  </r>
  <r>
    <x v="40"/>
    <d v="2025-03-24T00:00:00"/>
    <x v="7"/>
    <x v="10"/>
    <x v="2"/>
    <s v="Ahmedabad"/>
    <x v="2"/>
    <s v="Finance"/>
    <x v="0"/>
    <s v="White"/>
    <x v="0"/>
    <n v="1"/>
    <n v="115353"/>
    <n v="3.3000000000000002E-2"/>
    <n v="3.3000000000000002E-2"/>
    <n v="115353"/>
    <n v="3806.65"/>
    <n v="111546.35"/>
    <n v="5"/>
    <n v="183"/>
    <x v="15"/>
    <n v="2"/>
    <n v="2"/>
    <n v="3"/>
    <n v="111546.35"/>
    <x v="10"/>
    <x v="10"/>
    <x v="2"/>
  </r>
  <r>
    <x v="41"/>
    <d v="2025-09-16T00:00:00"/>
    <x v="6"/>
    <x v="8"/>
    <x v="1"/>
    <s v="Chennai"/>
    <x v="0"/>
    <s v="Finance"/>
    <x v="0"/>
    <s v="Blue"/>
    <x v="19"/>
    <n v="2"/>
    <n v="158895"/>
    <n v="7.4999999999999997E-2"/>
    <n v="7.4999999999999997E-2"/>
    <n v="317790"/>
    <n v="23834.25"/>
    <n v="293955.75"/>
    <n v="4"/>
    <n v="179"/>
    <x v="6"/>
    <n v="8"/>
    <n v="8"/>
    <n v="5"/>
    <n v="146977.875"/>
    <x v="3"/>
    <x v="3"/>
    <x v="1"/>
  </r>
  <r>
    <x v="42"/>
    <d v="2025-07-11T00:00:00"/>
    <x v="0"/>
    <x v="0"/>
    <x v="0"/>
    <s v="Delhi"/>
    <x v="1"/>
    <s v="Emi"/>
    <x v="1"/>
    <s v="Red"/>
    <x v="3"/>
    <n v="1"/>
    <n v="118689"/>
    <n v="7.9000000000000001E-2"/>
    <n v="7.9000000000000001E-2"/>
    <n v="118689"/>
    <n v="9376.43"/>
    <n v="109312.57"/>
    <n v="3"/>
    <n v="174"/>
    <x v="8"/>
    <n v="5"/>
    <n v="5"/>
    <n v="2"/>
    <n v="109312.57"/>
    <x v="8"/>
    <x v="8"/>
    <x v="1"/>
  </r>
  <r>
    <x v="43"/>
    <d v="2025-02-20T00:00:00"/>
    <x v="0"/>
    <x v="0"/>
    <x v="0"/>
    <s v="Bengaluru"/>
    <x v="2"/>
    <s v="Cash"/>
    <x v="2"/>
    <s v="Blue"/>
    <x v="17"/>
    <n v="2"/>
    <n v="126180"/>
    <n v="6.6000000000000003E-2"/>
    <n v="6.6000000000000003E-2"/>
    <n v="252360"/>
    <n v="16655.759999999998"/>
    <n v="235704.24"/>
    <n v="5"/>
    <n v="201"/>
    <x v="7"/>
    <n v="3"/>
    <n v="3"/>
    <n v="2"/>
    <n v="117852.12"/>
    <x v="4"/>
    <x v="4"/>
    <x v="2"/>
  </r>
  <r>
    <x v="44"/>
    <d v="2025-12-26T00:00:00"/>
    <x v="1"/>
    <x v="1"/>
    <x v="1"/>
    <s v="Chennai"/>
    <x v="0"/>
    <s v="Finance"/>
    <x v="0"/>
    <s v="Grey"/>
    <x v="17"/>
    <n v="2"/>
    <n v="109739"/>
    <n v="0.107"/>
    <n v="0.107"/>
    <n v="219478"/>
    <n v="23484.15"/>
    <n v="195993.85"/>
    <n v="4"/>
    <n v="182"/>
    <x v="15"/>
    <n v="4"/>
    <n v="4"/>
    <n v="5"/>
    <n v="97996.925000000003"/>
    <x v="0"/>
    <x v="0"/>
    <x v="0"/>
  </r>
  <r>
    <x v="45"/>
    <d v="2025-01-01T00:00:00"/>
    <x v="4"/>
    <x v="5"/>
    <x v="2"/>
    <s v="Jaipur"/>
    <x v="0"/>
    <s v="Emi"/>
    <x v="1"/>
    <s v="Green"/>
    <x v="21"/>
    <n v="2"/>
    <n v="113831"/>
    <n v="0.109"/>
    <n v="0.109"/>
    <n v="227662"/>
    <n v="24815.16"/>
    <n v="202846.84"/>
    <n v="3"/>
    <n v="149"/>
    <x v="17"/>
    <n v="11"/>
    <n v="11"/>
    <n v="2"/>
    <n v="101423.42"/>
    <x v="11"/>
    <x v="11"/>
    <x v="2"/>
  </r>
  <r>
    <x v="46"/>
    <d v="2025-03-02T00:00:00"/>
    <x v="0"/>
    <x v="0"/>
    <x v="0"/>
    <s v="Kochi"/>
    <x v="1"/>
    <s v="Emi"/>
    <x v="1"/>
    <s v="Green"/>
    <x v="11"/>
    <n v="1"/>
    <n v="127387"/>
    <n v="2.8000000000000001E-2"/>
    <n v="2.8000000000000001E-2"/>
    <n v="127387"/>
    <n v="3566.84"/>
    <n v="123820.16"/>
    <n v="4"/>
    <n v="182"/>
    <x v="9"/>
    <n v="9"/>
    <n v="9"/>
    <n v="3"/>
    <n v="123820.16"/>
    <x v="10"/>
    <x v="10"/>
    <x v="2"/>
  </r>
  <r>
    <x v="47"/>
    <d v="2025-06-03T00:00:00"/>
    <x v="7"/>
    <x v="16"/>
    <x v="0"/>
    <s v="Pune"/>
    <x v="2"/>
    <s v="Emi"/>
    <x v="1"/>
    <s v="Black"/>
    <x v="8"/>
    <n v="1"/>
    <n v="136547"/>
    <n v="9.0999999999999998E-2"/>
    <n v="9.0999999999999998E-2"/>
    <n v="136547"/>
    <n v="12425.78"/>
    <n v="124121.22"/>
    <n v="5"/>
    <n v="236"/>
    <x v="2"/>
    <n v="14"/>
    <n v="14"/>
    <n v="3"/>
    <n v="124121.22"/>
    <x v="9"/>
    <x v="9"/>
    <x v="3"/>
  </r>
  <r>
    <x v="48"/>
    <d v="2025-07-21T00:00:00"/>
    <x v="4"/>
    <x v="5"/>
    <x v="2"/>
    <s v="Jaipur"/>
    <x v="3"/>
    <s v="Finance"/>
    <x v="0"/>
    <s v="Red"/>
    <x v="22"/>
    <n v="2"/>
    <n v="121635"/>
    <n v="2.9000000000000001E-2"/>
    <n v="2.9000000000000001E-2"/>
    <n v="243270"/>
    <n v="7054.83"/>
    <n v="236215.17"/>
    <n v="4"/>
    <n v="173"/>
    <x v="17"/>
    <n v="10"/>
    <n v="10"/>
    <n v="3"/>
    <n v="118107.58500000001"/>
    <x v="8"/>
    <x v="8"/>
    <x v="1"/>
  </r>
  <r>
    <x v="49"/>
    <d v="2025-04-21T00:00:00"/>
    <x v="6"/>
    <x v="8"/>
    <x v="2"/>
    <s v="Pune"/>
    <x v="3"/>
    <s v="Cash"/>
    <x v="2"/>
    <s v="Black"/>
    <x v="14"/>
    <n v="2"/>
    <n v="150064"/>
    <n v="3.3000000000000002E-2"/>
    <n v="3.3000000000000002E-2"/>
    <n v="300128"/>
    <n v="9904.2199999999993"/>
    <n v="290223.78000000003"/>
    <n v="3"/>
    <n v="180"/>
    <x v="19"/>
    <n v="3"/>
    <n v="3"/>
    <n v="5"/>
    <n v="145111.89000000001"/>
    <x v="7"/>
    <x v="7"/>
    <x v="3"/>
  </r>
  <r>
    <x v="50"/>
    <d v="2025-07-17T00:00:00"/>
    <x v="6"/>
    <x v="15"/>
    <x v="1"/>
    <s v="Ahmedabad"/>
    <x v="0"/>
    <s v="Emi"/>
    <x v="1"/>
    <s v="Green"/>
    <x v="1"/>
    <n v="1"/>
    <n v="110912"/>
    <n v="0.105"/>
    <n v="0.105"/>
    <n v="110912"/>
    <n v="11645.76"/>
    <n v="99266.240000000005"/>
    <n v="2"/>
    <n v="155"/>
    <x v="9"/>
    <n v="7"/>
    <n v="7"/>
    <n v="3"/>
    <n v="99266.240000000005"/>
    <x v="8"/>
    <x v="8"/>
    <x v="1"/>
  </r>
  <r>
    <x v="51"/>
    <d v="2025-07-22T00:00:00"/>
    <x v="7"/>
    <x v="14"/>
    <x v="2"/>
    <s v="Delhi"/>
    <x v="0"/>
    <s v="Finance"/>
    <x v="0"/>
    <s v="Green"/>
    <x v="20"/>
    <n v="2"/>
    <n v="102815"/>
    <n v="9.7000000000000003E-2"/>
    <n v="9.7000000000000003E-2"/>
    <n v="205630"/>
    <n v="19946.11"/>
    <n v="185683.89"/>
    <n v="3"/>
    <n v="154"/>
    <x v="12"/>
    <n v="2"/>
    <n v="2"/>
    <n v="2"/>
    <n v="92841.945000000007"/>
    <x v="8"/>
    <x v="8"/>
    <x v="1"/>
  </r>
  <r>
    <x v="52"/>
    <d v="2025-12-22T00:00:00"/>
    <x v="6"/>
    <x v="15"/>
    <x v="0"/>
    <s v="Hyderabad"/>
    <x v="3"/>
    <s v="Emi"/>
    <x v="1"/>
    <s v="Grey"/>
    <x v="23"/>
    <n v="1"/>
    <n v="112545"/>
    <n v="5.7000000000000002E-2"/>
    <n v="5.7000000000000002E-2"/>
    <n v="112545"/>
    <n v="6415.07"/>
    <n v="106129.93"/>
    <n v="3"/>
    <n v="187"/>
    <x v="18"/>
    <n v="3"/>
    <n v="3"/>
    <n v="2"/>
    <n v="106129.93"/>
    <x v="0"/>
    <x v="0"/>
    <x v="0"/>
  </r>
  <r>
    <x v="53"/>
    <d v="2025-02-07T00:00:00"/>
    <x v="5"/>
    <x v="7"/>
    <x v="2"/>
    <s v="Delhi"/>
    <x v="1"/>
    <s v="Finance"/>
    <x v="0"/>
    <s v="Red"/>
    <x v="16"/>
    <n v="1"/>
    <n v="143382"/>
    <n v="0.113"/>
    <n v="0.113"/>
    <n v="143382"/>
    <n v="16202.17"/>
    <n v="127179.83"/>
    <n v="5"/>
    <n v="202"/>
    <x v="16"/>
    <n v="13"/>
    <n v="13"/>
    <n v="5"/>
    <n v="127179.83"/>
    <x v="4"/>
    <x v="4"/>
    <x v="2"/>
  </r>
  <r>
    <x v="54"/>
    <d v="2025-12-27T00:00:00"/>
    <x v="1"/>
    <x v="9"/>
    <x v="1"/>
    <s v="Kochi"/>
    <x v="3"/>
    <s v="Finance"/>
    <x v="0"/>
    <s v="Green"/>
    <x v="19"/>
    <n v="3"/>
    <n v="136751"/>
    <n v="0.10299999999999999"/>
    <n v="0.10299999999999999"/>
    <n v="410253"/>
    <n v="42256.06"/>
    <n v="367996.94"/>
    <n v="3"/>
    <n v="171"/>
    <x v="19"/>
    <n v="5"/>
    <n v="5"/>
    <n v="2"/>
    <n v="122665.64666666667"/>
    <x v="0"/>
    <x v="0"/>
    <x v="0"/>
  </r>
  <r>
    <x v="55"/>
    <d v="2025-12-19T00:00:00"/>
    <x v="4"/>
    <x v="5"/>
    <x v="2"/>
    <s v="Bengaluru"/>
    <x v="0"/>
    <s v="Finance"/>
    <x v="0"/>
    <s v="Blue"/>
    <x v="2"/>
    <n v="2"/>
    <n v="116193"/>
    <n v="4.2999999999999997E-2"/>
    <n v="4.2999999999999997E-2"/>
    <n v="232386"/>
    <n v="9992.6"/>
    <n v="222393.4"/>
    <n v="5"/>
    <n v="209"/>
    <x v="20"/>
    <n v="9"/>
    <n v="9"/>
    <n v="5"/>
    <n v="111196.7"/>
    <x v="0"/>
    <x v="0"/>
    <x v="0"/>
  </r>
  <r>
    <x v="56"/>
    <d v="2025-02-11T00:00:00"/>
    <x v="2"/>
    <x v="17"/>
    <x v="1"/>
    <s v="Chennai"/>
    <x v="2"/>
    <s v="Emi"/>
    <x v="1"/>
    <s v="Black"/>
    <x v="3"/>
    <n v="1"/>
    <n v="189209"/>
    <n v="8.2000000000000003E-2"/>
    <n v="8.2000000000000003E-2"/>
    <n v="189209"/>
    <n v="15515.14"/>
    <n v="173693.86"/>
    <n v="4"/>
    <n v="184"/>
    <x v="9"/>
    <n v="7"/>
    <n v="7"/>
    <n v="2"/>
    <n v="173693.86"/>
    <x v="4"/>
    <x v="4"/>
    <x v="2"/>
  </r>
  <r>
    <x v="57"/>
    <d v="2025-11-18T00:00:00"/>
    <x v="3"/>
    <x v="4"/>
    <x v="1"/>
    <s v="Hyderabad"/>
    <x v="1"/>
    <s v="Cash"/>
    <x v="2"/>
    <s v="White"/>
    <x v="5"/>
    <n v="3"/>
    <n v="127529"/>
    <n v="5.3999999999999999E-2"/>
    <n v="5.3999999999999999E-2"/>
    <n v="382587"/>
    <n v="20659.7"/>
    <n v="361927.3"/>
    <n v="4"/>
    <n v="178"/>
    <x v="0"/>
    <n v="14"/>
    <n v="14"/>
    <n v="2"/>
    <n v="120642.43333333333"/>
    <x v="2"/>
    <x v="2"/>
    <x v="0"/>
  </r>
  <r>
    <x v="58"/>
    <d v="2025-08-31T00:00:00"/>
    <x v="0"/>
    <x v="11"/>
    <x v="2"/>
    <s v="Kochi"/>
    <x v="0"/>
    <s v="Emi"/>
    <x v="1"/>
    <s v="Red"/>
    <x v="24"/>
    <n v="2"/>
    <n v="145637"/>
    <n v="0.08"/>
    <n v="0.08"/>
    <n v="291274"/>
    <n v="23301.919999999998"/>
    <n v="267972.08"/>
    <n v="4"/>
    <n v="180"/>
    <x v="9"/>
    <n v="7"/>
    <n v="7"/>
    <n v="5"/>
    <n v="133986.04"/>
    <x v="5"/>
    <x v="5"/>
    <x v="1"/>
  </r>
  <r>
    <x v="59"/>
    <d v="2025-07-29T00:00:00"/>
    <x v="4"/>
    <x v="5"/>
    <x v="2"/>
    <s v="Kochi"/>
    <x v="3"/>
    <s v="Emi"/>
    <x v="1"/>
    <s v="White"/>
    <x v="23"/>
    <n v="2"/>
    <n v="108391"/>
    <n v="0.107"/>
    <n v="0.107"/>
    <n v="216782"/>
    <n v="23195.67"/>
    <n v="193586.33"/>
    <n v="5"/>
    <n v="221"/>
    <x v="1"/>
    <n v="9"/>
    <n v="9"/>
    <n v="2"/>
    <n v="96793.164999999994"/>
    <x v="8"/>
    <x v="8"/>
    <x v="1"/>
  </r>
  <r>
    <x v="60"/>
    <d v="2025-01-29T00:00:00"/>
    <x v="6"/>
    <x v="15"/>
    <x v="2"/>
    <s v="Jaipur"/>
    <x v="3"/>
    <s v="Emi"/>
    <x v="1"/>
    <s v="Green"/>
    <x v="8"/>
    <n v="1"/>
    <n v="116342"/>
    <n v="0.111"/>
    <n v="0.111"/>
    <n v="116342"/>
    <n v="12913.96"/>
    <n v="103428.04"/>
    <n v="3"/>
    <n v="156"/>
    <x v="7"/>
    <n v="5"/>
    <n v="5"/>
    <n v="3"/>
    <n v="103428.04"/>
    <x v="11"/>
    <x v="11"/>
    <x v="2"/>
  </r>
  <r>
    <x v="61"/>
    <d v="2025-05-29T00:00:00"/>
    <x v="2"/>
    <x v="17"/>
    <x v="0"/>
    <s v="Pune"/>
    <x v="0"/>
    <s v="Emi"/>
    <x v="1"/>
    <s v="White"/>
    <x v="5"/>
    <n v="1"/>
    <n v="187955"/>
    <n v="4.1000000000000002E-2"/>
    <n v="4.1000000000000002E-2"/>
    <n v="187955"/>
    <n v="7706.16"/>
    <n v="180248.84"/>
    <n v="4"/>
    <n v="171"/>
    <x v="9"/>
    <n v="5"/>
    <n v="5"/>
    <n v="2"/>
    <n v="180248.84"/>
    <x v="6"/>
    <x v="6"/>
    <x v="3"/>
  </r>
  <r>
    <x v="62"/>
    <d v="2025-01-17T00:00:00"/>
    <x v="7"/>
    <x v="14"/>
    <x v="1"/>
    <s v="Pune"/>
    <x v="0"/>
    <s v="Finance"/>
    <x v="0"/>
    <s v="Grey"/>
    <x v="13"/>
    <n v="2"/>
    <n v="99182"/>
    <n v="0.111"/>
    <n v="0.111"/>
    <n v="198364"/>
    <n v="22018.400000000001"/>
    <n v="176345.60000000001"/>
    <n v="3"/>
    <n v="149"/>
    <x v="9"/>
    <n v="6"/>
    <n v="6"/>
    <n v="2"/>
    <n v="88172.800000000003"/>
    <x v="11"/>
    <x v="11"/>
    <x v="2"/>
  </r>
  <r>
    <x v="63"/>
    <d v="2025-03-25T00:00:00"/>
    <x v="0"/>
    <x v="11"/>
    <x v="2"/>
    <s v="Bengaluru"/>
    <x v="2"/>
    <s v="Emi"/>
    <x v="1"/>
    <s v="Green"/>
    <x v="3"/>
    <n v="1"/>
    <n v="142523"/>
    <n v="0.106"/>
    <n v="0.106"/>
    <n v="142523"/>
    <n v="15107.44"/>
    <n v="127415.56"/>
    <n v="4"/>
    <n v="175"/>
    <x v="0"/>
    <n v="14"/>
    <n v="14"/>
    <n v="3"/>
    <n v="127415.56"/>
    <x v="10"/>
    <x v="10"/>
    <x v="2"/>
  </r>
  <r>
    <x v="64"/>
    <d v="2025-10-13T00:00:00"/>
    <x v="4"/>
    <x v="6"/>
    <x v="0"/>
    <s v="Pune"/>
    <x v="2"/>
    <s v="Emi"/>
    <x v="1"/>
    <s v="Red"/>
    <x v="6"/>
    <n v="3"/>
    <n v="107335"/>
    <n v="4.9000000000000002E-2"/>
    <n v="4.9000000000000002E-2"/>
    <n v="322005"/>
    <n v="15778.25"/>
    <n v="306226.75"/>
    <n v="4"/>
    <n v="211"/>
    <x v="18"/>
    <n v="2"/>
    <n v="2"/>
    <n v="3"/>
    <n v="102075.58333333333"/>
    <x v="1"/>
    <x v="1"/>
    <x v="0"/>
  </r>
  <r>
    <x v="65"/>
    <d v="2025-02-24T00:00:00"/>
    <x v="1"/>
    <x v="9"/>
    <x v="2"/>
    <s v="Ahmedabad"/>
    <x v="3"/>
    <s v="Cash"/>
    <x v="2"/>
    <s v="Blue"/>
    <x v="11"/>
    <n v="5"/>
    <n v="128994"/>
    <n v="4.7E-2"/>
    <n v="4.7E-2"/>
    <n v="644970"/>
    <n v="30313.59"/>
    <n v="614656.41"/>
    <n v="4"/>
    <n v="177"/>
    <x v="16"/>
    <n v="13"/>
    <n v="13"/>
    <n v="3"/>
    <n v="122931.28200000001"/>
    <x v="4"/>
    <x v="4"/>
    <x v="2"/>
  </r>
  <r>
    <x v="66"/>
    <d v="2025-09-12T00:00:00"/>
    <x v="0"/>
    <x v="11"/>
    <x v="0"/>
    <s v="Ahmedabad"/>
    <x v="0"/>
    <s v="Emi"/>
    <x v="1"/>
    <s v="Red"/>
    <x v="9"/>
    <n v="1"/>
    <n v="133640"/>
    <n v="0.1"/>
    <n v="0.1"/>
    <n v="133640"/>
    <n v="13364"/>
    <n v="120276"/>
    <n v="3"/>
    <n v="149"/>
    <x v="1"/>
    <n v="3"/>
    <n v="3"/>
    <n v="5"/>
    <n v="120276"/>
    <x v="3"/>
    <x v="3"/>
    <x v="1"/>
  </r>
  <r>
    <x v="67"/>
    <d v="2025-08-11T00:00:00"/>
    <x v="4"/>
    <x v="5"/>
    <x v="1"/>
    <s v="Chennai"/>
    <x v="1"/>
    <s v="Emi"/>
    <x v="1"/>
    <s v="White"/>
    <x v="0"/>
    <n v="1"/>
    <n v="109499"/>
    <n v="8.3000000000000004E-2"/>
    <n v="8.3000000000000004E-2"/>
    <n v="109499"/>
    <n v="9088.42"/>
    <n v="100410.58"/>
    <n v="4"/>
    <n v="185"/>
    <x v="6"/>
    <n v="3"/>
    <n v="3"/>
    <n v="3"/>
    <n v="100410.58"/>
    <x v="5"/>
    <x v="5"/>
    <x v="1"/>
  </r>
  <r>
    <x v="68"/>
    <d v="2025-04-29T00:00:00"/>
    <x v="2"/>
    <x v="2"/>
    <x v="0"/>
    <s v="Ahmedabad"/>
    <x v="3"/>
    <s v="Finance"/>
    <x v="0"/>
    <s v="Green"/>
    <x v="11"/>
    <n v="1"/>
    <n v="128422"/>
    <n v="6.0999999999999999E-2"/>
    <n v="6.0999999999999999E-2"/>
    <n v="128422"/>
    <n v="7833.74"/>
    <n v="120588.26"/>
    <n v="4"/>
    <n v="160"/>
    <x v="7"/>
    <n v="5"/>
    <n v="5"/>
    <n v="3"/>
    <n v="120588.26"/>
    <x v="7"/>
    <x v="7"/>
    <x v="3"/>
  </r>
  <r>
    <x v="69"/>
    <d v="2025-08-03T00:00:00"/>
    <x v="2"/>
    <x v="17"/>
    <x v="0"/>
    <s v="Pune"/>
    <x v="2"/>
    <s v="Finance"/>
    <x v="0"/>
    <s v="Red"/>
    <x v="24"/>
    <n v="3"/>
    <n v="179915"/>
    <n v="2.1999999999999999E-2"/>
    <n v="2.1999999999999999E-2"/>
    <n v="539745"/>
    <n v="11874.39"/>
    <n v="527870.61"/>
    <n v="3"/>
    <n v="189"/>
    <x v="1"/>
    <n v="8"/>
    <n v="8"/>
    <n v="2"/>
    <n v="175956.87"/>
    <x v="5"/>
    <x v="5"/>
    <x v="1"/>
  </r>
  <r>
    <x v="70"/>
    <d v="2025-04-19T00:00:00"/>
    <x v="7"/>
    <x v="16"/>
    <x v="1"/>
    <s v="Jaipur"/>
    <x v="0"/>
    <s v="Finance"/>
    <x v="0"/>
    <s v="Red"/>
    <x v="8"/>
    <n v="2"/>
    <n v="144990"/>
    <n v="0.10199999999999999"/>
    <n v="0.10199999999999999"/>
    <n v="289980"/>
    <n v="29577.96"/>
    <n v="260402.04"/>
    <n v="4"/>
    <n v="181"/>
    <x v="14"/>
    <n v="3"/>
    <n v="3"/>
    <n v="2"/>
    <n v="130201.02"/>
    <x v="7"/>
    <x v="7"/>
    <x v="3"/>
  </r>
  <r>
    <x v="71"/>
    <d v="2025-12-08T00:00:00"/>
    <x v="4"/>
    <x v="5"/>
    <x v="1"/>
    <s v="Delhi"/>
    <x v="0"/>
    <s v="Cash"/>
    <x v="2"/>
    <s v="Red"/>
    <x v="3"/>
    <n v="1"/>
    <n v="122590"/>
    <n v="0.107"/>
    <n v="0.107"/>
    <n v="122590"/>
    <n v="13117.13"/>
    <n v="109472.87"/>
    <n v="4"/>
    <n v="201"/>
    <x v="2"/>
    <n v="8"/>
    <n v="8"/>
    <n v="3"/>
    <n v="109472.87"/>
    <x v="0"/>
    <x v="0"/>
    <x v="0"/>
  </r>
  <r>
    <x v="72"/>
    <d v="2025-03-05T00:00:00"/>
    <x v="7"/>
    <x v="10"/>
    <x v="2"/>
    <s v="Kolkata"/>
    <x v="1"/>
    <s v="Emi"/>
    <x v="1"/>
    <s v="Green"/>
    <x v="0"/>
    <n v="1"/>
    <n v="123533"/>
    <n v="3.7999999999999999E-2"/>
    <n v="3.7999999999999999E-2"/>
    <n v="123533"/>
    <n v="4694.25"/>
    <n v="118838.75"/>
    <n v="2"/>
    <n v="143"/>
    <x v="2"/>
    <n v="5"/>
    <n v="5"/>
    <n v="2"/>
    <n v="118838.75"/>
    <x v="10"/>
    <x v="10"/>
    <x v="2"/>
  </r>
  <r>
    <x v="73"/>
    <d v="2025-06-01T00:00:00"/>
    <x v="0"/>
    <x v="11"/>
    <x v="0"/>
    <s v="Mumbai"/>
    <x v="3"/>
    <s v="Finance"/>
    <x v="0"/>
    <s v="White"/>
    <x v="14"/>
    <n v="5"/>
    <n v="145958"/>
    <n v="4.1000000000000002E-2"/>
    <n v="4.1000000000000002E-2"/>
    <n v="729790"/>
    <n v="29921.39"/>
    <n v="699868.61"/>
    <n v="2"/>
    <n v="153"/>
    <x v="4"/>
    <n v="12"/>
    <n v="12"/>
    <n v="2"/>
    <n v="139973.72200000001"/>
    <x v="9"/>
    <x v="9"/>
    <x v="3"/>
  </r>
  <r>
    <x v="74"/>
    <d v="2025-10-23T00:00:00"/>
    <x v="5"/>
    <x v="7"/>
    <x v="0"/>
    <s v="Pune"/>
    <x v="0"/>
    <s v="Emi"/>
    <x v="1"/>
    <s v="Grey"/>
    <x v="25"/>
    <n v="2"/>
    <n v="146358"/>
    <n v="8.8999999999999996E-2"/>
    <n v="8.8999999999999996E-2"/>
    <n v="292716"/>
    <n v="26051.72"/>
    <n v="266664.28000000003"/>
    <n v="3"/>
    <n v="172"/>
    <x v="5"/>
    <n v="6"/>
    <n v="6"/>
    <n v="5"/>
    <n v="133332.14000000001"/>
    <x v="1"/>
    <x v="1"/>
    <x v="0"/>
  </r>
  <r>
    <x v="75"/>
    <d v="2025-11-01T00:00:00"/>
    <x v="2"/>
    <x v="2"/>
    <x v="1"/>
    <s v="Delhi"/>
    <x v="2"/>
    <s v="Cash"/>
    <x v="2"/>
    <s v="Green"/>
    <x v="12"/>
    <n v="1"/>
    <n v="134129"/>
    <n v="6.5000000000000002E-2"/>
    <n v="6.5000000000000002E-2"/>
    <n v="134129"/>
    <n v="8718.39"/>
    <n v="125410.61"/>
    <n v="3"/>
    <n v="176"/>
    <x v="9"/>
    <n v="9"/>
    <n v="9"/>
    <n v="5"/>
    <n v="125410.61"/>
    <x v="2"/>
    <x v="2"/>
    <x v="0"/>
  </r>
  <r>
    <x v="76"/>
    <d v="2025-01-25T00:00:00"/>
    <x v="6"/>
    <x v="8"/>
    <x v="2"/>
    <s v="Kochi"/>
    <x v="3"/>
    <s v="Finance"/>
    <x v="0"/>
    <s v="White"/>
    <x v="2"/>
    <n v="4"/>
    <n v="154579"/>
    <n v="8.8999999999999996E-2"/>
    <n v="8.8999999999999996E-2"/>
    <n v="618316"/>
    <n v="55030.12"/>
    <n v="563285.88"/>
    <n v="2"/>
    <n v="142"/>
    <x v="9"/>
    <n v="8"/>
    <n v="8"/>
    <n v="2"/>
    <n v="140821.47"/>
    <x v="11"/>
    <x v="11"/>
    <x v="2"/>
  </r>
  <r>
    <x v="77"/>
    <d v="2025-04-27T00:00:00"/>
    <x v="6"/>
    <x v="15"/>
    <x v="2"/>
    <s v="Mumbai"/>
    <x v="2"/>
    <s v="Finance"/>
    <x v="0"/>
    <s v="Black"/>
    <x v="18"/>
    <n v="2"/>
    <n v="106366"/>
    <n v="3.2000000000000001E-2"/>
    <n v="3.2000000000000001E-2"/>
    <n v="212732"/>
    <n v="6807.42"/>
    <n v="205924.58"/>
    <n v="3"/>
    <n v="171"/>
    <x v="6"/>
    <n v="5"/>
    <n v="5"/>
    <n v="5"/>
    <n v="102962.29"/>
    <x v="7"/>
    <x v="7"/>
    <x v="3"/>
  </r>
  <r>
    <x v="78"/>
    <d v="2025-04-18T00:00:00"/>
    <x v="0"/>
    <x v="0"/>
    <x v="1"/>
    <s v="Pune"/>
    <x v="3"/>
    <s v="Cash"/>
    <x v="2"/>
    <s v="White"/>
    <x v="6"/>
    <n v="1"/>
    <n v="114092"/>
    <n v="0.09"/>
    <n v="0.09"/>
    <n v="114092"/>
    <n v="10268.280000000001"/>
    <n v="103823.72"/>
    <n v="3"/>
    <n v="160"/>
    <x v="9"/>
    <n v="9"/>
    <n v="9"/>
    <n v="2"/>
    <n v="103823.72"/>
    <x v="7"/>
    <x v="7"/>
    <x v="3"/>
  </r>
  <r>
    <x v="79"/>
    <d v="2025-04-18T00:00:00"/>
    <x v="1"/>
    <x v="9"/>
    <x v="2"/>
    <s v="Hyderabad"/>
    <x v="3"/>
    <s v="Finance"/>
    <x v="0"/>
    <s v="Black"/>
    <x v="16"/>
    <n v="1"/>
    <n v="122644"/>
    <n v="0.107"/>
    <n v="0.107"/>
    <n v="122644"/>
    <n v="13122.91"/>
    <n v="109521.09"/>
    <n v="2"/>
    <n v="146"/>
    <x v="2"/>
    <n v="4"/>
    <n v="4"/>
    <n v="5"/>
    <n v="109521.09"/>
    <x v="7"/>
    <x v="7"/>
    <x v="3"/>
  </r>
  <r>
    <x v="80"/>
    <d v="2025-08-24T00:00:00"/>
    <x v="6"/>
    <x v="15"/>
    <x v="0"/>
    <s v="Delhi"/>
    <x v="2"/>
    <s v="Cash"/>
    <x v="2"/>
    <s v="Green"/>
    <x v="11"/>
    <n v="2"/>
    <n v="116854"/>
    <n v="0.11799999999999999"/>
    <n v="0.11799999999999999"/>
    <n v="233708"/>
    <n v="27577.54"/>
    <n v="206130.46"/>
    <n v="4"/>
    <n v="161"/>
    <x v="12"/>
    <n v="6"/>
    <n v="6"/>
    <n v="2"/>
    <n v="103065.23"/>
    <x v="5"/>
    <x v="5"/>
    <x v="1"/>
  </r>
  <r>
    <x v="81"/>
    <d v="2025-11-20T00:00:00"/>
    <x v="6"/>
    <x v="8"/>
    <x v="1"/>
    <s v="Chennai"/>
    <x v="2"/>
    <s v="Finance"/>
    <x v="0"/>
    <s v="Green"/>
    <x v="11"/>
    <n v="2"/>
    <n v="153371"/>
    <n v="4.8000000000000001E-2"/>
    <n v="4.8000000000000001E-2"/>
    <n v="306742"/>
    <n v="14723.62"/>
    <n v="292018.38"/>
    <n v="5"/>
    <n v="188"/>
    <x v="8"/>
    <n v="12"/>
    <n v="12"/>
    <n v="3"/>
    <n v="146009.19"/>
    <x v="2"/>
    <x v="2"/>
    <x v="0"/>
  </r>
  <r>
    <x v="82"/>
    <d v="2025-11-29T00:00:00"/>
    <x v="2"/>
    <x v="17"/>
    <x v="0"/>
    <s v="Kochi"/>
    <x v="2"/>
    <s v="Finance"/>
    <x v="0"/>
    <s v="Black"/>
    <x v="24"/>
    <n v="5"/>
    <n v="187932"/>
    <n v="2.5999999999999999E-2"/>
    <n v="2.5999999999999999E-2"/>
    <n v="939660"/>
    <n v="24431.16"/>
    <n v="915228.84"/>
    <n v="3"/>
    <n v="158"/>
    <x v="1"/>
    <n v="4"/>
    <n v="4"/>
    <n v="2"/>
    <n v="183045.76799999998"/>
    <x v="2"/>
    <x v="2"/>
    <x v="0"/>
  </r>
  <r>
    <x v="83"/>
    <d v="2025-09-16T00:00:00"/>
    <x v="5"/>
    <x v="7"/>
    <x v="2"/>
    <s v="Kochi"/>
    <x v="2"/>
    <s v="Finance"/>
    <x v="0"/>
    <s v="White"/>
    <x v="3"/>
    <n v="3"/>
    <n v="152555"/>
    <n v="8.3000000000000004E-2"/>
    <n v="8.3000000000000004E-2"/>
    <n v="457665"/>
    <n v="37986.19"/>
    <n v="419678.81"/>
    <n v="3"/>
    <n v="194"/>
    <x v="15"/>
    <n v="2"/>
    <n v="2"/>
    <n v="2"/>
    <n v="139892.93666666668"/>
    <x v="3"/>
    <x v="3"/>
    <x v="1"/>
  </r>
  <r>
    <x v="84"/>
    <d v="2025-06-09T00:00:00"/>
    <x v="5"/>
    <x v="13"/>
    <x v="1"/>
    <s v="Bengaluru"/>
    <x v="3"/>
    <s v="Finance"/>
    <x v="0"/>
    <s v="Red"/>
    <x v="10"/>
    <n v="1"/>
    <n v="138673"/>
    <n v="9.5000000000000001E-2"/>
    <n v="9.5000000000000001E-2"/>
    <n v="138673"/>
    <n v="13173.93"/>
    <n v="125499.07"/>
    <n v="2"/>
    <n v="119"/>
    <x v="0"/>
    <n v="12"/>
    <n v="12"/>
    <n v="2"/>
    <n v="125499.07"/>
    <x v="9"/>
    <x v="9"/>
    <x v="3"/>
  </r>
  <r>
    <x v="85"/>
    <d v="2025-02-09T00:00:00"/>
    <x v="5"/>
    <x v="13"/>
    <x v="1"/>
    <s v="Delhi"/>
    <x v="0"/>
    <s v="Cash"/>
    <x v="2"/>
    <s v="Green"/>
    <x v="16"/>
    <n v="5"/>
    <n v="140795"/>
    <n v="4.8000000000000001E-2"/>
    <n v="4.8000000000000001E-2"/>
    <n v="703975"/>
    <n v="33790.800000000003"/>
    <n v="670184.19999999995"/>
    <n v="3"/>
    <n v="164"/>
    <x v="5"/>
    <n v="6"/>
    <n v="6"/>
    <n v="2"/>
    <n v="134036.84"/>
    <x v="4"/>
    <x v="4"/>
    <x v="2"/>
  </r>
  <r>
    <x v="86"/>
    <d v="2025-11-19T00:00:00"/>
    <x v="2"/>
    <x v="17"/>
    <x v="2"/>
    <s v="Jaipur"/>
    <x v="3"/>
    <s v="Emi"/>
    <x v="1"/>
    <s v="Grey"/>
    <x v="1"/>
    <n v="1"/>
    <n v="186286"/>
    <n v="7.6999999999999999E-2"/>
    <n v="7.6999999999999999E-2"/>
    <n v="186286"/>
    <n v="14344.02"/>
    <n v="171941.98"/>
    <n v="3"/>
    <n v="166"/>
    <x v="9"/>
    <n v="9"/>
    <n v="9"/>
    <n v="2"/>
    <n v="171941.98"/>
    <x v="2"/>
    <x v="2"/>
    <x v="0"/>
  </r>
  <r>
    <x v="87"/>
    <d v="2025-12-22T00:00:00"/>
    <x v="4"/>
    <x v="5"/>
    <x v="0"/>
    <s v="Kolkata"/>
    <x v="2"/>
    <s v="Finance"/>
    <x v="0"/>
    <s v="Red"/>
    <x v="0"/>
    <n v="2"/>
    <n v="120218"/>
    <n v="3.5999999999999997E-2"/>
    <n v="3.5999999999999997E-2"/>
    <n v="240436"/>
    <n v="8655.7000000000007"/>
    <n v="231780.3"/>
    <n v="5"/>
    <n v="197"/>
    <x v="9"/>
    <n v="12"/>
    <n v="12"/>
    <n v="2"/>
    <n v="115890.15"/>
    <x v="0"/>
    <x v="0"/>
    <x v="0"/>
  </r>
  <r>
    <x v="88"/>
    <d v="2025-01-12T00:00:00"/>
    <x v="6"/>
    <x v="15"/>
    <x v="2"/>
    <s v="Pune"/>
    <x v="2"/>
    <s v="Finance"/>
    <x v="0"/>
    <s v="White"/>
    <x v="23"/>
    <n v="1"/>
    <n v="107820"/>
    <n v="8.2000000000000003E-2"/>
    <n v="8.2000000000000003E-2"/>
    <n v="107820"/>
    <n v="8841.24"/>
    <n v="98978.76"/>
    <n v="5"/>
    <n v="183"/>
    <x v="1"/>
    <n v="13"/>
    <n v="13"/>
    <n v="2"/>
    <n v="98978.76"/>
    <x v="11"/>
    <x v="11"/>
    <x v="2"/>
  </r>
  <r>
    <x v="89"/>
    <d v="2025-11-15T00:00:00"/>
    <x v="1"/>
    <x v="1"/>
    <x v="1"/>
    <s v="Pune"/>
    <x v="3"/>
    <s v="Finance"/>
    <x v="0"/>
    <s v="Green"/>
    <x v="6"/>
    <n v="1"/>
    <n v="106164"/>
    <n v="9.5000000000000001E-2"/>
    <n v="9.5000000000000001E-2"/>
    <n v="106164"/>
    <n v="10085.58"/>
    <n v="96078.42"/>
    <n v="4"/>
    <n v="188"/>
    <x v="5"/>
    <n v="5"/>
    <n v="5"/>
    <n v="5"/>
    <n v="96078.42"/>
    <x v="2"/>
    <x v="2"/>
    <x v="0"/>
  </r>
  <r>
    <x v="90"/>
    <d v="2025-04-30T00:00:00"/>
    <x v="6"/>
    <x v="8"/>
    <x v="1"/>
    <s v="Delhi"/>
    <x v="0"/>
    <s v="Emi"/>
    <x v="1"/>
    <s v="Blue"/>
    <x v="21"/>
    <n v="1"/>
    <n v="159302"/>
    <n v="0.11700000000000001"/>
    <n v="0.11700000000000001"/>
    <n v="159302"/>
    <n v="18638.330000000002"/>
    <n v="140663.67000000001"/>
    <n v="5"/>
    <n v="193"/>
    <x v="15"/>
    <n v="14"/>
    <n v="14"/>
    <n v="5"/>
    <n v="140663.67000000001"/>
    <x v="7"/>
    <x v="7"/>
    <x v="3"/>
  </r>
  <r>
    <x v="91"/>
    <d v="2025-01-26T00:00:00"/>
    <x v="7"/>
    <x v="14"/>
    <x v="2"/>
    <s v="Hyderabad"/>
    <x v="1"/>
    <s v="Finance"/>
    <x v="0"/>
    <s v="Green"/>
    <x v="9"/>
    <n v="1"/>
    <n v="105587"/>
    <n v="0.114"/>
    <n v="0.114"/>
    <n v="105587"/>
    <n v="12036.92"/>
    <n v="93550.080000000002"/>
    <n v="2"/>
    <n v="147"/>
    <x v="2"/>
    <n v="14"/>
    <n v="14"/>
    <n v="2"/>
    <n v="93550.080000000002"/>
    <x v="11"/>
    <x v="11"/>
    <x v="2"/>
  </r>
  <r>
    <x v="92"/>
    <d v="2025-01-27T00:00:00"/>
    <x v="6"/>
    <x v="15"/>
    <x v="2"/>
    <s v="Mumbai"/>
    <x v="3"/>
    <s v="Emi"/>
    <x v="1"/>
    <s v="Black"/>
    <x v="1"/>
    <n v="4"/>
    <n v="118233"/>
    <n v="2.3E-2"/>
    <n v="2.3E-2"/>
    <n v="472932"/>
    <n v="10877.44"/>
    <n v="462054.56"/>
    <n v="4"/>
    <n v="159"/>
    <x v="5"/>
    <n v="11"/>
    <n v="11"/>
    <n v="3"/>
    <n v="115513.64"/>
    <x v="11"/>
    <x v="11"/>
    <x v="2"/>
  </r>
  <r>
    <x v="93"/>
    <d v="2025-10-01T00:00:00"/>
    <x v="1"/>
    <x v="1"/>
    <x v="0"/>
    <s v="Hyderabad"/>
    <x v="2"/>
    <s v="Emi"/>
    <x v="1"/>
    <s v="Grey"/>
    <x v="25"/>
    <n v="4"/>
    <n v="110687"/>
    <n v="0.11700000000000001"/>
    <n v="0.11700000000000001"/>
    <n v="442748"/>
    <n v="51801.52"/>
    <n v="390946.48"/>
    <n v="3"/>
    <n v="168"/>
    <x v="15"/>
    <n v="12"/>
    <n v="12"/>
    <n v="3"/>
    <n v="97736.62"/>
    <x v="1"/>
    <x v="1"/>
    <x v="0"/>
  </r>
  <r>
    <x v="94"/>
    <d v="2025-11-12T00:00:00"/>
    <x v="4"/>
    <x v="5"/>
    <x v="0"/>
    <s v="Jaipur"/>
    <x v="1"/>
    <s v="Emi"/>
    <x v="1"/>
    <s v="Green"/>
    <x v="17"/>
    <n v="5"/>
    <n v="111085"/>
    <n v="6.6000000000000003E-2"/>
    <n v="6.6000000000000003E-2"/>
    <n v="555425"/>
    <n v="36658.050000000003"/>
    <n v="518766.95"/>
    <n v="2"/>
    <n v="165"/>
    <x v="10"/>
    <n v="5"/>
    <n v="5"/>
    <n v="2"/>
    <n v="103753.39"/>
    <x v="2"/>
    <x v="2"/>
    <x v="0"/>
  </r>
  <r>
    <x v="95"/>
    <d v="2025-12-10T00:00:00"/>
    <x v="4"/>
    <x v="6"/>
    <x v="1"/>
    <s v="Jaipur"/>
    <x v="3"/>
    <s v="Finance"/>
    <x v="0"/>
    <s v="Black"/>
    <x v="26"/>
    <n v="1"/>
    <n v="113169"/>
    <n v="3.5000000000000003E-2"/>
    <n v="3.5000000000000003E-2"/>
    <n v="113169"/>
    <n v="3960.92"/>
    <n v="109208.08"/>
    <n v="3"/>
    <n v="152"/>
    <x v="10"/>
    <n v="7"/>
    <n v="7"/>
    <n v="5"/>
    <n v="109208.08"/>
    <x v="0"/>
    <x v="0"/>
    <x v="0"/>
  </r>
  <r>
    <x v="96"/>
    <d v="2025-06-28T00:00:00"/>
    <x v="2"/>
    <x v="17"/>
    <x v="0"/>
    <s v="Ahmedabad"/>
    <x v="1"/>
    <s v="Finance"/>
    <x v="0"/>
    <s v="Red"/>
    <x v="6"/>
    <n v="1"/>
    <n v="175299"/>
    <n v="0.11899999999999999"/>
    <n v="0.11899999999999999"/>
    <n v="175299"/>
    <n v="20860.580000000002"/>
    <n v="154438.42000000001"/>
    <n v="3"/>
    <n v="192"/>
    <x v="13"/>
    <n v="5"/>
    <n v="5"/>
    <n v="2"/>
    <n v="154438.42000000001"/>
    <x v="9"/>
    <x v="9"/>
    <x v="3"/>
  </r>
  <r>
    <x v="97"/>
    <d v="2025-10-16T00:00:00"/>
    <x v="7"/>
    <x v="16"/>
    <x v="2"/>
    <s v="Delhi"/>
    <x v="1"/>
    <s v="Emi"/>
    <x v="1"/>
    <s v="Grey"/>
    <x v="7"/>
    <n v="4"/>
    <n v="133217"/>
    <n v="0.10199999999999999"/>
    <n v="0.10199999999999999"/>
    <n v="532868"/>
    <n v="54352.54"/>
    <n v="478515.46"/>
    <n v="3"/>
    <n v="171"/>
    <x v="0"/>
    <n v="3"/>
    <n v="3"/>
    <n v="3"/>
    <n v="119628.86500000001"/>
    <x v="1"/>
    <x v="1"/>
    <x v="0"/>
  </r>
  <r>
    <x v="98"/>
    <d v="2025-01-09T00:00:00"/>
    <x v="2"/>
    <x v="17"/>
    <x v="2"/>
    <s v="Kolkata"/>
    <x v="2"/>
    <s v="Finance"/>
    <x v="0"/>
    <s v="White"/>
    <x v="17"/>
    <n v="5"/>
    <n v="170509"/>
    <n v="7.3999999999999996E-2"/>
    <n v="7.3999999999999996E-2"/>
    <n v="852545"/>
    <n v="63088.33"/>
    <n v="789456.67"/>
    <n v="4"/>
    <n v="186"/>
    <x v="1"/>
    <n v="5"/>
    <n v="5"/>
    <n v="3"/>
    <n v="157891.334"/>
    <x v="11"/>
    <x v="11"/>
    <x v="2"/>
  </r>
  <r>
    <x v="99"/>
    <d v="2025-01-03T00:00:00"/>
    <x v="7"/>
    <x v="14"/>
    <x v="2"/>
    <s v="Kochi"/>
    <x v="2"/>
    <s v="Emi"/>
    <x v="1"/>
    <s v="Green"/>
    <x v="27"/>
    <n v="1"/>
    <n v="101110"/>
    <n v="6.4000000000000001E-2"/>
    <n v="6.4000000000000001E-2"/>
    <n v="101110"/>
    <n v="6471.04"/>
    <n v="94638.96"/>
    <n v="4"/>
    <n v="202"/>
    <x v="2"/>
    <n v="10"/>
    <n v="10"/>
    <n v="2"/>
    <n v="94638.96"/>
    <x v="11"/>
    <x v="11"/>
    <x v="2"/>
  </r>
  <r>
    <x v="100"/>
    <d v="2025-08-09T00:00:00"/>
    <x v="4"/>
    <x v="5"/>
    <x v="2"/>
    <s v="Bengaluru"/>
    <x v="1"/>
    <s v="Finance"/>
    <x v="0"/>
    <s v="Blue"/>
    <x v="7"/>
    <n v="3"/>
    <n v="118705"/>
    <n v="7.0000000000000007E-2"/>
    <n v="7.0000000000000007E-2"/>
    <n v="356115"/>
    <n v="24928.05"/>
    <n v="331186.95"/>
    <n v="4"/>
    <n v="170"/>
    <x v="1"/>
    <n v="9"/>
    <n v="9"/>
    <n v="2"/>
    <n v="110395.65000000001"/>
    <x v="5"/>
    <x v="5"/>
    <x v="1"/>
  </r>
  <r>
    <x v="101"/>
    <d v="2025-07-26T00:00:00"/>
    <x v="4"/>
    <x v="6"/>
    <x v="0"/>
    <s v="Delhi"/>
    <x v="2"/>
    <s v="Cash"/>
    <x v="2"/>
    <s v="Red"/>
    <x v="24"/>
    <n v="1"/>
    <n v="105500"/>
    <n v="0.107"/>
    <n v="0.107"/>
    <n v="105500"/>
    <n v="11288.5"/>
    <n v="94211.5"/>
    <n v="4"/>
    <n v="176"/>
    <x v="10"/>
    <n v="5"/>
    <n v="5"/>
    <n v="3"/>
    <n v="94211.5"/>
    <x v="8"/>
    <x v="8"/>
    <x v="1"/>
  </r>
  <r>
    <x v="102"/>
    <d v="2025-08-16T00:00:00"/>
    <x v="4"/>
    <x v="5"/>
    <x v="1"/>
    <s v="Mumbai"/>
    <x v="1"/>
    <s v="Cash"/>
    <x v="2"/>
    <s v="Black"/>
    <x v="7"/>
    <n v="4"/>
    <n v="122601"/>
    <n v="6.2E-2"/>
    <n v="6.2E-2"/>
    <n v="490404"/>
    <n v="30405.05"/>
    <n v="459998.95"/>
    <n v="3"/>
    <n v="173"/>
    <x v="9"/>
    <n v="13"/>
    <n v="13"/>
    <n v="5"/>
    <n v="114999.7375"/>
    <x v="5"/>
    <x v="5"/>
    <x v="1"/>
  </r>
  <r>
    <x v="103"/>
    <d v="2025-03-28T00:00:00"/>
    <x v="7"/>
    <x v="10"/>
    <x v="2"/>
    <s v="Ahmedabad"/>
    <x v="2"/>
    <s v="Cash"/>
    <x v="2"/>
    <s v="Red"/>
    <x v="0"/>
    <n v="2"/>
    <n v="114102"/>
    <n v="7.0999999999999994E-2"/>
    <n v="7.0999999999999994E-2"/>
    <n v="228204"/>
    <n v="16202.48"/>
    <n v="212001.52"/>
    <n v="3"/>
    <n v="162"/>
    <x v="5"/>
    <n v="7"/>
    <n v="7"/>
    <n v="2"/>
    <n v="106000.76"/>
    <x v="10"/>
    <x v="10"/>
    <x v="2"/>
  </r>
  <r>
    <x v="104"/>
    <d v="2025-05-25T00:00:00"/>
    <x v="0"/>
    <x v="0"/>
    <x v="2"/>
    <s v="Kochi"/>
    <x v="2"/>
    <s v="Finance"/>
    <x v="0"/>
    <s v="Green"/>
    <x v="12"/>
    <n v="1"/>
    <n v="129086"/>
    <n v="4.5999999999999999E-2"/>
    <n v="4.5999999999999999E-2"/>
    <n v="129086"/>
    <n v="5937.96"/>
    <n v="123148.04"/>
    <n v="4"/>
    <n v="195"/>
    <x v="5"/>
    <n v="9"/>
    <n v="9"/>
    <n v="2"/>
    <n v="123148.04"/>
    <x v="6"/>
    <x v="6"/>
    <x v="3"/>
  </r>
  <r>
    <x v="105"/>
    <d v="2025-09-23T00:00:00"/>
    <x v="7"/>
    <x v="16"/>
    <x v="2"/>
    <s v="Chennai"/>
    <x v="1"/>
    <s v="Cash"/>
    <x v="2"/>
    <s v="Black"/>
    <x v="13"/>
    <n v="2"/>
    <n v="134456"/>
    <n v="6.5000000000000002E-2"/>
    <n v="6.5000000000000002E-2"/>
    <n v="268912"/>
    <n v="17479.28"/>
    <n v="251432.72"/>
    <n v="4"/>
    <n v="166"/>
    <x v="4"/>
    <n v="12"/>
    <n v="12"/>
    <n v="2"/>
    <n v="125716.36"/>
    <x v="3"/>
    <x v="3"/>
    <x v="1"/>
  </r>
  <r>
    <x v="106"/>
    <d v="2025-11-08T00:00:00"/>
    <x v="1"/>
    <x v="1"/>
    <x v="1"/>
    <s v="Delhi"/>
    <x v="2"/>
    <s v="Emi"/>
    <x v="1"/>
    <s v="Green"/>
    <x v="20"/>
    <n v="2"/>
    <n v="116771"/>
    <n v="4.1000000000000002E-2"/>
    <n v="4.1000000000000002E-2"/>
    <n v="233542"/>
    <n v="9575.2199999999993"/>
    <n v="223966.78"/>
    <n v="2"/>
    <n v="145"/>
    <x v="16"/>
    <n v="6"/>
    <n v="6"/>
    <n v="3"/>
    <n v="111983.39"/>
    <x v="2"/>
    <x v="2"/>
    <x v="0"/>
  </r>
  <r>
    <x v="107"/>
    <d v="2025-11-21T00:00:00"/>
    <x v="4"/>
    <x v="6"/>
    <x v="0"/>
    <s v="Jaipur"/>
    <x v="2"/>
    <s v="Emi"/>
    <x v="1"/>
    <s v="Blue"/>
    <x v="28"/>
    <n v="1"/>
    <n v="107294"/>
    <n v="8.8999999999999996E-2"/>
    <n v="8.8999999999999996E-2"/>
    <n v="107294"/>
    <n v="9549.17"/>
    <n v="97744.83"/>
    <n v="3"/>
    <n v="187"/>
    <x v="8"/>
    <n v="3"/>
    <n v="3"/>
    <n v="2"/>
    <n v="97744.83"/>
    <x v="2"/>
    <x v="2"/>
    <x v="0"/>
  </r>
  <r>
    <x v="108"/>
    <d v="2025-10-21T00:00:00"/>
    <x v="0"/>
    <x v="0"/>
    <x v="1"/>
    <s v="Kolkata"/>
    <x v="1"/>
    <s v="Cash"/>
    <x v="2"/>
    <s v="Green"/>
    <x v="20"/>
    <n v="1"/>
    <n v="113303"/>
    <n v="5.0999999999999997E-2"/>
    <n v="5.0999999999999997E-2"/>
    <n v="113303"/>
    <n v="5778.45"/>
    <n v="107524.55"/>
    <n v="4"/>
    <n v="189"/>
    <x v="17"/>
    <n v="3"/>
    <n v="3"/>
    <n v="2"/>
    <n v="107524.55"/>
    <x v="1"/>
    <x v="1"/>
    <x v="0"/>
  </r>
  <r>
    <x v="109"/>
    <d v="2025-06-24T00:00:00"/>
    <x v="0"/>
    <x v="0"/>
    <x v="1"/>
    <s v="Ahmedabad"/>
    <x v="3"/>
    <s v="Finance"/>
    <x v="0"/>
    <s v="Red"/>
    <x v="6"/>
    <n v="2"/>
    <n v="126880"/>
    <n v="0.114"/>
    <n v="0.114"/>
    <n v="253760"/>
    <n v="28928.639999999999"/>
    <n v="224831.35999999999"/>
    <n v="4"/>
    <n v="210"/>
    <x v="16"/>
    <n v="9"/>
    <n v="9"/>
    <n v="5"/>
    <n v="112415.67999999999"/>
    <x v="9"/>
    <x v="9"/>
    <x v="3"/>
  </r>
  <r>
    <x v="110"/>
    <d v="2025-10-14T00:00:00"/>
    <x v="5"/>
    <x v="13"/>
    <x v="1"/>
    <s v="Jaipur"/>
    <x v="2"/>
    <s v="Finance"/>
    <x v="0"/>
    <s v="Grey"/>
    <x v="29"/>
    <n v="2"/>
    <n v="134344"/>
    <n v="8.5000000000000006E-2"/>
    <n v="8.5000000000000006E-2"/>
    <n v="268688"/>
    <n v="22838.48"/>
    <n v="245849.52"/>
    <n v="2"/>
    <n v="158"/>
    <x v="8"/>
    <n v="10"/>
    <n v="10"/>
    <n v="2"/>
    <n v="122924.76"/>
    <x v="1"/>
    <x v="1"/>
    <x v="0"/>
  </r>
  <r>
    <x v="111"/>
    <d v="2025-04-12T00:00:00"/>
    <x v="6"/>
    <x v="8"/>
    <x v="1"/>
    <s v="Chennai"/>
    <x v="2"/>
    <s v="Cash"/>
    <x v="2"/>
    <s v="Red"/>
    <x v="24"/>
    <n v="1"/>
    <n v="159928"/>
    <n v="0.108"/>
    <n v="0.108"/>
    <n v="159928"/>
    <n v="17272.22"/>
    <n v="142655.78"/>
    <n v="3"/>
    <n v="160"/>
    <x v="6"/>
    <n v="7"/>
    <n v="7"/>
    <n v="5"/>
    <n v="142655.78"/>
    <x v="7"/>
    <x v="7"/>
    <x v="3"/>
  </r>
  <r>
    <x v="112"/>
    <d v="2025-11-12T00:00:00"/>
    <x v="0"/>
    <x v="11"/>
    <x v="0"/>
    <s v="Kochi"/>
    <x v="0"/>
    <s v="Finance"/>
    <x v="0"/>
    <s v="Black"/>
    <x v="7"/>
    <n v="2"/>
    <n v="143291"/>
    <n v="7.4999999999999997E-2"/>
    <n v="7.4999999999999997E-2"/>
    <n v="286582"/>
    <n v="21493.65"/>
    <n v="265088.34999999998"/>
    <n v="3"/>
    <n v="164"/>
    <x v="8"/>
    <n v="9"/>
    <n v="9"/>
    <n v="3"/>
    <n v="132544.17499999999"/>
    <x v="2"/>
    <x v="2"/>
    <x v="0"/>
  </r>
  <r>
    <x v="113"/>
    <d v="2025-11-24T00:00:00"/>
    <x v="4"/>
    <x v="5"/>
    <x v="2"/>
    <s v="Kolkata"/>
    <x v="0"/>
    <s v="Finance"/>
    <x v="0"/>
    <s v="White"/>
    <x v="25"/>
    <n v="2"/>
    <n v="115814"/>
    <n v="2.3E-2"/>
    <n v="2.3E-2"/>
    <n v="231628"/>
    <n v="5327.44"/>
    <n v="226300.56"/>
    <n v="3"/>
    <n v="147"/>
    <x v="4"/>
    <n v="6"/>
    <n v="6"/>
    <n v="5"/>
    <n v="113150.28"/>
    <x v="2"/>
    <x v="2"/>
    <x v="0"/>
  </r>
  <r>
    <x v="114"/>
    <d v="2025-01-21T00:00:00"/>
    <x v="2"/>
    <x v="2"/>
    <x v="1"/>
    <s v="Pune"/>
    <x v="2"/>
    <s v="Finance"/>
    <x v="0"/>
    <s v="Green"/>
    <x v="16"/>
    <n v="1"/>
    <n v="117632"/>
    <n v="8.5000000000000006E-2"/>
    <n v="8.5000000000000006E-2"/>
    <n v="117632"/>
    <n v="9998.7199999999993"/>
    <n v="107633.28"/>
    <n v="5"/>
    <n v="201"/>
    <x v="16"/>
    <n v="5"/>
    <n v="5"/>
    <n v="2"/>
    <n v="107633.28"/>
    <x v="11"/>
    <x v="11"/>
    <x v="2"/>
  </r>
  <r>
    <x v="115"/>
    <d v="2025-02-21T00:00:00"/>
    <x v="3"/>
    <x v="4"/>
    <x v="1"/>
    <s v="Hyderabad"/>
    <x v="0"/>
    <s v="Cash"/>
    <x v="2"/>
    <s v="Green"/>
    <x v="21"/>
    <n v="2"/>
    <n v="128417"/>
    <n v="7.2999999999999995E-2"/>
    <n v="7.2999999999999995E-2"/>
    <n v="256834"/>
    <n v="18748.88"/>
    <n v="238085.12"/>
    <n v="4"/>
    <n v="185"/>
    <x v="7"/>
    <n v="3"/>
    <n v="3"/>
    <n v="2"/>
    <n v="119042.56"/>
    <x v="4"/>
    <x v="4"/>
    <x v="2"/>
  </r>
  <r>
    <x v="116"/>
    <d v="2025-04-18T00:00:00"/>
    <x v="0"/>
    <x v="11"/>
    <x v="2"/>
    <s v="Pune"/>
    <x v="3"/>
    <s v="Cash"/>
    <x v="2"/>
    <s v="White"/>
    <x v="22"/>
    <n v="1"/>
    <n v="141893"/>
    <n v="9.0999999999999998E-2"/>
    <n v="9.0999999999999998E-2"/>
    <n v="141893"/>
    <n v="12912.26"/>
    <n v="128980.74"/>
    <n v="2"/>
    <n v="126"/>
    <x v="15"/>
    <n v="5"/>
    <n v="5"/>
    <n v="3"/>
    <n v="128980.74"/>
    <x v="7"/>
    <x v="7"/>
    <x v="3"/>
  </r>
  <r>
    <x v="117"/>
    <d v="2025-04-28T00:00:00"/>
    <x v="2"/>
    <x v="2"/>
    <x v="0"/>
    <s v="Chennai"/>
    <x v="1"/>
    <s v="Finance"/>
    <x v="0"/>
    <s v="Blue"/>
    <x v="27"/>
    <n v="2"/>
    <n v="127886"/>
    <n v="9.9000000000000005E-2"/>
    <n v="9.9000000000000005E-2"/>
    <n v="255772"/>
    <n v="25321.43"/>
    <n v="230450.57"/>
    <n v="4"/>
    <n v="176"/>
    <x v="17"/>
    <n v="11"/>
    <n v="11"/>
    <n v="2"/>
    <n v="115225.285"/>
    <x v="7"/>
    <x v="7"/>
    <x v="3"/>
  </r>
  <r>
    <x v="118"/>
    <d v="2025-07-21T00:00:00"/>
    <x v="3"/>
    <x v="3"/>
    <x v="1"/>
    <s v="Kolkata"/>
    <x v="3"/>
    <s v="Cash"/>
    <x v="2"/>
    <s v="Green"/>
    <x v="12"/>
    <n v="3"/>
    <n v="157099"/>
    <n v="3.5000000000000003E-2"/>
    <n v="3.5000000000000003E-2"/>
    <n v="471297"/>
    <n v="16495.400000000001"/>
    <n v="454801.6"/>
    <n v="3"/>
    <n v="158"/>
    <x v="5"/>
    <n v="13"/>
    <n v="13"/>
    <n v="3"/>
    <n v="151600.53333333333"/>
    <x v="8"/>
    <x v="8"/>
    <x v="1"/>
  </r>
  <r>
    <x v="119"/>
    <d v="2025-06-09T00:00:00"/>
    <x v="4"/>
    <x v="6"/>
    <x v="0"/>
    <s v="Bengaluru"/>
    <x v="0"/>
    <s v="Finance"/>
    <x v="0"/>
    <s v="Grey"/>
    <x v="2"/>
    <n v="2"/>
    <n v="102476"/>
    <n v="8.3000000000000004E-2"/>
    <n v="8.3000000000000004E-2"/>
    <n v="204952"/>
    <n v="17011.02"/>
    <n v="187940.98"/>
    <n v="2"/>
    <n v="140"/>
    <x v="5"/>
    <n v="8"/>
    <n v="8"/>
    <n v="2"/>
    <n v="93970.49"/>
    <x v="9"/>
    <x v="9"/>
    <x v="3"/>
  </r>
  <r>
    <x v="120"/>
    <d v="2025-10-07T00:00:00"/>
    <x v="5"/>
    <x v="7"/>
    <x v="1"/>
    <s v="Hyderabad"/>
    <x v="2"/>
    <s v="Cash"/>
    <x v="2"/>
    <s v="Black"/>
    <x v="5"/>
    <n v="1"/>
    <n v="138413"/>
    <n v="9.1999999999999998E-2"/>
    <n v="9.1999999999999998E-2"/>
    <n v="138413"/>
    <n v="12734"/>
    <n v="125679"/>
    <n v="4"/>
    <n v="177"/>
    <x v="8"/>
    <n v="9"/>
    <n v="9"/>
    <n v="2"/>
    <n v="125679"/>
    <x v="1"/>
    <x v="1"/>
    <x v="0"/>
  </r>
  <r>
    <x v="121"/>
    <d v="2025-07-15T00:00:00"/>
    <x v="6"/>
    <x v="15"/>
    <x v="2"/>
    <s v="Pune"/>
    <x v="1"/>
    <s v="Cash"/>
    <x v="2"/>
    <s v="White"/>
    <x v="7"/>
    <n v="1"/>
    <n v="116210"/>
    <n v="8.6999999999999994E-2"/>
    <n v="8.6999999999999994E-2"/>
    <n v="116210"/>
    <n v="10110.27"/>
    <n v="106099.73"/>
    <n v="2"/>
    <n v="129"/>
    <x v="6"/>
    <n v="9"/>
    <n v="9"/>
    <n v="3"/>
    <n v="106099.73"/>
    <x v="8"/>
    <x v="8"/>
    <x v="1"/>
  </r>
  <r>
    <x v="122"/>
    <d v="2025-05-10T00:00:00"/>
    <x v="6"/>
    <x v="8"/>
    <x v="1"/>
    <s v="Jaipur"/>
    <x v="2"/>
    <s v="Finance"/>
    <x v="0"/>
    <s v="Green"/>
    <x v="3"/>
    <n v="5"/>
    <n v="154898"/>
    <n v="7.5999999999999998E-2"/>
    <n v="7.5999999999999998E-2"/>
    <n v="774490"/>
    <n v="58861.24"/>
    <n v="715628.76"/>
    <n v="4"/>
    <n v="173"/>
    <x v="16"/>
    <n v="13"/>
    <n v="13"/>
    <n v="3"/>
    <n v="143125.75200000001"/>
    <x v="6"/>
    <x v="6"/>
    <x v="3"/>
  </r>
  <r>
    <x v="123"/>
    <d v="2025-01-12T00:00:00"/>
    <x v="5"/>
    <x v="13"/>
    <x v="1"/>
    <s v="Hyderabad"/>
    <x v="1"/>
    <s v="Cash"/>
    <x v="2"/>
    <s v="Black"/>
    <x v="3"/>
    <n v="1"/>
    <n v="139466"/>
    <n v="0.1"/>
    <n v="0.1"/>
    <n v="139466"/>
    <n v="13946.6"/>
    <n v="125519.4"/>
    <n v="5"/>
    <n v="193"/>
    <x v="19"/>
    <n v="9"/>
    <n v="9"/>
    <n v="3"/>
    <n v="125519.4"/>
    <x v="11"/>
    <x v="11"/>
    <x v="2"/>
  </r>
  <r>
    <x v="124"/>
    <d v="2025-08-19T00:00:00"/>
    <x v="4"/>
    <x v="5"/>
    <x v="0"/>
    <s v="Jaipur"/>
    <x v="3"/>
    <s v="Cash"/>
    <x v="2"/>
    <s v="Blue"/>
    <x v="7"/>
    <n v="4"/>
    <n v="117896"/>
    <n v="7.0999999999999994E-2"/>
    <n v="7.0999999999999994E-2"/>
    <n v="471584"/>
    <n v="33482.46"/>
    <n v="438101.54"/>
    <n v="3"/>
    <n v="155"/>
    <x v="17"/>
    <n v="10"/>
    <n v="10"/>
    <n v="2"/>
    <n v="109525.38499999999"/>
    <x v="5"/>
    <x v="5"/>
    <x v="1"/>
  </r>
  <r>
    <x v="125"/>
    <d v="2025-06-03T00:00:00"/>
    <x v="3"/>
    <x v="4"/>
    <x v="0"/>
    <s v="Pune"/>
    <x v="2"/>
    <s v="Emi"/>
    <x v="1"/>
    <s v="Red"/>
    <x v="18"/>
    <n v="2"/>
    <n v="121463"/>
    <n v="0.112"/>
    <n v="0.112"/>
    <n v="242926"/>
    <n v="27207.71"/>
    <n v="215718.29"/>
    <n v="3"/>
    <n v="164"/>
    <x v="16"/>
    <n v="4"/>
    <n v="4"/>
    <n v="3"/>
    <n v="107859.145"/>
    <x v="9"/>
    <x v="9"/>
    <x v="3"/>
  </r>
  <r>
    <x v="126"/>
    <d v="2025-06-12T00:00:00"/>
    <x v="5"/>
    <x v="13"/>
    <x v="0"/>
    <s v="Delhi"/>
    <x v="1"/>
    <s v="Emi"/>
    <x v="1"/>
    <s v="Green"/>
    <x v="6"/>
    <n v="1"/>
    <n v="140034"/>
    <n v="5.5E-2"/>
    <n v="5.5E-2"/>
    <n v="140034"/>
    <n v="7701.87"/>
    <n v="132332.13"/>
    <n v="5"/>
    <n v="213"/>
    <x v="15"/>
    <n v="10"/>
    <n v="10"/>
    <n v="2"/>
    <n v="132332.13"/>
    <x v="9"/>
    <x v="9"/>
    <x v="3"/>
  </r>
  <r>
    <x v="127"/>
    <d v="2025-11-06T00:00:00"/>
    <x v="6"/>
    <x v="8"/>
    <x v="1"/>
    <s v="Hyderabad"/>
    <x v="3"/>
    <s v="Cash"/>
    <x v="2"/>
    <s v="Green"/>
    <x v="9"/>
    <n v="3"/>
    <n v="147668"/>
    <n v="0.115"/>
    <n v="0.115"/>
    <n v="443004"/>
    <n v="50945.46"/>
    <n v="392058.54"/>
    <n v="4"/>
    <n v="172"/>
    <x v="15"/>
    <n v="6"/>
    <n v="6"/>
    <n v="3"/>
    <n v="130686.18"/>
    <x v="2"/>
    <x v="2"/>
    <x v="0"/>
  </r>
  <r>
    <x v="128"/>
    <d v="2025-11-12T00:00:00"/>
    <x v="7"/>
    <x v="16"/>
    <x v="0"/>
    <s v="Kochi"/>
    <x v="3"/>
    <s v=" Emi "/>
    <x v="3"/>
    <s v="Green"/>
    <x v="21"/>
    <n v="4"/>
    <n v="131606"/>
    <n v="2.1999999999999999E-2"/>
    <n v="2.1999999999999999E-2"/>
    <n v="526424"/>
    <n v="11581.33"/>
    <n v="514842.67"/>
    <n v="4"/>
    <n v="166"/>
    <x v="4"/>
    <n v="6"/>
    <n v="6"/>
    <n v="5"/>
    <n v="128710.6675"/>
    <x v="2"/>
    <x v="2"/>
    <x v="0"/>
  </r>
  <r>
    <x v="129"/>
    <d v="2025-02-25T00:00:00"/>
    <x v="7"/>
    <x v="16"/>
    <x v="2"/>
    <s v="Ahmedabad"/>
    <x v="3"/>
    <s v="Cash"/>
    <x v="2"/>
    <s v="Red"/>
    <x v="9"/>
    <n v="1"/>
    <n v="140034"/>
    <n v="3.6999999999999998E-2"/>
    <n v="3.6999999999999998E-2"/>
    <n v="140034"/>
    <n v="5181.26"/>
    <n v="134852.74"/>
    <n v="2"/>
    <n v="137"/>
    <x v="6"/>
    <n v="8"/>
    <n v="8"/>
    <n v="2"/>
    <n v="134852.74"/>
    <x v="4"/>
    <x v="4"/>
    <x v="2"/>
  </r>
  <r>
    <x v="130"/>
    <d v="2025-05-04T00:00:00"/>
    <x v="4"/>
    <x v="5"/>
    <x v="0"/>
    <s v="Kolkata"/>
    <x v="3"/>
    <s v="Cash"/>
    <x v="2"/>
    <s v="Green"/>
    <x v="20"/>
    <n v="3"/>
    <n v="119761"/>
    <n v="9.9000000000000005E-2"/>
    <n v="9.9000000000000005E-2"/>
    <n v="359283"/>
    <n v="35569.019999999997"/>
    <n v="323713.98"/>
    <n v="3"/>
    <n v="148"/>
    <x v="14"/>
    <n v="12"/>
    <n v="12"/>
    <n v="3"/>
    <n v="107904.65999999999"/>
    <x v="6"/>
    <x v="6"/>
    <x v="3"/>
  </r>
  <r>
    <x v="131"/>
    <d v="2025-03-03T00:00:00"/>
    <x v="6"/>
    <x v="15"/>
    <x v="1"/>
    <s v="Kochi"/>
    <x v="0"/>
    <s v="Cash"/>
    <x v="2"/>
    <s v="Grey"/>
    <x v="14"/>
    <n v="1"/>
    <n v="103695"/>
    <n v="4.5999999999999999E-2"/>
    <n v="4.5999999999999999E-2"/>
    <n v="103695"/>
    <n v="4769.97"/>
    <n v="98925.03"/>
    <n v="4"/>
    <n v="183"/>
    <x v="17"/>
    <n v="2"/>
    <n v="2"/>
    <n v="2"/>
    <n v="98925.03"/>
    <x v="10"/>
    <x v="10"/>
    <x v="2"/>
  </r>
  <r>
    <x v="132"/>
    <d v="2025-06-22T00:00:00"/>
    <x v="7"/>
    <x v="16"/>
    <x v="0"/>
    <s v="Hyderabad"/>
    <x v="0"/>
    <s v="Finance"/>
    <x v="0"/>
    <s v="Blue"/>
    <x v="23"/>
    <n v="1"/>
    <n v="138879"/>
    <n v="4.7E-2"/>
    <n v="4.7E-2"/>
    <n v="138879"/>
    <n v="6527.31"/>
    <n v="132351.69"/>
    <n v="4"/>
    <n v="161"/>
    <x v="16"/>
    <n v="6"/>
    <n v="6"/>
    <n v="3"/>
    <n v="132351.69"/>
    <x v="9"/>
    <x v="9"/>
    <x v="3"/>
  </r>
  <r>
    <x v="133"/>
    <d v="2025-02-11T00:00:00"/>
    <x v="4"/>
    <x v="5"/>
    <x v="1"/>
    <s v="Kochi"/>
    <x v="0"/>
    <s v="Finance"/>
    <x v="0"/>
    <s v="Red"/>
    <x v="26"/>
    <n v="3"/>
    <n v="122462"/>
    <n v="0.11600000000000001"/>
    <n v="0.11600000000000001"/>
    <n v="367386"/>
    <n v="42616.78"/>
    <n v="324769.21999999997"/>
    <n v="4"/>
    <n v="195"/>
    <x v="17"/>
    <n v="13"/>
    <n v="13"/>
    <n v="2"/>
    <n v="108256.40666666666"/>
    <x v="4"/>
    <x v="4"/>
    <x v="2"/>
  </r>
  <r>
    <x v="134"/>
    <d v="2025-07-22T00:00:00"/>
    <x v="4"/>
    <x v="5"/>
    <x v="1"/>
    <s v="Delhi"/>
    <x v="2"/>
    <s v="Cash"/>
    <x v="2"/>
    <s v="Grey"/>
    <x v="26"/>
    <n v="1"/>
    <n v="114320"/>
    <n v="6.5000000000000002E-2"/>
    <n v="6.5000000000000002E-2"/>
    <n v="114320"/>
    <n v="7430.8"/>
    <n v="106889.2"/>
    <n v="3"/>
    <n v="162"/>
    <x v="6"/>
    <n v="14"/>
    <n v="14"/>
    <n v="5"/>
    <n v="106889.2"/>
    <x v="8"/>
    <x v="8"/>
    <x v="1"/>
  </r>
  <r>
    <x v="135"/>
    <d v="2025-02-12T00:00:00"/>
    <x v="5"/>
    <x v="13"/>
    <x v="2"/>
    <s v="Bengaluru"/>
    <x v="2"/>
    <s v="Emi"/>
    <x v="1"/>
    <s v="Red"/>
    <x v="19"/>
    <n v="2"/>
    <n v="142060"/>
    <n v="3.1E-2"/>
    <n v="3.1E-2"/>
    <n v="284120"/>
    <n v="8807.7199999999993"/>
    <n v="275312.28000000003"/>
    <n v="2"/>
    <n v="116"/>
    <x v="9"/>
    <n v="5"/>
    <n v="5"/>
    <n v="5"/>
    <n v="137656.14000000001"/>
    <x v="4"/>
    <x v="4"/>
    <x v="2"/>
  </r>
  <r>
    <x v="136"/>
    <d v="2025-09-18T00:00:00"/>
    <x v="2"/>
    <x v="17"/>
    <x v="1"/>
    <s v="Jaipur"/>
    <x v="0"/>
    <s v="Emi"/>
    <x v="1"/>
    <s v="White"/>
    <x v="7"/>
    <n v="2"/>
    <n v="190129"/>
    <n v="2.7E-2"/>
    <n v="2.7E-2"/>
    <n v="380258"/>
    <n v="10266.969999999999"/>
    <n v="369991.03"/>
    <n v="3"/>
    <n v="164"/>
    <x v="0"/>
    <n v="2"/>
    <n v="2"/>
    <n v="5"/>
    <n v="184995.51500000001"/>
    <x v="3"/>
    <x v="3"/>
    <x v="1"/>
  </r>
  <r>
    <x v="137"/>
    <d v="2025-11-20T00:00:00"/>
    <x v="5"/>
    <x v="12"/>
    <x v="2"/>
    <s v="Kochi"/>
    <x v="2"/>
    <s v="Cash"/>
    <x v="2"/>
    <s v="White"/>
    <x v="8"/>
    <n v="3"/>
    <n v="133919"/>
    <n v="7.2999999999999995E-2"/>
    <n v="7.2999999999999995E-2"/>
    <n v="401757"/>
    <n v="29328.26"/>
    <n v="372428.74"/>
    <n v="2"/>
    <n v="163"/>
    <x v="11"/>
    <n v="13"/>
    <n v="13"/>
    <n v="3"/>
    <n v="124142.91333333333"/>
    <x v="2"/>
    <x v="2"/>
    <x v="0"/>
  </r>
  <r>
    <x v="138"/>
    <d v="2025-11-11T00:00:00"/>
    <x v="5"/>
    <x v="7"/>
    <x v="1"/>
    <s v="Ahmedabad"/>
    <x v="3"/>
    <s v="Emi"/>
    <x v="1"/>
    <s v="White"/>
    <x v="3"/>
    <n v="2"/>
    <n v="144189"/>
    <n v="3.5999999999999997E-2"/>
    <n v="3.5999999999999997E-2"/>
    <n v="288378"/>
    <n v="10381.61"/>
    <n v="277996.39"/>
    <n v="3"/>
    <n v="166"/>
    <x v="15"/>
    <n v="4"/>
    <n v="4"/>
    <n v="3"/>
    <n v="138998.19500000001"/>
    <x v="2"/>
    <x v="2"/>
    <x v="0"/>
  </r>
  <r>
    <x v="139"/>
    <d v="2025-09-25T00:00:00"/>
    <x v="0"/>
    <x v="11"/>
    <x v="2"/>
    <s v="Pune"/>
    <x v="0"/>
    <s v="Emi"/>
    <x v="1"/>
    <s v="Black"/>
    <x v="17"/>
    <n v="4"/>
    <n v="136543"/>
    <n v="9.6000000000000002E-2"/>
    <n v="9.6000000000000002E-2"/>
    <n v="546172"/>
    <n v="52432.51"/>
    <n v="493739.49"/>
    <n v="3"/>
    <n v="169"/>
    <x v="1"/>
    <n v="8"/>
    <n v="8"/>
    <n v="5"/>
    <n v="123434.8725"/>
    <x v="3"/>
    <x v="3"/>
    <x v="1"/>
  </r>
  <r>
    <x v="140"/>
    <d v="2025-09-26T00:00:00"/>
    <x v="3"/>
    <x v="3"/>
    <x v="0"/>
    <s v="Chennai"/>
    <x v="3"/>
    <s v="Cash"/>
    <x v="2"/>
    <s v="Blue"/>
    <x v="17"/>
    <n v="1"/>
    <n v="143766"/>
    <n v="9.2999999999999999E-2"/>
    <n v="9.2999999999999999E-2"/>
    <n v="143766"/>
    <n v="13370.24"/>
    <n v="130395.76"/>
    <n v="4"/>
    <n v="182"/>
    <x v="4"/>
    <n v="9"/>
    <n v="9"/>
    <n v="2"/>
    <n v="130395.76"/>
    <x v="3"/>
    <x v="3"/>
    <x v="1"/>
  </r>
  <r>
    <x v="141"/>
    <d v="2025-01-30T00:00:00"/>
    <x v="2"/>
    <x v="2"/>
    <x v="2"/>
    <s v="Delhi"/>
    <x v="1"/>
    <s v="Emi"/>
    <x v="1"/>
    <s v="White"/>
    <x v="0"/>
    <n v="4"/>
    <n v="128635"/>
    <n v="9.6000000000000002E-2"/>
    <n v="9.6000000000000002E-2"/>
    <n v="514540"/>
    <n v="49395.839999999997"/>
    <n v="465144.16"/>
    <n v="3"/>
    <n v="160"/>
    <x v="16"/>
    <n v="2"/>
    <n v="2"/>
    <n v="2"/>
    <n v="116286.04"/>
    <x v="11"/>
    <x v="11"/>
    <x v="2"/>
  </r>
  <r>
    <x v="142"/>
    <d v="2025-01-10T00:00:00"/>
    <x v="2"/>
    <x v="2"/>
    <x v="0"/>
    <s v="Kochi"/>
    <x v="0"/>
    <s v="Finance"/>
    <x v="0"/>
    <s v="Red"/>
    <x v="13"/>
    <n v="2"/>
    <n v="131764"/>
    <n v="8.1000000000000003E-2"/>
    <n v="8.1000000000000003E-2"/>
    <n v="263528"/>
    <n v="21345.77"/>
    <n v="242182.23"/>
    <n v="4"/>
    <n v="190"/>
    <x v="20"/>
    <n v="5"/>
    <n v="5"/>
    <n v="3"/>
    <n v="121091.11500000001"/>
    <x v="11"/>
    <x v="11"/>
    <x v="2"/>
  </r>
  <r>
    <x v="143"/>
    <d v="2025-05-01T00:00:00"/>
    <x v="6"/>
    <x v="8"/>
    <x v="2"/>
    <s v="Hyderabad"/>
    <x v="1"/>
    <s v="Finance"/>
    <x v="0"/>
    <s v="Green"/>
    <x v="7"/>
    <n v="5"/>
    <n v="148726"/>
    <n v="5.2999999999999999E-2"/>
    <n v="5.2999999999999999E-2"/>
    <n v="743630"/>
    <n v="39412.39"/>
    <n v="704217.61"/>
    <n v="3"/>
    <n v="172"/>
    <x v="7"/>
    <n v="6"/>
    <n v="6"/>
    <n v="3"/>
    <n v="140843.522"/>
    <x v="6"/>
    <x v="6"/>
    <x v="3"/>
  </r>
  <r>
    <x v="144"/>
    <d v="2025-08-18T00:00:00"/>
    <x v="7"/>
    <x v="16"/>
    <x v="2"/>
    <s v="Kolkata"/>
    <x v="1"/>
    <s v="Cash"/>
    <x v="2"/>
    <s v="Green"/>
    <x v="7"/>
    <n v="1"/>
    <n v="145234"/>
    <n v="0.02"/>
    <n v="0.02"/>
    <n v="145234"/>
    <n v="2904.68"/>
    <n v="142329.32"/>
    <n v="4"/>
    <n v="195"/>
    <x v="5"/>
    <n v="5"/>
    <n v="5"/>
    <n v="2"/>
    <n v="142329.32"/>
    <x v="5"/>
    <x v="5"/>
    <x v="1"/>
  </r>
  <r>
    <x v="145"/>
    <d v="2025-12-02T00:00:00"/>
    <x v="1"/>
    <x v="9"/>
    <x v="1"/>
    <s v="Bengaluru"/>
    <x v="0"/>
    <s v="Cash"/>
    <x v="2"/>
    <s v="Red"/>
    <x v="3"/>
    <n v="1"/>
    <n v="134993"/>
    <n v="2.5000000000000001E-2"/>
    <n v="2.5000000000000001E-2"/>
    <n v="134993"/>
    <n v="3374.83"/>
    <n v="131618.17000000001"/>
    <n v="3"/>
    <n v="183"/>
    <x v="10"/>
    <n v="13"/>
    <n v="13"/>
    <n v="5"/>
    <n v="131618.17000000001"/>
    <x v="0"/>
    <x v="0"/>
    <x v="0"/>
  </r>
  <r>
    <x v="146"/>
    <d v="2025-04-27T00:00:00"/>
    <x v="7"/>
    <x v="10"/>
    <x v="1"/>
    <s v="Jaipur"/>
    <x v="1"/>
    <s v="Finance"/>
    <x v="0"/>
    <s v="Grey"/>
    <x v="6"/>
    <n v="3"/>
    <n v="116428"/>
    <n v="6.4000000000000001E-2"/>
    <n v="6.4000000000000001E-2"/>
    <n v="349284"/>
    <n v="22354.18"/>
    <n v="326929.82"/>
    <n v="3"/>
    <n v="155"/>
    <x v="12"/>
    <n v="3"/>
    <n v="3"/>
    <n v="5"/>
    <n v="108976.60666666667"/>
    <x v="7"/>
    <x v="7"/>
    <x v="3"/>
  </r>
  <r>
    <x v="147"/>
    <d v="2025-09-17T00:00:00"/>
    <x v="5"/>
    <x v="12"/>
    <x v="1"/>
    <s v="Hyderabad"/>
    <x v="3"/>
    <s v="Finance"/>
    <x v="0"/>
    <s v="White"/>
    <x v="7"/>
    <n v="1"/>
    <n v="125444"/>
    <n v="8.8999999999999996E-2"/>
    <n v="8.8999999999999996E-2"/>
    <n v="125444"/>
    <n v="11164.52"/>
    <n v="114279.48"/>
    <n v="5"/>
    <n v="210"/>
    <x v="6"/>
    <n v="11"/>
    <n v="11"/>
    <n v="2"/>
    <n v="114279.48"/>
    <x v="3"/>
    <x v="3"/>
    <x v="1"/>
  </r>
  <r>
    <x v="148"/>
    <d v="2025-04-23T00:00:00"/>
    <x v="4"/>
    <x v="6"/>
    <x v="1"/>
    <s v="Hyderabad"/>
    <x v="3"/>
    <s v="Cash"/>
    <x v="2"/>
    <s v="White"/>
    <x v="20"/>
    <n v="2"/>
    <n v="107321"/>
    <n v="0.09"/>
    <n v="0.09"/>
    <n v="214642"/>
    <n v="19317.78"/>
    <n v="195324.22"/>
    <n v="5"/>
    <n v="195"/>
    <x v="15"/>
    <n v="6"/>
    <n v="6"/>
    <n v="2"/>
    <n v="97662.11"/>
    <x v="7"/>
    <x v="7"/>
    <x v="3"/>
  </r>
  <r>
    <x v="149"/>
    <d v="2025-03-31T00:00:00"/>
    <x v="3"/>
    <x v="4"/>
    <x v="1"/>
    <s v="Hyderabad"/>
    <x v="1"/>
    <s v="Cash"/>
    <x v="2"/>
    <s v="Red"/>
    <x v="14"/>
    <n v="1"/>
    <n v="125029"/>
    <n v="7.0000000000000007E-2"/>
    <n v="7.0000000000000007E-2"/>
    <n v="125029"/>
    <n v="8752.0300000000007"/>
    <n v="116276.97"/>
    <n v="3"/>
    <n v="174"/>
    <x v="6"/>
    <n v="7"/>
    <n v="7"/>
    <n v="3"/>
    <n v="116276.97"/>
    <x v="10"/>
    <x v="10"/>
    <x v="2"/>
  </r>
  <r>
    <x v="150"/>
    <d v="2025-12-30T00:00:00"/>
    <x v="6"/>
    <x v="8"/>
    <x v="0"/>
    <s v="Jaipur"/>
    <x v="3"/>
    <s v="Emi"/>
    <x v="1"/>
    <s v="Red"/>
    <x v="28"/>
    <n v="1"/>
    <n v="141762"/>
    <n v="4.8000000000000001E-2"/>
    <n v="4.8000000000000001E-2"/>
    <n v="141762"/>
    <n v="6804.58"/>
    <n v="134957.42000000001"/>
    <n v="3"/>
    <n v="151"/>
    <x v="3"/>
    <n v="10"/>
    <n v="10"/>
    <n v="2"/>
    <n v="134957.42000000001"/>
    <x v="0"/>
    <x v="0"/>
    <x v="0"/>
  </r>
  <r>
    <x v="151"/>
    <d v="2025-01-21T00:00:00"/>
    <x v="7"/>
    <x v="14"/>
    <x v="0"/>
    <s v="Kochi"/>
    <x v="1"/>
    <s v="Finance"/>
    <x v="0"/>
    <s v="Black"/>
    <x v="20"/>
    <n v="2"/>
    <n v="104743"/>
    <n v="5.5E-2"/>
    <n v="5.5E-2"/>
    <n v="209486"/>
    <n v="11521.73"/>
    <n v="197964.27"/>
    <n v="5"/>
    <n v="200"/>
    <x v="15"/>
    <n v="8"/>
    <n v="8"/>
    <n v="2"/>
    <n v="98982.134999999995"/>
    <x v="11"/>
    <x v="11"/>
    <x v="2"/>
  </r>
  <r>
    <x v="152"/>
    <d v="2025-03-23T00:00:00"/>
    <x v="7"/>
    <x v="16"/>
    <x v="1"/>
    <s v="Jaipur"/>
    <x v="3"/>
    <s v="Finance"/>
    <x v="0"/>
    <s v="Grey"/>
    <x v="27"/>
    <n v="1"/>
    <n v="145813"/>
    <n v="3.9E-2"/>
    <n v="3.9E-2"/>
    <n v="145813"/>
    <n v="5686.71"/>
    <n v="140126.29"/>
    <n v="3"/>
    <n v="167"/>
    <x v="8"/>
    <n v="13"/>
    <n v="13"/>
    <n v="2"/>
    <n v="140126.29"/>
    <x v="10"/>
    <x v="10"/>
    <x v="2"/>
  </r>
  <r>
    <x v="153"/>
    <d v="2025-11-23T00:00:00"/>
    <x v="0"/>
    <x v="0"/>
    <x v="1"/>
    <s v="Delhi"/>
    <x v="0"/>
    <s v="Finance"/>
    <x v="0"/>
    <s v="Green"/>
    <x v="29"/>
    <n v="2"/>
    <n v="121957"/>
    <n v="0.11799999999999999"/>
    <n v="0.11799999999999999"/>
    <n v="243914"/>
    <n v="28781.85"/>
    <n v="215132.15"/>
    <n v="3"/>
    <n v="176"/>
    <x v="20"/>
    <n v="8"/>
    <n v="8"/>
    <n v="3"/>
    <n v="107566.075"/>
    <x v="2"/>
    <x v="2"/>
    <x v="0"/>
  </r>
  <r>
    <x v="154"/>
    <d v="2025-11-26T00:00:00"/>
    <x v="7"/>
    <x v="16"/>
    <x v="0"/>
    <s v="Ahmedabad"/>
    <x v="2"/>
    <s v="Finance"/>
    <x v="0"/>
    <s v="Red"/>
    <x v="5"/>
    <n v="1"/>
    <n v="150135"/>
    <n v="0.105"/>
    <n v="0.105"/>
    <n v="150135"/>
    <n v="15764.17"/>
    <n v="134370.82999999999"/>
    <n v="4"/>
    <n v="153"/>
    <x v="17"/>
    <n v="14"/>
    <n v="14"/>
    <n v="5"/>
    <n v="134370.82999999999"/>
    <x v="2"/>
    <x v="2"/>
    <x v="0"/>
  </r>
  <r>
    <x v="155"/>
    <d v="2025-07-11T00:00:00"/>
    <x v="7"/>
    <x v="14"/>
    <x v="2"/>
    <s v="Ahmedabad"/>
    <x v="1"/>
    <s v="Cash"/>
    <x v="2"/>
    <s v="Green"/>
    <x v="9"/>
    <n v="3"/>
    <n v="106009"/>
    <n v="5.3999999999999999E-2"/>
    <n v="5.3999999999999999E-2"/>
    <n v="318027"/>
    <n v="17173.46"/>
    <n v="300853.53999999998"/>
    <n v="5"/>
    <n v="218"/>
    <x v="9"/>
    <n v="5"/>
    <n v="5"/>
    <n v="3"/>
    <n v="100284.51333333332"/>
    <x v="8"/>
    <x v="8"/>
    <x v="1"/>
  </r>
  <r>
    <x v="156"/>
    <d v="2025-06-17T00:00:00"/>
    <x v="3"/>
    <x v="4"/>
    <x v="2"/>
    <s v="Pune"/>
    <x v="2"/>
    <s v="Emi"/>
    <x v="1"/>
    <s v="Black"/>
    <x v="5"/>
    <n v="5"/>
    <n v="125769"/>
    <n v="2.3E-2"/>
    <n v="2.3E-2"/>
    <n v="628845"/>
    <n v="14463.43"/>
    <n v="614381.56999999995"/>
    <n v="2"/>
    <n v="156"/>
    <x v="16"/>
    <n v="2"/>
    <n v="2"/>
    <n v="3"/>
    <n v="122876.31399999998"/>
    <x v="9"/>
    <x v="9"/>
    <x v="3"/>
  </r>
  <r>
    <x v="157"/>
    <d v="2025-07-16T00:00:00"/>
    <x v="7"/>
    <x v="14"/>
    <x v="1"/>
    <s v="Ahmedabad"/>
    <x v="0"/>
    <s v="Finance"/>
    <x v="0"/>
    <s v="Red"/>
    <x v="9"/>
    <n v="5"/>
    <n v="101695"/>
    <n v="7.1999999999999995E-2"/>
    <n v="7.1999999999999995E-2"/>
    <n v="508475"/>
    <n v="36610.199999999997"/>
    <n v="471864.8"/>
    <n v="3"/>
    <n v="168"/>
    <x v="14"/>
    <n v="6"/>
    <n v="6"/>
    <n v="5"/>
    <n v="94372.959999999992"/>
    <x v="8"/>
    <x v="8"/>
    <x v="1"/>
  </r>
  <r>
    <x v="158"/>
    <d v="2025-09-20T00:00:00"/>
    <x v="6"/>
    <x v="8"/>
    <x v="2"/>
    <s v="Chennai"/>
    <x v="1"/>
    <s v="Finance"/>
    <x v="0"/>
    <s v="Green"/>
    <x v="18"/>
    <n v="2"/>
    <n v="148625"/>
    <n v="0.11"/>
    <n v="0.11"/>
    <n v="297250"/>
    <n v="32697.5"/>
    <n v="264552.5"/>
    <n v="3"/>
    <n v="194"/>
    <x v="9"/>
    <n v="8"/>
    <n v="8"/>
    <n v="2"/>
    <n v="132276.25"/>
    <x v="3"/>
    <x v="3"/>
    <x v="1"/>
  </r>
  <r>
    <x v="159"/>
    <d v="2025-02-01T00:00:00"/>
    <x v="6"/>
    <x v="15"/>
    <x v="0"/>
    <s v="Kochi"/>
    <x v="2"/>
    <s v="Emi"/>
    <x v="1"/>
    <s v="Blue"/>
    <x v="20"/>
    <n v="1"/>
    <n v="114791"/>
    <n v="5.1999999999999998E-2"/>
    <n v="5.1999999999999998E-2"/>
    <n v="114791"/>
    <n v="5969.13"/>
    <n v="108821.87"/>
    <n v="5"/>
    <n v="187"/>
    <x v="16"/>
    <n v="14"/>
    <n v="14"/>
    <n v="3"/>
    <n v="108821.87"/>
    <x v="4"/>
    <x v="4"/>
    <x v="2"/>
  </r>
  <r>
    <x v="160"/>
    <d v="2025-12-19T00:00:00"/>
    <x v="5"/>
    <x v="13"/>
    <x v="1"/>
    <s v="Mumbai"/>
    <x v="2"/>
    <s v="Cash"/>
    <x v="2"/>
    <s v="Grey"/>
    <x v="11"/>
    <n v="1"/>
    <n v="142453"/>
    <n v="4.1000000000000002E-2"/>
    <n v="4.1000000000000002E-2"/>
    <n v="142453"/>
    <n v="5840.57"/>
    <n v="136612.43"/>
    <n v="3"/>
    <n v="169"/>
    <x v="8"/>
    <n v="7"/>
    <n v="7"/>
    <n v="5"/>
    <n v="136612.43"/>
    <x v="0"/>
    <x v="0"/>
    <x v="0"/>
  </r>
  <r>
    <x v="161"/>
    <d v="2025-05-11T00:00:00"/>
    <x v="7"/>
    <x v="10"/>
    <x v="1"/>
    <s v="Bengaluru"/>
    <x v="2"/>
    <s v="Finance"/>
    <x v="0"/>
    <s v="White"/>
    <x v="21"/>
    <n v="4"/>
    <n v="116559"/>
    <m/>
    <s v="missing"/>
    <n v="466236"/>
    <n v="20514.38"/>
    <n v="445721.62"/>
    <n v="2"/>
    <n v="148"/>
    <x v="7"/>
    <n v="4"/>
    <n v="4"/>
    <n v="3"/>
    <n v="111430.405"/>
    <x v="6"/>
    <x v="6"/>
    <x v="3"/>
  </r>
  <r>
    <x v="162"/>
    <d v="2025-06-25T00:00:00"/>
    <x v="5"/>
    <x v="13"/>
    <x v="2"/>
    <s v="Pune"/>
    <x v="3"/>
    <s v="Cash"/>
    <x v="2"/>
    <s v="Blue"/>
    <x v="27"/>
    <n v="2"/>
    <n v="140849"/>
    <n v="0.10100000000000001"/>
    <n v="0.10100000000000001"/>
    <n v="281698"/>
    <n v="28451.5"/>
    <n v="253246.5"/>
    <n v="5"/>
    <n v="194"/>
    <x v="9"/>
    <n v="4"/>
    <n v="4"/>
    <n v="5"/>
    <n v="126623.25"/>
    <x v="9"/>
    <x v="9"/>
    <x v="3"/>
  </r>
  <r>
    <x v="163"/>
    <d v="2025-10-30T00:00:00"/>
    <x v="7"/>
    <x v="16"/>
    <x v="2"/>
    <s v="Jaipur"/>
    <x v="2"/>
    <s v="Cash"/>
    <x v="2"/>
    <s v="White"/>
    <x v="19"/>
    <n v="1"/>
    <n v="135767"/>
    <n v="2.3E-2"/>
    <n v="2.3E-2"/>
    <n v="135767"/>
    <n v="3122.64"/>
    <n v="132644.35999999999"/>
    <n v="3"/>
    <n v="170"/>
    <x v="9"/>
    <n v="13"/>
    <n v="13"/>
    <n v="2"/>
    <n v="132644.35999999999"/>
    <x v="1"/>
    <x v="1"/>
    <x v="0"/>
  </r>
  <r>
    <x v="164"/>
    <d v="2025-09-08T00:00:00"/>
    <x v="5"/>
    <x v="12"/>
    <x v="0"/>
    <s v="Hyderabad"/>
    <x v="3"/>
    <s v="Cash"/>
    <x v="2"/>
    <s v="Green"/>
    <x v="24"/>
    <n v="1"/>
    <n v="125277"/>
    <n v="5.8999999999999997E-2"/>
    <n v="5.8999999999999997E-2"/>
    <n v="125277"/>
    <n v="7391.34"/>
    <n v="117885.66"/>
    <n v="3"/>
    <n v="157"/>
    <x v="19"/>
    <n v="4"/>
    <n v="4"/>
    <n v="5"/>
    <n v="117885.66"/>
    <x v="3"/>
    <x v="3"/>
    <x v="1"/>
  </r>
  <r>
    <x v="165"/>
    <d v="2025-05-30T00:00:00"/>
    <x v="6"/>
    <x v="15"/>
    <x v="2"/>
    <s v="Hyderabad"/>
    <x v="0"/>
    <s v="Finance"/>
    <x v="0"/>
    <s v="Grey"/>
    <x v="16"/>
    <n v="4"/>
    <n v="107900"/>
    <n v="0.111"/>
    <n v="0.111"/>
    <n v="431600"/>
    <n v="47907.6"/>
    <n v="383692.4"/>
    <n v="4"/>
    <n v="192"/>
    <x v="7"/>
    <n v="13"/>
    <n v="13"/>
    <n v="5"/>
    <n v="95923.1"/>
    <x v="6"/>
    <x v="6"/>
    <x v="3"/>
  </r>
  <r>
    <x v="166"/>
    <d v="2025-10-13T00:00:00"/>
    <x v="3"/>
    <x v="4"/>
    <x v="1"/>
    <s v="Pune"/>
    <x v="3"/>
    <s v="Emi"/>
    <x v="1"/>
    <s v="Grey"/>
    <x v="3"/>
    <n v="1"/>
    <n v="122328"/>
    <n v="4.8000000000000001E-2"/>
    <n v="4.8000000000000001E-2"/>
    <n v="122328"/>
    <n v="5871.74"/>
    <n v="116456.26"/>
    <n v="4"/>
    <n v="189"/>
    <x v="10"/>
    <n v="12"/>
    <n v="12"/>
    <n v="3"/>
    <n v="116456.26"/>
    <x v="1"/>
    <x v="1"/>
    <x v="0"/>
  </r>
  <r>
    <x v="167"/>
    <d v="2025-09-25T00:00:00"/>
    <x v="5"/>
    <x v="12"/>
    <x v="1"/>
    <s v="Jaipur"/>
    <x v="1"/>
    <s v="Emi"/>
    <x v="1"/>
    <s v="Black"/>
    <x v="0"/>
    <n v="2"/>
    <n v="140316"/>
    <n v="0.106"/>
    <n v="0.106"/>
    <n v="280632"/>
    <n v="29746.99"/>
    <n v="250885.01"/>
    <n v="4"/>
    <n v="170"/>
    <x v="9"/>
    <n v="14"/>
    <n v="14"/>
    <n v="2"/>
    <n v="125442.505"/>
    <x v="3"/>
    <x v="3"/>
    <x v="1"/>
  </r>
  <r>
    <x v="168"/>
    <d v="2025-03-06T00:00:00"/>
    <x v="1"/>
    <x v="1"/>
    <x v="1"/>
    <s v="Pune"/>
    <x v="1"/>
    <s v="Cash"/>
    <x v="2"/>
    <s v="Blue"/>
    <x v="29"/>
    <n v="1"/>
    <n v="114094"/>
    <n v="2.8000000000000001E-2"/>
    <n v="2.8000000000000001E-2"/>
    <n v="114094"/>
    <n v="3194.63"/>
    <n v="110899.37"/>
    <n v="5"/>
    <n v="186"/>
    <x v="13"/>
    <n v="4"/>
    <n v="4"/>
    <n v="3"/>
    <n v="110899.37"/>
    <x v="10"/>
    <x v="10"/>
    <x v="2"/>
  </r>
  <r>
    <x v="169"/>
    <d v="2025-06-06T00:00:00"/>
    <x v="3"/>
    <x v="3"/>
    <x v="1"/>
    <s v="Delhi"/>
    <x v="1"/>
    <s v="Emi"/>
    <x v="1"/>
    <s v="Green"/>
    <x v="29"/>
    <n v="2"/>
    <n v="155204"/>
    <n v="3.3000000000000002E-2"/>
    <n v="3.3000000000000002E-2"/>
    <n v="310408"/>
    <n v="10243.459999999999"/>
    <n v="300164.53999999998"/>
    <n v="3"/>
    <n v="153"/>
    <x v="0"/>
    <n v="12"/>
    <n v="12"/>
    <n v="5"/>
    <n v="150082.26999999999"/>
    <x v="9"/>
    <x v="9"/>
    <x v="3"/>
  </r>
  <r>
    <x v="170"/>
    <d v="2025-07-29T00:00:00"/>
    <x v="6"/>
    <x v="15"/>
    <x v="2"/>
    <s v="Hyderabad"/>
    <x v="1"/>
    <s v="Cash"/>
    <x v="2"/>
    <s v="Grey"/>
    <x v="16"/>
    <n v="1"/>
    <n v="110676"/>
    <n v="2.5000000000000001E-2"/>
    <n v="2.5000000000000001E-2"/>
    <n v="110676"/>
    <n v="2766.9"/>
    <n v="107909.1"/>
    <n v="3"/>
    <n v="161"/>
    <x v="3"/>
    <n v="9"/>
    <n v="9"/>
    <n v="3"/>
    <n v="107909.1"/>
    <x v="8"/>
    <x v="8"/>
    <x v="1"/>
  </r>
  <r>
    <x v="171"/>
    <d v="2025-10-29T00:00:00"/>
    <x v="6"/>
    <x v="15"/>
    <x v="0"/>
    <s v="Jaipur"/>
    <x v="3"/>
    <s v="Cash"/>
    <x v="2"/>
    <s v="Black"/>
    <x v="23"/>
    <n v="1"/>
    <n v="116233"/>
    <n v="0.104"/>
    <n v="0.104"/>
    <n v="116233"/>
    <n v="12088.23"/>
    <n v="104144.77"/>
    <n v="3"/>
    <n v="135"/>
    <x v="19"/>
    <n v="11"/>
    <n v="11"/>
    <n v="5"/>
    <n v="104144.77"/>
    <x v="1"/>
    <x v="1"/>
    <x v="0"/>
  </r>
  <r>
    <x v="172"/>
    <d v="2025-11-03T00:00:00"/>
    <x v="5"/>
    <x v="7"/>
    <x v="2"/>
    <s v="Ahmedabad"/>
    <x v="1"/>
    <s v="Cash"/>
    <x v="2"/>
    <s v="Grey"/>
    <x v="15"/>
    <n v="4"/>
    <n v="147968"/>
    <n v="2.3E-2"/>
    <n v="2.3E-2"/>
    <n v="591872"/>
    <n v="13613.06"/>
    <n v="578258.93999999994"/>
    <n v="4"/>
    <n v="181"/>
    <x v="5"/>
    <n v="14"/>
    <n v="14"/>
    <n v="2"/>
    <n v="144564.73499999999"/>
    <x v="2"/>
    <x v="2"/>
    <x v="0"/>
  </r>
  <r>
    <x v="173"/>
    <d v="2025-08-28T00:00:00"/>
    <x v="3"/>
    <x v="3"/>
    <x v="0"/>
    <s v="Mumbai"/>
    <x v="0"/>
    <s v="Finance"/>
    <x v="0"/>
    <s v="Black"/>
    <x v="27"/>
    <n v="1"/>
    <n v="156087"/>
    <n v="0.115"/>
    <n v="0.115"/>
    <n v="156087"/>
    <n v="17950.009999999998"/>
    <n v="138136.99"/>
    <n v="4"/>
    <n v="191"/>
    <x v="15"/>
    <n v="2"/>
    <n v="2"/>
    <n v="5"/>
    <n v="138136.99"/>
    <x v="5"/>
    <x v="5"/>
    <x v="1"/>
  </r>
  <r>
    <x v="174"/>
    <d v="2025-05-27T00:00:00"/>
    <x v="7"/>
    <x v="16"/>
    <x v="1"/>
    <s v="Jaipur"/>
    <x v="0"/>
    <s v="Finance"/>
    <x v="0"/>
    <s v="Blue"/>
    <x v="21"/>
    <n v="2"/>
    <n v="142371"/>
    <n v="0.11"/>
    <n v="0.11"/>
    <n v="284742"/>
    <n v="31321.62"/>
    <n v="253420.38"/>
    <n v="3"/>
    <n v="177"/>
    <x v="0"/>
    <n v="3"/>
    <n v="3"/>
    <n v="5"/>
    <n v="126710.19"/>
    <x v="6"/>
    <x v="6"/>
    <x v="3"/>
  </r>
  <r>
    <x v="175"/>
    <d v="2025-07-29T00:00:00"/>
    <x v="4"/>
    <x v="5"/>
    <x v="2"/>
    <s v="Ahmedabad"/>
    <x v="0"/>
    <s v="Cash"/>
    <x v="2"/>
    <s v="Black"/>
    <x v="3"/>
    <n v="1"/>
    <n v="109963"/>
    <n v="3.5000000000000003E-2"/>
    <n v="3.5000000000000003E-2"/>
    <n v="109963"/>
    <n v="3848.71"/>
    <n v="106114.29"/>
    <n v="3"/>
    <n v="179"/>
    <x v="1"/>
    <n v="14"/>
    <n v="14"/>
    <n v="3"/>
    <n v="106114.29"/>
    <x v="8"/>
    <x v="8"/>
    <x v="1"/>
  </r>
  <r>
    <x v="176"/>
    <d v="2025-08-23T00:00:00"/>
    <x v="3"/>
    <x v="3"/>
    <x v="0"/>
    <s v="Chennai"/>
    <x v="0"/>
    <s v="Emi"/>
    <x v="1"/>
    <s v="White"/>
    <x v="27"/>
    <n v="1"/>
    <n v="153121"/>
    <n v="2.4E-2"/>
    <n v="2.4E-2"/>
    <n v="153121"/>
    <n v="3674.9"/>
    <n v="149446.1"/>
    <n v="3"/>
    <n v="140"/>
    <x v="1"/>
    <n v="8"/>
    <n v="8"/>
    <n v="2"/>
    <n v="149446.1"/>
    <x v="5"/>
    <x v="5"/>
    <x v="1"/>
  </r>
  <r>
    <x v="177"/>
    <d v="2025-03-14T00:00:00"/>
    <x v="2"/>
    <x v="2"/>
    <x v="2"/>
    <s v="Ahmedabad"/>
    <x v="2"/>
    <s v="Finance"/>
    <x v="0"/>
    <s v="Blue"/>
    <x v="1"/>
    <n v="1"/>
    <n v="131307"/>
    <n v="6.5000000000000002E-2"/>
    <n v="6.5000000000000002E-2"/>
    <n v="131307"/>
    <n v="8534.9500000000007"/>
    <n v="122772.05"/>
    <n v="4"/>
    <n v="185"/>
    <x v="9"/>
    <n v="10"/>
    <n v="10"/>
    <n v="5"/>
    <n v="122772.05"/>
    <x v="10"/>
    <x v="10"/>
    <x v="2"/>
  </r>
  <r>
    <x v="178"/>
    <d v="2025-06-16T00:00:00"/>
    <x v="6"/>
    <x v="8"/>
    <x v="2"/>
    <s v="Delhi"/>
    <x v="3"/>
    <s v="Finance"/>
    <x v="0"/>
    <s v="Grey"/>
    <x v="26"/>
    <n v="2"/>
    <n v="144478"/>
    <n v="8.5000000000000006E-2"/>
    <n v="8.5000000000000006E-2"/>
    <n v="288956"/>
    <n v="24561.26"/>
    <n v="264394.74"/>
    <n v="2"/>
    <n v="148"/>
    <x v="20"/>
    <n v="3"/>
    <n v="3"/>
    <n v="5"/>
    <n v="132197.37"/>
    <x v="9"/>
    <x v="9"/>
    <x v="3"/>
  </r>
  <r>
    <x v="179"/>
    <d v="2025-11-17T00:00:00"/>
    <x v="7"/>
    <x v="10"/>
    <x v="2"/>
    <s v="Pune"/>
    <x v="2"/>
    <s v="Emi"/>
    <x v="1"/>
    <s v="White"/>
    <x v="19"/>
    <n v="1"/>
    <n v="110794"/>
    <n v="0.11700000000000001"/>
    <n v="0.11700000000000001"/>
    <n v="110794"/>
    <n v="12962.9"/>
    <n v="97831.1"/>
    <n v="3"/>
    <n v="164"/>
    <x v="15"/>
    <n v="14"/>
    <n v="14"/>
    <n v="3"/>
    <n v="97831.1"/>
    <x v="2"/>
    <x v="2"/>
    <x v="0"/>
  </r>
  <r>
    <x v="180"/>
    <d v="2025-11-11T00:00:00"/>
    <x v="7"/>
    <x v="10"/>
    <x v="0"/>
    <s v="Hyderabad"/>
    <x v="0"/>
    <s v="Cash"/>
    <x v="2"/>
    <s v="Black"/>
    <x v="16"/>
    <n v="1"/>
    <n v="115954"/>
    <n v="3.3000000000000002E-2"/>
    <n v="3.3000000000000002E-2"/>
    <n v="115954"/>
    <n v="3826.48"/>
    <n v="112127.52"/>
    <n v="5"/>
    <n v="183"/>
    <x v="4"/>
    <n v="4"/>
    <n v="4"/>
    <n v="5"/>
    <n v="112127.52"/>
    <x v="2"/>
    <x v="2"/>
    <x v="0"/>
  </r>
  <r>
    <x v="181"/>
    <d v="2025-05-06T00:00:00"/>
    <x v="4"/>
    <x v="6"/>
    <x v="0"/>
    <s v="Chennai"/>
    <x v="2"/>
    <s v="Emi"/>
    <x v="1"/>
    <s v="Blue"/>
    <x v="7"/>
    <n v="1"/>
    <n v="104367"/>
    <n v="5.3999999999999999E-2"/>
    <n v="5.3999999999999999E-2"/>
    <n v="104367"/>
    <n v="5635.82"/>
    <n v="98731.18"/>
    <n v="4"/>
    <n v="184"/>
    <x v="17"/>
    <n v="3"/>
    <n v="3"/>
    <n v="2"/>
    <n v="98731.18"/>
    <x v="6"/>
    <x v="6"/>
    <x v="3"/>
  </r>
  <r>
    <x v="182"/>
    <d v="2025-04-19T00:00:00"/>
    <x v="7"/>
    <x v="10"/>
    <x v="2"/>
    <s v="Ahmedabad"/>
    <x v="3"/>
    <s v="Emi"/>
    <x v="1"/>
    <s v="Grey"/>
    <x v="22"/>
    <n v="1"/>
    <n v="109028"/>
    <n v="5.3999999999999999E-2"/>
    <n v="5.3999999999999999E-2"/>
    <n v="109028"/>
    <n v="5887.51"/>
    <n v="103140.49"/>
    <n v="3"/>
    <n v="164"/>
    <x v="15"/>
    <n v="4"/>
    <n v="4"/>
    <n v="2"/>
    <n v="103140.49"/>
    <x v="7"/>
    <x v="7"/>
    <x v="3"/>
  </r>
  <r>
    <x v="183"/>
    <d v="2025-09-30T00:00:00"/>
    <x v="7"/>
    <x v="14"/>
    <x v="1"/>
    <s v="Chennai"/>
    <x v="1"/>
    <s v="Finance"/>
    <x v="0"/>
    <s v="Blue"/>
    <x v="5"/>
    <n v="2"/>
    <n v="103117"/>
    <n v="5.2999999999999999E-2"/>
    <n v="5.2999999999999999E-2"/>
    <n v="206234"/>
    <n v="10930.4"/>
    <n v="195303.6"/>
    <n v="4"/>
    <n v="202"/>
    <x v="8"/>
    <n v="9"/>
    <n v="9"/>
    <n v="2"/>
    <n v="97651.8"/>
    <x v="3"/>
    <x v="3"/>
    <x v="1"/>
  </r>
  <r>
    <x v="184"/>
    <d v="2025-09-24T00:00:00"/>
    <x v="4"/>
    <x v="5"/>
    <x v="0"/>
    <s v="Kochi"/>
    <x v="1"/>
    <s v="Finance"/>
    <x v="0"/>
    <s v="Black"/>
    <x v="19"/>
    <n v="1"/>
    <n v="115481"/>
    <n v="2.4E-2"/>
    <n v="2.4E-2"/>
    <n v="115481"/>
    <n v="2771.54"/>
    <n v="112709.46"/>
    <n v="4"/>
    <n v="173"/>
    <x v="13"/>
    <n v="9"/>
    <n v="9"/>
    <n v="2"/>
    <n v="112709.46"/>
    <x v="3"/>
    <x v="3"/>
    <x v="1"/>
  </r>
  <r>
    <x v="185"/>
    <d v="2025-10-31T00:00:00"/>
    <x v="2"/>
    <x v="17"/>
    <x v="2"/>
    <s v="Jaipur"/>
    <x v="2"/>
    <s v="Finance"/>
    <x v="0"/>
    <s v="Black"/>
    <x v="19"/>
    <n v="1"/>
    <n v="188216"/>
    <n v="6.9000000000000006E-2"/>
    <n v="6.9000000000000006E-2"/>
    <n v="188216"/>
    <n v="12986.9"/>
    <n v="175229.1"/>
    <n v="3"/>
    <n v="203"/>
    <x v="19"/>
    <n v="9"/>
    <n v="9"/>
    <n v="5"/>
    <n v="175229.1"/>
    <x v="1"/>
    <x v="1"/>
    <x v="0"/>
  </r>
  <r>
    <x v="186"/>
    <d v="2025-08-07T00:00:00"/>
    <x v="4"/>
    <x v="5"/>
    <x v="2"/>
    <s v="Pune"/>
    <x v="2"/>
    <s v="Emi"/>
    <x v="1"/>
    <s v="Grey"/>
    <x v="15"/>
    <n v="1"/>
    <n v="121423"/>
    <n v="9.6000000000000002E-2"/>
    <n v="9.6000000000000002E-2"/>
    <n v="121423"/>
    <n v="11656.61"/>
    <n v="109766.39"/>
    <n v="4"/>
    <n v="195"/>
    <x v="8"/>
    <n v="9"/>
    <n v="9"/>
    <n v="5"/>
    <n v="109766.39"/>
    <x v="5"/>
    <x v="5"/>
    <x v="1"/>
  </r>
  <r>
    <x v="187"/>
    <d v="2025-07-08T00:00:00"/>
    <x v="0"/>
    <x v="0"/>
    <x v="1"/>
    <s v="Mumbai"/>
    <x v="3"/>
    <s v="Emi"/>
    <x v="1"/>
    <s v="Green"/>
    <x v="1"/>
    <n v="4"/>
    <n v="113121"/>
    <n v="6.8000000000000005E-2"/>
    <n v="6.8000000000000005E-2"/>
    <n v="452484"/>
    <n v="30768.91"/>
    <n v="421715.09"/>
    <n v="4"/>
    <n v="193"/>
    <x v="2"/>
    <n v="11"/>
    <n v="11"/>
    <n v="3"/>
    <n v="105428.77250000001"/>
    <x v="8"/>
    <x v="8"/>
    <x v="1"/>
  </r>
  <r>
    <x v="188"/>
    <d v="2025-06-12T00:00:00"/>
    <x v="6"/>
    <x v="15"/>
    <x v="1"/>
    <s v="Unknown"/>
    <x v="2"/>
    <s v="Cash"/>
    <x v="2"/>
    <s v="Red"/>
    <x v="7"/>
    <n v="5"/>
    <n v="113823"/>
    <n v="0.10299999999999999"/>
    <n v="0.10299999999999999"/>
    <n v="569115"/>
    <n v="58618.84"/>
    <n v="510496.16"/>
    <n v="3"/>
    <n v="170"/>
    <x v="1"/>
    <n v="6"/>
    <n v="6"/>
    <n v="2"/>
    <n v="102099.23199999999"/>
    <x v="9"/>
    <x v="9"/>
    <x v="3"/>
  </r>
  <r>
    <x v="189"/>
    <d v="2025-04-14T00:00:00"/>
    <x v="7"/>
    <x v="14"/>
    <x v="0"/>
    <s v="Bengaluru"/>
    <x v="2"/>
    <s v="Finance"/>
    <x v="0"/>
    <s v="White"/>
    <x v="26"/>
    <n v="1"/>
    <n v="109330"/>
    <n v="4.8000000000000001E-2"/>
    <n v="4.8000000000000001E-2"/>
    <n v="109330"/>
    <n v="5247.84"/>
    <n v="104082.16"/>
    <n v="4"/>
    <n v="207"/>
    <x v="6"/>
    <n v="14"/>
    <n v="14"/>
    <n v="2"/>
    <n v="104082.16"/>
    <x v="7"/>
    <x v="7"/>
    <x v="3"/>
  </r>
  <r>
    <x v="190"/>
    <d v="2025-06-11T00:00:00"/>
    <x v="5"/>
    <x v="13"/>
    <x v="2"/>
    <s v="Bengaluru"/>
    <x v="1"/>
    <s v="Emi"/>
    <x v="1"/>
    <s v="Green"/>
    <x v="11"/>
    <n v="3"/>
    <n v="140263"/>
    <n v="2.5000000000000001E-2"/>
    <n v="2.5000000000000001E-2"/>
    <n v="420789"/>
    <n v="10519.73"/>
    <n v="410269.27"/>
    <n v="2"/>
    <n v="126"/>
    <x v="5"/>
    <n v="13"/>
    <n v="13"/>
    <n v="3"/>
    <n v="136756.42333333334"/>
    <x v="9"/>
    <x v="9"/>
    <x v="3"/>
  </r>
  <r>
    <x v="191"/>
    <d v="2025-01-27T00:00:00"/>
    <x v="6"/>
    <x v="15"/>
    <x v="2"/>
    <s v="Delhi"/>
    <x v="2"/>
    <s v="Emi"/>
    <x v="1"/>
    <s v="Green"/>
    <x v="10"/>
    <n v="1"/>
    <n v="112382"/>
    <n v="0.104"/>
    <n v="0.104"/>
    <n v="112382"/>
    <n v="11687.73"/>
    <n v="100694.27"/>
    <n v="4"/>
    <n v="177"/>
    <x v="19"/>
    <n v="10"/>
    <n v="10"/>
    <n v="3"/>
    <n v="100694.27"/>
    <x v="11"/>
    <x v="11"/>
    <x v="2"/>
  </r>
  <r>
    <x v="192"/>
    <d v="2025-02-21T00:00:00"/>
    <x v="7"/>
    <x v="10"/>
    <x v="2"/>
    <s v="Kolkata"/>
    <x v="1"/>
    <s v="Finance"/>
    <x v="0"/>
    <s v="Red"/>
    <x v="8"/>
    <n v="2"/>
    <n v="116573"/>
    <n v="6.6000000000000003E-2"/>
    <n v="6.6000000000000003E-2"/>
    <n v="233146"/>
    <n v="15387.64"/>
    <n v="217758.36"/>
    <n v="3"/>
    <n v="150"/>
    <x v="17"/>
    <n v="5"/>
    <n v="5"/>
    <n v="2"/>
    <n v="108879.18"/>
    <x v="4"/>
    <x v="4"/>
    <x v="2"/>
  </r>
  <r>
    <x v="193"/>
    <d v="2025-10-17T00:00:00"/>
    <x v="0"/>
    <x v="0"/>
    <x v="1"/>
    <s v="Kolkata"/>
    <x v="1"/>
    <s v="Finance"/>
    <x v="0"/>
    <s v="Black"/>
    <x v="29"/>
    <n v="1"/>
    <n v="123376"/>
    <n v="2.5000000000000001E-2"/>
    <n v="2.5000000000000001E-2"/>
    <n v="123376"/>
    <n v="3084.4"/>
    <n v="120291.6"/>
    <n v="4"/>
    <n v="174"/>
    <x v="16"/>
    <n v="7"/>
    <n v="7"/>
    <n v="3"/>
    <n v="120291.6"/>
    <x v="1"/>
    <x v="1"/>
    <x v="0"/>
  </r>
  <r>
    <x v="194"/>
    <d v="2025-11-16T00:00:00"/>
    <x v="4"/>
    <x v="5"/>
    <x v="2"/>
    <s v="Bengaluru"/>
    <x v="3"/>
    <s v="Emi"/>
    <x v="1"/>
    <s v="Black"/>
    <x v="29"/>
    <n v="1"/>
    <n v="109740"/>
    <n v="5.6000000000000001E-2"/>
    <n v="5.6000000000000001E-2"/>
    <n v="109740"/>
    <n v="6145.44"/>
    <n v="103594.56"/>
    <n v="3"/>
    <n v="158"/>
    <x v="6"/>
    <n v="5"/>
    <n v="5"/>
    <n v="3"/>
    <n v="103594.56"/>
    <x v="2"/>
    <x v="2"/>
    <x v="0"/>
  </r>
  <r>
    <x v="195"/>
    <d v="2025-06-28T00:00:00"/>
    <x v="1"/>
    <x v="1"/>
    <x v="2"/>
    <s v="Chennai"/>
    <x v="3"/>
    <s v="Emi"/>
    <x v="1"/>
    <s v="Grey"/>
    <x v="20"/>
    <n v="1"/>
    <n v="113980"/>
    <n v="6.9000000000000006E-2"/>
    <n v="6.9000000000000006E-2"/>
    <n v="113980"/>
    <n v="7864.62"/>
    <n v="106115.38"/>
    <n v="3"/>
    <n v="181"/>
    <x v="6"/>
    <n v="11"/>
    <n v="11"/>
    <n v="5"/>
    <n v="106115.38"/>
    <x v="9"/>
    <x v="9"/>
    <x v="3"/>
  </r>
  <r>
    <x v="196"/>
    <d v="2025-09-30T00:00:00"/>
    <x v="5"/>
    <x v="13"/>
    <x v="2"/>
    <s v="Mumbai"/>
    <x v="1"/>
    <s v="Finance"/>
    <x v="0"/>
    <s v="Blue"/>
    <x v="25"/>
    <n v="2"/>
    <n v="144741"/>
    <n v="4.7E-2"/>
    <n v="4.7E-2"/>
    <n v="289482"/>
    <n v="13605.65"/>
    <n v="275876.34999999998"/>
    <n v="3"/>
    <n v="163"/>
    <x v="0"/>
    <n v="8"/>
    <n v="8"/>
    <n v="2"/>
    <n v="137938.17499999999"/>
    <x v="3"/>
    <x v="3"/>
    <x v="1"/>
  </r>
  <r>
    <x v="197"/>
    <d v="2025-01-13T00:00:00"/>
    <x v="5"/>
    <x v="13"/>
    <x v="1"/>
    <s v="Hyderabad"/>
    <x v="3"/>
    <s v="Emi"/>
    <x v="1"/>
    <s v="Grey"/>
    <x v="15"/>
    <n v="1"/>
    <n v="142439"/>
    <n v="0.105"/>
    <n v="0.105"/>
    <n v="142439"/>
    <n v="14956.09"/>
    <n v="127482.91"/>
    <n v="3"/>
    <n v="159"/>
    <x v="18"/>
    <n v="9"/>
    <n v="9"/>
    <n v="3"/>
    <n v="127482.91"/>
    <x v="11"/>
    <x v="11"/>
    <x v="2"/>
  </r>
  <r>
    <x v="198"/>
    <d v="2025-08-04T00:00:00"/>
    <x v="7"/>
    <x v="16"/>
    <x v="1"/>
    <s v="Hyderabad"/>
    <x v="3"/>
    <s v="Emi"/>
    <x v="1"/>
    <s v="Blue"/>
    <x v="15"/>
    <n v="5"/>
    <n v="134064"/>
    <n v="9.4E-2"/>
    <n v="9.4E-2"/>
    <n v="670320"/>
    <n v="63010.080000000002"/>
    <n v="607309.92000000004"/>
    <n v="5"/>
    <n v="201"/>
    <x v="7"/>
    <n v="7"/>
    <n v="7"/>
    <n v="3"/>
    <n v="121461.98400000001"/>
    <x v="5"/>
    <x v="5"/>
    <x v="1"/>
  </r>
  <r>
    <x v="199"/>
    <d v="2025-04-28T00:00:00"/>
    <x v="5"/>
    <x v="7"/>
    <x v="1"/>
    <s v="Hyderabad"/>
    <x v="0"/>
    <s v="Finance"/>
    <x v="0"/>
    <s v="Blue"/>
    <x v="1"/>
    <n v="3"/>
    <n v="147339"/>
    <n v="0.03"/>
    <n v="0.03"/>
    <n v="442017"/>
    <n v="13260.51"/>
    <n v="428756.49"/>
    <n v="4"/>
    <n v="185"/>
    <x v="8"/>
    <n v="3"/>
    <n v="3"/>
    <n v="3"/>
    <n v="142918.82999999999"/>
    <x v="7"/>
    <x v="7"/>
    <x v="3"/>
  </r>
  <r>
    <x v="200"/>
    <d v="2025-04-12T00:00:00"/>
    <x v="2"/>
    <x v="2"/>
    <x v="2"/>
    <s v="Delhi"/>
    <x v="1"/>
    <s v="Finance"/>
    <x v="0"/>
    <s v="Red"/>
    <x v="5"/>
    <n v="2"/>
    <n v="127914"/>
    <m/>
    <s v="missing"/>
    <n v="255828"/>
    <n v="5372.39"/>
    <n v="250455.61"/>
    <n v="3"/>
    <n v="164"/>
    <x v="15"/>
    <n v="7"/>
    <n v="7"/>
    <n v="2"/>
    <n v="125227.80499999999"/>
    <x v="7"/>
    <x v="7"/>
    <x v="3"/>
  </r>
  <r>
    <x v="201"/>
    <d v="2025-06-19T00:00:00"/>
    <x v="6"/>
    <x v="15"/>
    <x v="0"/>
    <s v="Chennai"/>
    <x v="1"/>
    <s v="Cash"/>
    <x v="2"/>
    <s v="Red"/>
    <x v="22"/>
    <n v="3"/>
    <n v="115830"/>
    <n v="3.2000000000000001E-2"/>
    <n v="3.2000000000000001E-2"/>
    <n v="347490"/>
    <n v="11119.68"/>
    <n v="336370.32"/>
    <n v="3"/>
    <n v="165"/>
    <x v="10"/>
    <n v="5"/>
    <n v="5"/>
    <n v="2"/>
    <n v="112123.44"/>
    <x v="9"/>
    <x v="9"/>
    <x v="3"/>
  </r>
  <r>
    <x v="202"/>
    <d v="2025-06-09T00:00:00"/>
    <x v="2"/>
    <x v="2"/>
    <x v="1"/>
    <s v="Mumbai"/>
    <x v="0"/>
    <s v="Cash"/>
    <x v="2"/>
    <s v="Red"/>
    <x v="8"/>
    <n v="4"/>
    <n v="131205"/>
    <n v="9.8000000000000004E-2"/>
    <n v="9.8000000000000004E-2"/>
    <n v="524820"/>
    <n v="51432.36"/>
    <n v="473387.64"/>
    <n v="3"/>
    <n v="144"/>
    <x v="0"/>
    <n v="4"/>
    <n v="4"/>
    <n v="2"/>
    <n v="118346.91"/>
    <x v="9"/>
    <x v="9"/>
    <x v="3"/>
  </r>
  <r>
    <x v="203"/>
    <d v="2025-01-04T00:00:00"/>
    <x v="3"/>
    <x v="4"/>
    <x v="1"/>
    <s v="Delhi"/>
    <x v="2"/>
    <s v="Finance"/>
    <x v="0"/>
    <s v="Red"/>
    <x v="2"/>
    <n v="5"/>
    <n v="128637"/>
    <n v="9.9000000000000005E-2"/>
    <n v="9.9000000000000005E-2"/>
    <n v="643185"/>
    <n v="63675.32"/>
    <n v="579509.68000000005"/>
    <n v="5"/>
    <n v="206"/>
    <x v="16"/>
    <n v="13"/>
    <n v="13"/>
    <n v="3"/>
    <n v="115901.93600000002"/>
    <x v="11"/>
    <x v="11"/>
    <x v="2"/>
  </r>
  <r>
    <x v="204"/>
    <d v="2025-01-26T00:00:00"/>
    <x v="7"/>
    <x v="16"/>
    <x v="2"/>
    <s v="Delhi"/>
    <x v="3"/>
    <s v="Emi"/>
    <x v="1"/>
    <s v="Red"/>
    <x v="29"/>
    <n v="3"/>
    <n v="137776"/>
    <n v="4.8000000000000001E-2"/>
    <n v="4.8000000000000001E-2"/>
    <n v="413328"/>
    <n v="19839.740000000002"/>
    <n v="393488.26"/>
    <n v="5"/>
    <n v="210"/>
    <x v="16"/>
    <n v="13"/>
    <n v="13"/>
    <n v="5"/>
    <n v="131162.75333333333"/>
    <x v="11"/>
    <x v="11"/>
    <x v="2"/>
  </r>
  <r>
    <x v="205"/>
    <d v="2025-07-07T00:00:00"/>
    <x v="1"/>
    <x v="1"/>
    <x v="0"/>
    <s v="Delhi"/>
    <x v="0"/>
    <s v="Finance"/>
    <x v="0"/>
    <s v="Blue"/>
    <x v="0"/>
    <n v="2"/>
    <n v="104333"/>
    <n v="8.8999999999999996E-2"/>
    <n v="8.8999999999999996E-2"/>
    <n v="208666"/>
    <n v="18571.27"/>
    <n v="190094.73"/>
    <n v="4"/>
    <n v="181"/>
    <x v="1"/>
    <n v="10"/>
    <n v="10"/>
    <n v="5"/>
    <n v="95047.365000000005"/>
    <x v="8"/>
    <x v="8"/>
    <x v="1"/>
  </r>
  <r>
    <x v="206"/>
    <d v="2025-03-02T00:00:00"/>
    <x v="0"/>
    <x v="0"/>
    <x v="0"/>
    <s v="Bengaluru"/>
    <x v="0"/>
    <s v="Finance"/>
    <x v="0"/>
    <s v="Grey"/>
    <x v="26"/>
    <n v="5"/>
    <n v="128966"/>
    <n v="8.2000000000000003E-2"/>
    <n v="8.2000000000000003E-2"/>
    <n v="644830"/>
    <n v="52876.06"/>
    <n v="591953.93999999994"/>
    <n v="5"/>
    <n v="203"/>
    <x v="10"/>
    <n v="14"/>
    <n v="14"/>
    <n v="5"/>
    <n v="118390.78799999999"/>
    <x v="10"/>
    <x v="10"/>
    <x v="2"/>
  </r>
  <r>
    <x v="207"/>
    <d v="2025-08-23T00:00:00"/>
    <x v="3"/>
    <x v="3"/>
    <x v="2"/>
    <s v="Kochi"/>
    <x v="0"/>
    <s v=" Emi "/>
    <x v="3"/>
    <s v="Red"/>
    <x v="21"/>
    <n v="2"/>
    <n v="143876"/>
    <n v="0.11899999999999999"/>
    <n v="0.11899999999999999"/>
    <n v="287752"/>
    <n v="34242.49"/>
    <n v="253509.51"/>
    <n v="4"/>
    <n v="201"/>
    <x v="17"/>
    <n v="10"/>
    <n v="10"/>
    <n v="5"/>
    <n v="126754.755"/>
    <x v="5"/>
    <x v="5"/>
    <x v="1"/>
  </r>
  <r>
    <x v="208"/>
    <d v="2025-10-01T00:00:00"/>
    <x v="4"/>
    <x v="6"/>
    <x v="0"/>
    <s v="Delhi"/>
    <x v="2"/>
    <s v="Emi"/>
    <x v="1"/>
    <s v="Grey"/>
    <x v="12"/>
    <n v="2"/>
    <n v="99774"/>
    <n v="8.2000000000000003E-2"/>
    <n v="8.2000000000000003E-2"/>
    <n v="199548"/>
    <n v="16362.94"/>
    <n v="183185.06"/>
    <n v="5"/>
    <n v="206"/>
    <x v="5"/>
    <n v="12"/>
    <n v="12"/>
    <n v="2"/>
    <n v="91592.53"/>
    <x v="1"/>
    <x v="1"/>
    <x v="0"/>
  </r>
  <r>
    <x v="209"/>
    <d v="2025-09-04T00:00:00"/>
    <x v="7"/>
    <x v="10"/>
    <x v="0"/>
    <s v="Pune"/>
    <x v="3"/>
    <s v="Finance"/>
    <x v="0"/>
    <s v="Red"/>
    <x v="23"/>
    <n v="1"/>
    <n v="121852"/>
    <n v="9.7000000000000003E-2"/>
    <n v="9.7000000000000003E-2"/>
    <n v="121852"/>
    <n v="11819.64"/>
    <n v="110032.36"/>
    <n v="3"/>
    <n v="161"/>
    <x v="4"/>
    <n v="2"/>
    <n v="2"/>
    <n v="5"/>
    <n v="110032.36"/>
    <x v="3"/>
    <x v="3"/>
    <x v="1"/>
  </r>
  <r>
    <x v="210"/>
    <d v="2025-02-05T00:00:00"/>
    <x v="4"/>
    <x v="5"/>
    <x v="2"/>
    <s v="Pune"/>
    <x v="3"/>
    <s v="Emi"/>
    <x v="1"/>
    <s v="Black"/>
    <x v="16"/>
    <n v="1"/>
    <n v="123011"/>
    <n v="4.2999999999999997E-2"/>
    <n v="4.2999999999999997E-2"/>
    <n v="123011"/>
    <n v="5289.47"/>
    <n v="117721.53"/>
    <n v="4"/>
    <n v="173"/>
    <x v="17"/>
    <n v="3"/>
    <n v="3"/>
    <n v="5"/>
    <n v="117721.53"/>
    <x v="4"/>
    <x v="4"/>
    <x v="2"/>
  </r>
  <r>
    <x v="211"/>
    <d v="2025-05-21T00:00:00"/>
    <x v="2"/>
    <x v="17"/>
    <x v="2"/>
    <s v="Delhi"/>
    <x v="2"/>
    <s v="Cash"/>
    <x v="2"/>
    <s v="Green"/>
    <x v="7"/>
    <n v="1"/>
    <n v="191914"/>
    <n v="3.5000000000000003E-2"/>
    <n v="3.5000000000000003E-2"/>
    <n v="191914"/>
    <n v="6716.99"/>
    <n v="185197.01"/>
    <n v="5"/>
    <n v="199"/>
    <x v="1"/>
    <n v="10"/>
    <n v="10"/>
    <n v="2"/>
    <n v="185197.01"/>
    <x v="6"/>
    <x v="6"/>
    <x v="3"/>
  </r>
  <r>
    <x v="212"/>
    <d v="2025-12-25T00:00:00"/>
    <x v="2"/>
    <x v="2"/>
    <x v="0"/>
    <s v="Delhi"/>
    <x v="0"/>
    <s v="Finance"/>
    <x v="0"/>
    <s v="Grey"/>
    <x v="9"/>
    <n v="2"/>
    <n v="123749"/>
    <n v="9.9000000000000005E-2"/>
    <n v="9.9000000000000005E-2"/>
    <n v="247498"/>
    <n v="24502.3"/>
    <n v="222995.7"/>
    <n v="3"/>
    <n v="140"/>
    <x v="6"/>
    <n v="5"/>
    <n v="5"/>
    <n v="2"/>
    <n v="111497.85"/>
    <x v="0"/>
    <x v="0"/>
    <x v="0"/>
  </r>
  <r>
    <x v="213"/>
    <d v="2025-09-23T00:00:00"/>
    <x v="3"/>
    <x v="3"/>
    <x v="1"/>
    <s v="Ahmedabad"/>
    <x v="2"/>
    <s v="Cash"/>
    <x v="2"/>
    <s v="Blue"/>
    <x v="25"/>
    <n v="3"/>
    <n v="156787"/>
    <n v="4.2999999999999997E-2"/>
    <n v="4.2999999999999997E-2"/>
    <n v="470361"/>
    <n v="20225.52"/>
    <n v="450135.48"/>
    <n v="5"/>
    <n v="205"/>
    <x v="0"/>
    <n v="10"/>
    <n v="10"/>
    <n v="2"/>
    <n v="150045.16"/>
    <x v="3"/>
    <x v="3"/>
    <x v="1"/>
  </r>
  <r>
    <x v="214"/>
    <d v="2025-04-19T00:00:00"/>
    <x v="7"/>
    <x v="14"/>
    <x v="0"/>
    <s v="Hyderabad"/>
    <x v="3"/>
    <s v="Cash"/>
    <x v="2"/>
    <s v="Black"/>
    <x v="12"/>
    <n v="1"/>
    <n v="111843"/>
    <n v="0.115"/>
    <n v="0.115"/>
    <n v="111843"/>
    <n v="12861.94"/>
    <n v="98981.06"/>
    <n v="5"/>
    <n v="216"/>
    <x v="7"/>
    <n v="11"/>
    <n v="11"/>
    <n v="5"/>
    <n v="98981.06"/>
    <x v="7"/>
    <x v="7"/>
    <x v="3"/>
  </r>
  <r>
    <x v="215"/>
    <d v="2025-04-13T00:00:00"/>
    <x v="2"/>
    <x v="17"/>
    <x v="2"/>
    <s v="Hyderabad"/>
    <x v="0"/>
    <s v="Cash"/>
    <x v="2"/>
    <s v="White"/>
    <x v="27"/>
    <n v="1"/>
    <n v="185228"/>
    <n v="5.6000000000000001E-2"/>
    <n v="5.6000000000000001E-2"/>
    <n v="185228"/>
    <n v="10372.77"/>
    <n v="174855.23"/>
    <n v="3"/>
    <n v="162"/>
    <x v="2"/>
    <n v="9"/>
    <n v="9"/>
    <n v="5"/>
    <n v="174855.23"/>
    <x v="7"/>
    <x v="7"/>
    <x v="3"/>
  </r>
  <r>
    <x v="216"/>
    <d v="2025-06-30T00:00:00"/>
    <x v="2"/>
    <x v="17"/>
    <x v="0"/>
    <s v="Ahmedabad"/>
    <x v="2"/>
    <s v="Emi"/>
    <x v="1"/>
    <s v="Green"/>
    <x v="14"/>
    <n v="1"/>
    <n v="179915"/>
    <n v="2.4E-2"/>
    <n v="2.4E-2"/>
    <n v="179915"/>
    <n v="4317.96"/>
    <n v="175597.04"/>
    <n v="3"/>
    <n v="172"/>
    <x v="21"/>
    <n v="6"/>
    <n v="6"/>
    <n v="2"/>
    <n v="175597.04"/>
    <x v="9"/>
    <x v="9"/>
    <x v="3"/>
  </r>
  <r>
    <x v="217"/>
    <d v="2025-01-03T00:00:00"/>
    <x v="4"/>
    <x v="5"/>
    <x v="1"/>
    <s v="Kolkata"/>
    <x v="0"/>
    <s v="Finance"/>
    <x v="0"/>
    <s v="Green"/>
    <x v="3"/>
    <n v="4"/>
    <n v="108935"/>
    <n v="3.9E-2"/>
    <n v="3.9E-2"/>
    <n v="435740"/>
    <n v="16993.86"/>
    <n v="418746.14"/>
    <n v="3"/>
    <n v="173"/>
    <x v="14"/>
    <n v="10"/>
    <n v="10"/>
    <n v="2"/>
    <n v="104686.535"/>
    <x v="11"/>
    <x v="11"/>
    <x v="2"/>
  </r>
  <r>
    <x v="218"/>
    <d v="2025-04-22T00:00:00"/>
    <x v="4"/>
    <x v="6"/>
    <x v="2"/>
    <s v="Kolkata"/>
    <x v="2"/>
    <s v="Finance"/>
    <x v="0"/>
    <s v="White"/>
    <x v="5"/>
    <n v="3"/>
    <n v="101369"/>
    <n v="5.7000000000000002E-2"/>
    <n v="5.7000000000000002E-2"/>
    <n v="304107"/>
    <n v="17334.099999999999"/>
    <n v="286772.90000000002"/>
    <n v="5"/>
    <n v="192"/>
    <x v="14"/>
    <n v="6"/>
    <n v="6"/>
    <n v="2"/>
    <n v="95590.966666666674"/>
    <x v="7"/>
    <x v="7"/>
    <x v="3"/>
  </r>
  <r>
    <x v="219"/>
    <d v="2025-09-11T00:00:00"/>
    <x v="7"/>
    <x v="14"/>
    <x v="1"/>
    <s v="Chennai"/>
    <x v="0"/>
    <s v="Cash"/>
    <x v="2"/>
    <s v="Black"/>
    <x v="1"/>
    <n v="2"/>
    <n v="112697"/>
    <n v="2.4E-2"/>
    <n v="2.4E-2"/>
    <n v="225394"/>
    <n v="5409.46"/>
    <n v="219984.54"/>
    <n v="3"/>
    <n v="144"/>
    <x v="6"/>
    <n v="10"/>
    <n v="10"/>
    <n v="5"/>
    <n v="109992.27"/>
    <x v="3"/>
    <x v="3"/>
    <x v="1"/>
  </r>
  <r>
    <x v="220"/>
    <d v="2025-03-22T00:00:00"/>
    <x v="2"/>
    <x v="17"/>
    <x v="2"/>
    <s v="Jaipur"/>
    <x v="3"/>
    <s v="Finance"/>
    <x v="0"/>
    <s v="Blue"/>
    <x v="23"/>
    <n v="5"/>
    <n v="190053"/>
    <n v="0.09"/>
    <n v="0.09"/>
    <n v="950265"/>
    <n v="85523.85"/>
    <n v="864741.15"/>
    <n v="4"/>
    <n v="191"/>
    <x v="16"/>
    <n v="8"/>
    <n v="8"/>
    <n v="3"/>
    <n v="172948.23"/>
    <x v="10"/>
    <x v="10"/>
    <x v="2"/>
  </r>
  <r>
    <x v="221"/>
    <d v="2025-05-21T00:00:00"/>
    <x v="4"/>
    <x v="6"/>
    <x v="1"/>
    <s v="Delhi"/>
    <x v="2"/>
    <s v="Finance"/>
    <x v="0"/>
    <s v="Red"/>
    <x v="27"/>
    <n v="1"/>
    <n v="108477"/>
    <n v="3.5999999999999997E-2"/>
    <n v="3.5999999999999997E-2"/>
    <n v="108477"/>
    <n v="3905.17"/>
    <n v="104571.83"/>
    <n v="2"/>
    <n v="154"/>
    <x v="2"/>
    <n v="14"/>
    <n v="14"/>
    <n v="5"/>
    <n v="104571.83"/>
    <x v="6"/>
    <x v="6"/>
    <x v="3"/>
  </r>
  <r>
    <x v="222"/>
    <d v="2025-12-05T00:00:00"/>
    <x v="7"/>
    <x v="16"/>
    <x v="1"/>
    <s v="Delhi"/>
    <x v="1"/>
    <s v="Emi"/>
    <x v="1"/>
    <s v="Grey"/>
    <x v="6"/>
    <n v="3"/>
    <n v="134037"/>
    <n v="0.1"/>
    <n v="0.1"/>
    <n v="402111"/>
    <n v="40211.1"/>
    <n v="361899.9"/>
    <n v="4"/>
    <n v="182"/>
    <x v="18"/>
    <n v="7"/>
    <n v="7"/>
    <n v="2"/>
    <n v="120633.3"/>
    <x v="0"/>
    <x v="0"/>
    <x v="0"/>
  </r>
  <r>
    <x v="223"/>
    <d v="2025-12-02T00:00:00"/>
    <x v="4"/>
    <x v="6"/>
    <x v="2"/>
    <s v="Hyderabad"/>
    <x v="1"/>
    <s v="Emi"/>
    <x v="1"/>
    <s v="White"/>
    <x v="11"/>
    <n v="4"/>
    <n v="101335"/>
    <n v="0.1"/>
    <n v="0.1"/>
    <n v="405340"/>
    <n v="40534"/>
    <n v="364806"/>
    <n v="4"/>
    <n v="170"/>
    <x v="8"/>
    <n v="11"/>
    <n v="11"/>
    <n v="2"/>
    <n v="91201.5"/>
    <x v="0"/>
    <x v="0"/>
    <x v="0"/>
  </r>
  <r>
    <x v="224"/>
    <d v="2025-11-09T00:00:00"/>
    <x v="6"/>
    <x v="15"/>
    <x v="1"/>
    <s v="Unknown"/>
    <x v="0"/>
    <s v="Cash"/>
    <x v="2"/>
    <s v="Grey"/>
    <x v="1"/>
    <n v="3"/>
    <n v="107257"/>
    <n v="8.2000000000000003E-2"/>
    <n v="8.2000000000000003E-2"/>
    <n v="321771"/>
    <n v="26385.22"/>
    <n v="295385.78000000003"/>
    <n v="4"/>
    <n v="182"/>
    <x v="5"/>
    <n v="6"/>
    <n v="6"/>
    <n v="5"/>
    <n v="98461.926666666681"/>
    <x v="2"/>
    <x v="2"/>
    <x v="0"/>
  </r>
  <r>
    <x v="225"/>
    <d v="2025-03-10T00:00:00"/>
    <x v="3"/>
    <x v="4"/>
    <x v="2"/>
    <s v="Kolkata"/>
    <x v="1"/>
    <s v="Cash"/>
    <x v="2"/>
    <s v="Grey"/>
    <x v="9"/>
    <n v="1"/>
    <n v="125967"/>
    <n v="4.9000000000000002E-2"/>
    <n v="4.9000000000000002E-2"/>
    <n v="125967"/>
    <n v="6172.38"/>
    <n v="119794.62"/>
    <n v="3"/>
    <n v="150"/>
    <x v="14"/>
    <n v="3"/>
    <n v="3"/>
    <n v="3"/>
    <n v="119794.62"/>
    <x v="10"/>
    <x v="10"/>
    <x v="2"/>
  </r>
  <r>
    <x v="226"/>
    <d v="2025-03-20T00:00:00"/>
    <x v="6"/>
    <x v="15"/>
    <x v="0"/>
    <s v="Pune"/>
    <x v="0"/>
    <s v="Cash"/>
    <x v="2"/>
    <s v="Red"/>
    <x v="3"/>
    <n v="1"/>
    <n v="115427"/>
    <n v="9.9000000000000005E-2"/>
    <n v="9.9000000000000005E-2"/>
    <n v="115427"/>
    <n v="11427.27"/>
    <n v="103999.73"/>
    <n v="4"/>
    <n v="181"/>
    <x v="8"/>
    <n v="11"/>
    <n v="11"/>
    <n v="2"/>
    <n v="103999.73"/>
    <x v="10"/>
    <x v="10"/>
    <x v="2"/>
  </r>
  <r>
    <x v="227"/>
    <d v="2025-03-23T00:00:00"/>
    <x v="5"/>
    <x v="7"/>
    <x v="0"/>
    <s v="Ahmedabad"/>
    <x v="0"/>
    <s v="Finance"/>
    <x v="0"/>
    <s v="Green"/>
    <x v="24"/>
    <n v="2"/>
    <n v="144881"/>
    <n v="5.5E-2"/>
    <n v="5.5E-2"/>
    <n v="289762"/>
    <n v="15936.91"/>
    <n v="273825.09000000003"/>
    <n v="3"/>
    <n v="154"/>
    <x v="5"/>
    <n v="10"/>
    <n v="10"/>
    <n v="5"/>
    <n v="136912.54500000001"/>
    <x v="10"/>
    <x v="10"/>
    <x v="2"/>
  </r>
  <r>
    <x v="228"/>
    <d v="2025-10-22T00:00:00"/>
    <x v="2"/>
    <x v="2"/>
    <x v="0"/>
    <s v="Chennai"/>
    <x v="0"/>
    <s v="Finance"/>
    <x v="0"/>
    <s v="Blue"/>
    <x v="29"/>
    <n v="1"/>
    <n v="133696"/>
    <n v="2.7E-2"/>
    <n v="2.7E-2"/>
    <n v="133696"/>
    <n v="3609.79"/>
    <n v="130086.21"/>
    <n v="3"/>
    <n v="159"/>
    <x v="11"/>
    <n v="4"/>
    <n v="4"/>
    <n v="5"/>
    <n v="130086.21"/>
    <x v="1"/>
    <x v="1"/>
    <x v="0"/>
  </r>
  <r>
    <x v="229"/>
    <d v="2025-09-23T00:00:00"/>
    <x v="0"/>
    <x v="11"/>
    <x v="2"/>
    <s v="Chennai"/>
    <x v="2"/>
    <s v="Finance"/>
    <x v="0"/>
    <s v="Red"/>
    <x v="0"/>
    <n v="1"/>
    <n v="144772"/>
    <n v="7.8E-2"/>
    <n v="7.8E-2"/>
    <n v="144772"/>
    <n v="11292.22"/>
    <n v="133479.78"/>
    <n v="4"/>
    <n v="207"/>
    <x v="0"/>
    <n v="12"/>
    <n v="12"/>
    <n v="3"/>
    <n v="133479.78"/>
    <x v="3"/>
    <x v="3"/>
    <x v="1"/>
  </r>
  <r>
    <x v="230"/>
    <d v="2025-10-11T00:00:00"/>
    <x v="6"/>
    <x v="15"/>
    <x v="1"/>
    <s v="Kochi"/>
    <x v="0"/>
    <s v="Emi"/>
    <x v="1"/>
    <s v="Green"/>
    <x v="28"/>
    <n v="2"/>
    <n v="109338"/>
    <n v="0.114"/>
    <n v="0.114"/>
    <n v="218676"/>
    <n v="24929.06"/>
    <n v="193746.94"/>
    <n v="4"/>
    <n v="191"/>
    <x v="10"/>
    <n v="7"/>
    <n v="7"/>
    <n v="3"/>
    <n v="96873.47"/>
    <x v="1"/>
    <x v="1"/>
    <x v="0"/>
  </r>
  <r>
    <x v="231"/>
    <d v="2025-12-07T00:00:00"/>
    <x v="2"/>
    <x v="17"/>
    <x v="0"/>
    <s v="Mumbai"/>
    <x v="1"/>
    <s v="Cash"/>
    <x v="2"/>
    <s v="Black"/>
    <x v="14"/>
    <n v="4"/>
    <n v="180137"/>
    <n v="4.5999999999999999E-2"/>
    <n v="4.5999999999999999E-2"/>
    <n v="720548"/>
    <n v="33145.21"/>
    <n v="687402.79"/>
    <n v="3"/>
    <n v="184"/>
    <x v="14"/>
    <n v="10"/>
    <n v="10"/>
    <n v="2"/>
    <n v="171850.69750000001"/>
    <x v="0"/>
    <x v="0"/>
    <x v="0"/>
  </r>
  <r>
    <x v="232"/>
    <d v="2025-02-16T00:00:00"/>
    <x v="0"/>
    <x v="11"/>
    <x v="0"/>
    <s v="Kochi"/>
    <x v="3"/>
    <s v="Emi"/>
    <x v="1"/>
    <s v="White"/>
    <x v="3"/>
    <n v="1"/>
    <n v="138577"/>
    <n v="2.1999999999999999E-2"/>
    <n v="2.1999999999999999E-2"/>
    <n v="138577"/>
    <n v="3048.69"/>
    <n v="135528.31"/>
    <n v="2"/>
    <n v="143"/>
    <x v="1"/>
    <n v="3"/>
    <n v="3"/>
    <n v="5"/>
    <n v="135528.31"/>
    <x v="4"/>
    <x v="4"/>
    <x v="2"/>
  </r>
  <r>
    <x v="233"/>
    <d v="2025-05-18T00:00:00"/>
    <x v="1"/>
    <x v="9"/>
    <x v="2"/>
    <s v="Ahmedabad"/>
    <x v="2"/>
    <s v="Finance"/>
    <x v="0"/>
    <s v="Blue"/>
    <x v="18"/>
    <n v="4"/>
    <n v="129175"/>
    <n v="6.9000000000000006E-2"/>
    <n v="6.9000000000000006E-2"/>
    <n v="516700"/>
    <n v="35652.300000000003"/>
    <n v="481047.7"/>
    <n v="3"/>
    <n v="158"/>
    <x v="14"/>
    <n v="7"/>
    <n v="7"/>
    <n v="2"/>
    <n v="120261.925"/>
    <x v="6"/>
    <x v="6"/>
    <x v="3"/>
  </r>
  <r>
    <x v="234"/>
    <d v="2025-03-14T00:00:00"/>
    <x v="7"/>
    <x v="16"/>
    <x v="0"/>
    <s v="Ahmedabad"/>
    <x v="1"/>
    <s v="Finance"/>
    <x v="0"/>
    <s v="Red"/>
    <x v="21"/>
    <n v="1"/>
    <n v="147274"/>
    <n v="5.2999999999999999E-2"/>
    <n v="5.2999999999999999E-2"/>
    <n v="147274"/>
    <n v="7805.52"/>
    <n v="139468.48000000001"/>
    <n v="5"/>
    <n v="211"/>
    <x v="8"/>
    <n v="12"/>
    <n v="12"/>
    <n v="3"/>
    <n v="139468.48000000001"/>
    <x v="10"/>
    <x v="10"/>
    <x v="2"/>
  </r>
  <r>
    <x v="235"/>
    <d v="2025-04-02T00:00:00"/>
    <x v="4"/>
    <x v="6"/>
    <x v="2"/>
    <s v="Pune"/>
    <x v="1"/>
    <s v="Emi"/>
    <x v="1"/>
    <s v="Black"/>
    <x v="8"/>
    <n v="1"/>
    <n v="106051"/>
    <n v="9.9000000000000005E-2"/>
    <n v="9.9000000000000005E-2"/>
    <n v="106051"/>
    <n v="10499.05"/>
    <n v="95551.95"/>
    <n v="4"/>
    <n v="186"/>
    <x v="19"/>
    <n v="8"/>
    <n v="8"/>
    <n v="2"/>
    <n v="95551.95"/>
    <x v="7"/>
    <x v="7"/>
    <x v="3"/>
  </r>
  <r>
    <x v="236"/>
    <d v="2025-08-30T00:00:00"/>
    <x v="2"/>
    <x v="17"/>
    <x v="2"/>
    <s v="Hyderabad"/>
    <x v="3"/>
    <s v="Cash"/>
    <x v="2"/>
    <s v="Red"/>
    <x v="25"/>
    <n v="1"/>
    <n v="192485"/>
    <n v="3.1E-2"/>
    <n v="3.1E-2"/>
    <n v="192485"/>
    <n v="5967.03"/>
    <n v="186517.97"/>
    <n v="4"/>
    <n v="192"/>
    <x v="6"/>
    <n v="5"/>
    <n v="5"/>
    <n v="5"/>
    <n v="186517.97"/>
    <x v="5"/>
    <x v="5"/>
    <x v="1"/>
  </r>
  <r>
    <x v="237"/>
    <d v="2025-11-08T00:00:00"/>
    <x v="3"/>
    <x v="3"/>
    <x v="0"/>
    <s v="Kochi"/>
    <x v="3"/>
    <s v="Finance"/>
    <x v="0"/>
    <s v="White"/>
    <x v="2"/>
    <n v="2"/>
    <n v="146352"/>
    <n v="9.4E-2"/>
    <n v="9.4E-2"/>
    <n v="292704"/>
    <n v="27514.18"/>
    <n v="265189.82"/>
    <n v="2"/>
    <n v="147"/>
    <x v="9"/>
    <n v="8"/>
    <n v="8"/>
    <n v="2"/>
    <n v="132594.91"/>
    <x v="2"/>
    <x v="2"/>
    <x v="0"/>
  </r>
  <r>
    <x v="238"/>
    <d v="2025-08-01T00:00:00"/>
    <x v="1"/>
    <x v="9"/>
    <x v="2"/>
    <s v="Bengaluru"/>
    <x v="0"/>
    <s v="Cash"/>
    <x v="2"/>
    <s v="Green"/>
    <x v="23"/>
    <n v="4"/>
    <n v="123613"/>
    <n v="0.10299999999999999"/>
    <n v="0.10299999999999999"/>
    <n v="494452"/>
    <n v="50928.56"/>
    <n v="443523.44"/>
    <n v="3"/>
    <n v="181"/>
    <x v="16"/>
    <n v="8"/>
    <n v="8"/>
    <n v="2"/>
    <n v="110880.86"/>
    <x v="5"/>
    <x v="5"/>
    <x v="1"/>
  </r>
  <r>
    <x v="239"/>
    <d v="2025-06-14T00:00:00"/>
    <x v="4"/>
    <x v="6"/>
    <x v="1"/>
    <s v="Pune"/>
    <x v="1"/>
    <s v="Finance"/>
    <x v="0"/>
    <s v="Green"/>
    <x v="17"/>
    <n v="1"/>
    <n v="109312"/>
    <n v="5.8000000000000003E-2"/>
    <n v="5.8000000000000003E-2"/>
    <n v="109312"/>
    <n v="6340.1"/>
    <n v="102971.9"/>
    <n v="3"/>
    <n v="183"/>
    <x v="7"/>
    <n v="6"/>
    <n v="6"/>
    <n v="3"/>
    <n v="102971.9"/>
    <x v="9"/>
    <x v="9"/>
    <x v="3"/>
  </r>
  <r>
    <x v="240"/>
    <d v="2025-07-28T00:00:00"/>
    <x v="6"/>
    <x v="15"/>
    <x v="0"/>
    <s v="Kolkata"/>
    <x v="2"/>
    <s v="Emi"/>
    <x v="1"/>
    <s v="Green"/>
    <x v="19"/>
    <n v="1"/>
    <n v="114679"/>
    <n v="0.108"/>
    <n v="0.108"/>
    <n v="114679"/>
    <n v="12385.33"/>
    <n v="102293.67"/>
    <n v="3"/>
    <n v="177"/>
    <x v="11"/>
    <n v="3"/>
    <n v="3"/>
    <n v="2"/>
    <n v="102293.67"/>
    <x v="8"/>
    <x v="8"/>
    <x v="1"/>
  </r>
  <r>
    <x v="241"/>
    <d v="2025-06-01T00:00:00"/>
    <x v="6"/>
    <x v="15"/>
    <x v="1"/>
    <s v="Mumbai"/>
    <x v="0"/>
    <s v="Emi"/>
    <x v="1"/>
    <s v="Grey"/>
    <x v="17"/>
    <n v="2"/>
    <n v="111975"/>
    <n v="6.2E-2"/>
    <n v="6.2E-2"/>
    <n v="223950"/>
    <n v="13884.9"/>
    <n v="210065.1"/>
    <n v="3"/>
    <n v="186"/>
    <x v="15"/>
    <n v="11"/>
    <n v="11"/>
    <n v="2"/>
    <n v="105032.55"/>
    <x v="9"/>
    <x v="9"/>
    <x v="3"/>
  </r>
  <r>
    <x v="242"/>
    <d v="2025-04-03T00:00:00"/>
    <x v="5"/>
    <x v="12"/>
    <x v="2"/>
    <s v="Chennai"/>
    <x v="0"/>
    <s v="Cash"/>
    <x v="2"/>
    <s v="Blue"/>
    <x v="2"/>
    <n v="2"/>
    <n v="124300"/>
    <n v="8.1000000000000003E-2"/>
    <n v="8.1000000000000003E-2"/>
    <n v="248600"/>
    <n v="20136.599999999999"/>
    <n v="228463.4"/>
    <n v="2"/>
    <n v="135"/>
    <x v="7"/>
    <n v="11"/>
    <n v="11"/>
    <n v="2"/>
    <n v="114231.7"/>
    <x v="7"/>
    <x v="7"/>
    <x v="3"/>
  </r>
  <r>
    <x v="243"/>
    <d v="2025-04-13T00:00:00"/>
    <x v="7"/>
    <x v="16"/>
    <x v="0"/>
    <s v="Jaipur"/>
    <x v="0"/>
    <s v="Cash"/>
    <x v="2"/>
    <s v="Black"/>
    <x v="16"/>
    <n v="1"/>
    <n v="131955"/>
    <m/>
    <s v="missing"/>
    <n v="131955"/>
    <n v="13063.55"/>
    <n v="118891.45"/>
    <n v="2"/>
    <n v="177"/>
    <x v="17"/>
    <n v="6"/>
    <n v="6"/>
    <n v="5"/>
    <n v="118891.45"/>
    <x v="7"/>
    <x v="7"/>
    <x v="3"/>
  </r>
  <r>
    <x v="244"/>
    <d v="2025-12-02T00:00:00"/>
    <x v="5"/>
    <x v="12"/>
    <x v="2"/>
    <s v="Bengaluru"/>
    <x v="2"/>
    <s v="Cash"/>
    <x v="2"/>
    <s v="Green"/>
    <x v="3"/>
    <n v="1"/>
    <n v="124518"/>
    <n v="4.9000000000000002E-2"/>
    <n v="4.9000000000000002E-2"/>
    <n v="124518"/>
    <n v="6101.38"/>
    <n v="118416.62"/>
    <n v="4"/>
    <n v="197"/>
    <x v="16"/>
    <n v="10"/>
    <n v="10"/>
    <n v="2"/>
    <n v="118416.62"/>
    <x v="0"/>
    <x v="0"/>
    <x v="0"/>
  </r>
  <r>
    <x v="245"/>
    <d v="2025-02-17T00:00:00"/>
    <x v="5"/>
    <x v="12"/>
    <x v="1"/>
    <s v="Mumbai"/>
    <x v="0"/>
    <s v="Cash"/>
    <x v="2"/>
    <s v="Grey"/>
    <x v="17"/>
    <n v="1"/>
    <n v="122964"/>
    <n v="6.8000000000000005E-2"/>
    <n v="6.8000000000000005E-2"/>
    <n v="122964"/>
    <n v="8361.5499999999993"/>
    <n v="114602.45"/>
    <n v="3"/>
    <n v="171"/>
    <x v="15"/>
    <n v="5"/>
    <n v="5"/>
    <n v="2"/>
    <n v="114602.45"/>
    <x v="4"/>
    <x v="4"/>
    <x v="2"/>
  </r>
  <r>
    <x v="246"/>
    <d v="2025-08-09T00:00:00"/>
    <x v="0"/>
    <x v="0"/>
    <x v="2"/>
    <s v="Kochi"/>
    <x v="2"/>
    <s v="Emi"/>
    <x v="1"/>
    <s v="Blue"/>
    <x v="3"/>
    <n v="2"/>
    <n v="118195"/>
    <m/>
    <s v="missing"/>
    <n v="236390"/>
    <n v="9928.3799999999992"/>
    <n v="226461.62"/>
    <n v="3"/>
    <n v="156"/>
    <x v="8"/>
    <n v="5"/>
    <n v="5"/>
    <n v="5"/>
    <n v="113230.81"/>
    <x v="5"/>
    <x v="5"/>
    <x v="1"/>
  </r>
  <r>
    <x v="247"/>
    <d v="2025-03-03T00:00:00"/>
    <x v="2"/>
    <x v="17"/>
    <x v="1"/>
    <s v="Kolkata"/>
    <x v="1"/>
    <s v="Finance"/>
    <x v="0"/>
    <s v="Red"/>
    <x v="13"/>
    <n v="3"/>
    <n v="178605"/>
    <n v="8.3000000000000004E-2"/>
    <n v="8.3000000000000004E-2"/>
    <n v="535815"/>
    <n v="44472.65"/>
    <n v="491342.35"/>
    <n v="2"/>
    <n v="126"/>
    <x v="11"/>
    <n v="11"/>
    <n v="11"/>
    <n v="2"/>
    <n v="163780.78333333333"/>
    <x v="10"/>
    <x v="10"/>
    <x v="2"/>
  </r>
  <r>
    <x v="248"/>
    <d v="2025-07-30T00:00:00"/>
    <x v="2"/>
    <x v="2"/>
    <x v="2"/>
    <s v="Bengaluru"/>
    <x v="3"/>
    <s v="Finance"/>
    <x v="0"/>
    <s v="Red"/>
    <x v="10"/>
    <n v="2"/>
    <n v="130489"/>
    <n v="3.6999999999999998E-2"/>
    <n v="3.6999999999999998E-2"/>
    <n v="260978"/>
    <n v="9656.19"/>
    <n v="251321.81"/>
    <n v="3"/>
    <n v="167"/>
    <x v="15"/>
    <n v="2"/>
    <n v="2"/>
    <n v="5"/>
    <n v="125660.905"/>
    <x v="8"/>
    <x v="8"/>
    <x v="1"/>
  </r>
  <r>
    <x v="249"/>
    <d v="2025-03-03T00:00:00"/>
    <x v="4"/>
    <x v="6"/>
    <x v="2"/>
    <s v="Mumbai"/>
    <x v="0"/>
    <s v="Finance"/>
    <x v="0"/>
    <s v="Red"/>
    <x v="10"/>
    <n v="1"/>
    <n v="105666"/>
    <n v="9.1999999999999998E-2"/>
    <n v="9.1999999999999998E-2"/>
    <n v="105666"/>
    <n v="9721.27"/>
    <n v="95944.73"/>
    <n v="3"/>
    <n v="156"/>
    <x v="17"/>
    <n v="9"/>
    <n v="9"/>
    <n v="2"/>
    <n v="95944.73"/>
    <x v="10"/>
    <x v="10"/>
    <x v="2"/>
  </r>
  <r>
    <x v="250"/>
    <d v="2025-07-26T00:00:00"/>
    <x v="3"/>
    <x v="3"/>
    <x v="0"/>
    <s v="Jaipur"/>
    <x v="2"/>
    <s v="Emi"/>
    <x v="1"/>
    <s v="Green"/>
    <x v="7"/>
    <n v="2"/>
    <n v="153278"/>
    <n v="3.3000000000000002E-2"/>
    <n v="3.3000000000000002E-2"/>
    <n v="306556"/>
    <n v="10116.35"/>
    <n v="296439.65000000002"/>
    <n v="3"/>
    <n v="170"/>
    <x v="16"/>
    <n v="2"/>
    <n v="2"/>
    <n v="3"/>
    <n v="148219.82500000001"/>
    <x v="8"/>
    <x v="8"/>
    <x v="1"/>
  </r>
  <r>
    <x v="251"/>
    <d v="2025-05-09T00:00:00"/>
    <x v="6"/>
    <x v="15"/>
    <x v="1"/>
    <s v="Hyderabad"/>
    <x v="1"/>
    <s v="Emi"/>
    <x v="1"/>
    <s v="Green"/>
    <x v="11"/>
    <n v="2"/>
    <n v="116119"/>
    <n v="6.6000000000000003E-2"/>
    <n v="6.6000000000000003E-2"/>
    <n v="232238"/>
    <n v="15327.71"/>
    <n v="216910.29"/>
    <n v="3"/>
    <n v="176"/>
    <x v="15"/>
    <n v="11"/>
    <n v="11"/>
    <n v="5"/>
    <n v="108455.145"/>
    <x v="6"/>
    <x v="6"/>
    <x v="3"/>
  </r>
  <r>
    <x v="252"/>
    <d v="2025-12-23T00:00:00"/>
    <x v="3"/>
    <x v="4"/>
    <x v="1"/>
    <s v="Ahmedabad"/>
    <x v="0"/>
    <s v="Finance"/>
    <x v="0"/>
    <s v="Green"/>
    <x v="1"/>
    <n v="2"/>
    <n v="115330"/>
    <n v="4.2000000000000003E-2"/>
    <n v="4.2000000000000003E-2"/>
    <n v="230660"/>
    <n v="9687.7199999999993"/>
    <n v="220972.28"/>
    <n v="3"/>
    <n v="157"/>
    <x v="4"/>
    <n v="4"/>
    <n v="4"/>
    <n v="5"/>
    <n v="110486.14"/>
    <x v="0"/>
    <x v="0"/>
    <x v="0"/>
  </r>
  <r>
    <x v="253"/>
    <d v="2025-07-06T00:00:00"/>
    <x v="1"/>
    <x v="1"/>
    <x v="1"/>
    <s v="Pune"/>
    <x v="1"/>
    <s v="Emi"/>
    <x v="1"/>
    <s v="Red"/>
    <x v="25"/>
    <n v="2"/>
    <n v="114737"/>
    <n v="6.4000000000000001E-2"/>
    <n v="6.4000000000000001E-2"/>
    <n v="229474"/>
    <n v="14686.34"/>
    <n v="214787.66"/>
    <n v="4"/>
    <n v="184"/>
    <x v="7"/>
    <n v="2"/>
    <n v="2"/>
    <n v="3"/>
    <n v="107393.83"/>
    <x v="8"/>
    <x v="8"/>
    <x v="1"/>
  </r>
  <r>
    <x v="254"/>
    <d v="2025-10-14T00:00:00"/>
    <x v="2"/>
    <x v="2"/>
    <x v="2"/>
    <s v="Hyderabad"/>
    <x v="2"/>
    <s v="Emi"/>
    <x v="1"/>
    <s v="Grey"/>
    <x v="19"/>
    <n v="3"/>
    <n v="129299"/>
    <n v="2.1000000000000001E-2"/>
    <n v="2.1000000000000001E-2"/>
    <n v="387897"/>
    <n v="8145.84"/>
    <n v="379751.16"/>
    <n v="3"/>
    <n v="142"/>
    <x v="1"/>
    <n v="14"/>
    <n v="14"/>
    <n v="2"/>
    <n v="126583.71999999999"/>
    <x v="1"/>
    <x v="1"/>
    <x v="0"/>
  </r>
  <r>
    <x v="255"/>
    <d v="2025-10-31T00:00:00"/>
    <x v="6"/>
    <x v="15"/>
    <x v="2"/>
    <s v="Kochi"/>
    <x v="2"/>
    <s v="Emi"/>
    <x v="1"/>
    <s v="Grey"/>
    <x v="14"/>
    <n v="1"/>
    <n v="103642"/>
    <n v="2.1999999999999999E-2"/>
    <n v="2.1999999999999999E-2"/>
    <n v="103642"/>
    <n v="2280.12"/>
    <n v="101361.88"/>
    <n v="5"/>
    <n v="187"/>
    <x v="2"/>
    <n v="8"/>
    <n v="8"/>
    <n v="5"/>
    <n v="101361.88"/>
    <x v="1"/>
    <x v="1"/>
    <x v="0"/>
  </r>
  <r>
    <x v="256"/>
    <d v="2025-12-05T00:00:00"/>
    <x v="4"/>
    <x v="5"/>
    <x v="2"/>
    <s v="Ahmedabad"/>
    <x v="2"/>
    <s v="Finance"/>
    <x v="0"/>
    <s v="White"/>
    <x v="8"/>
    <n v="2"/>
    <n v="124049"/>
    <n v="9.6000000000000002E-2"/>
    <n v="9.6000000000000002E-2"/>
    <n v="248098"/>
    <n v="23817.41"/>
    <n v="224280.59"/>
    <n v="3"/>
    <n v="154"/>
    <x v="10"/>
    <n v="5"/>
    <n v="5"/>
    <n v="5"/>
    <n v="112140.295"/>
    <x v="0"/>
    <x v="0"/>
    <x v="0"/>
  </r>
  <r>
    <x v="257"/>
    <d v="2025-07-10T00:00:00"/>
    <x v="3"/>
    <x v="3"/>
    <x v="2"/>
    <s v="Mumbai"/>
    <x v="2"/>
    <s v="Emi"/>
    <x v="1"/>
    <s v="Green"/>
    <x v="28"/>
    <n v="1"/>
    <n v="161908"/>
    <n v="0.11799999999999999"/>
    <n v="0.11799999999999999"/>
    <n v="161908"/>
    <n v="19105.14"/>
    <n v="142802.85999999999"/>
    <n v="4"/>
    <n v="189"/>
    <x v="6"/>
    <n v="10"/>
    <n v="10"/>
    <n v="3"/>
    <n v="142802.85999999999"/>
    <x v="8"/>
    <x v="8"/>
    <x v="1"/>
  </r>
  <r>
    <x v="258"/>
    <d v="2025-03-16T00:00:00"/>
    <x v="1"/>
    <x v="9"/>
    <x v="2"/>
    <s v="Hyderabad"/>
    <x v="3"/>
    <s v="Emi"/>
    <x v="1"/>
    <s v="Red"/>
    <x v="17"/>
    <n v="1"/>
    <n v="131306"/>
    <n v="8.8999999999999996E-2"/>
    <n v="8.8999999999999996E-2"/>
    <n v="131306"/>
    <n v="11686.23"/>
    <n v="119619.77"/>
    <n v="4"/>
    <n v="166"/>
    <x v="6"/>
    <n v="4"/>
    <n v="4"/>
    <n v="2"/>
    <n v="119619.77"/>
    <x v="10"/>
    <x v="10"/>
    <x v="2"/>
  </r>
  <r>
    <x v="259"/>
    <d v="2025-07-28T00:00:00"/>
    <x v="6"/>
    <x v="8"/>
    <x v="0"/>
    <s v="Pune"/>
    <x v="2"/>
    <s v="Finance"/>
    <x v="0"/>
    <s v="Green"/>
    <x v="15"/>
    <n v="3"/>
    <n v="144564"/>
    <n v="2.1999999999999999E-2"/>
    <n v="2.1999999999999999E-2"/>
    <n v="433692"/>
    <n v="9541.2199999999993"/>
    <n v="424150.78"/>
    <n v="4"/>
    <n v="200"/>
    <x v="6"/>
    <n v="13"/>
    <n v="13"/>
    <n v="3"/>
    <n v="141383.59333333335"/>
    <x v="8"/>
    <x v="8"/>
    <x v="1"/>
  </r>
  <r>
    <x v="260"/>
    <d v="2025-10-20T00:00:00"/>
    <x v="4"/>
    <x v="5"/>
    <x v="0"/>
    <s v="Delhi"/>
    <x v="1"/>
    <s v="Emi"/>
    <x v="1"/>
    <s v="Green"/>
    <x v="3"/>
    <n v="3"/>
    <n v="118445"/>
    <n v="2.8000000000000001E-2"/>
    <n v="2.8000000000000001E-2"/>
    <n v="355335"/>
    <n v="9949.3799999999992"/>
    <n v="345385.62"/>
    <n v="4"/>
    <n v="184"/>
    <x v="0"/>
    <n v="5"/>
    <n v="5"/>
    <n v="2"/>
    <n v="115128.54"/>
    <x v="1"/>
    <x v="1"/>
    <x v="0"/>
  </r>
  <r>
    <x v="261"/>
    <d v="2025-02-14T00:00:00"/>
    <x v="2"/>
    <x v="2"/>
    <x v="2"/>
    <s v="Kolkata"/>
    <x v="3"/>
    <s v="Emi"/>
    <x v="1"/>
    <s v="Grey"/>
    <x v="3"/>
    <n v="5"/>
    <n v="129460"/>
    <n v="5.8000000000000003E-2"/>
    <n v="5.8000000000000003E-2"/>
    <n v="647300"/>
    <n v="37543.4"/>
    <n v="609756.6"/>
    <n v="4"/>
    <n v="174"/>
    <x v="5"/>
    <n v="2"/>
    <n v="2"/>
    <n v="5"/>
    <n v="121951.31999999999"/>
    <x v="4"/>
    <x v="4"/>
    <x v="2"/>
  </r>
  <r>
    <x v="262"/>
    <d v="2025-08-19T00:00:00"/>
    <x v="6"/>
    <x v="8"/>
    <x v="2"/>
    <s v="Kochi"/>
    <x v="0"/>
    <s v="Emi"/>
    <x v="1"/>
    <s v="Red"/>
    <x v="28"/>
    <n v="1"/>
    <n v="149315"/>
    <n v="8.6999999999999994E-2"/>
    <n v="8.6999999999999994E-2"/>
    <n v="149315"/>
    <n v="12990.4"/>
    <n v="136324.6"/>
    <n v="5"/>
    <n v="205"/>
    <x v="12"/>
    <n v="3"/>
    <n v="3"/>
    <n v="3"/>
    <n v="136324.6"/>
    <x v="5"/>
    <x v="5"/>
    <x v="1"/>
  </r>
  <r>
    <x v="263"/>
    <d v="2025-02-21T00:00:00"/>
    <x v="6"/>
    <x v="8"/>
    <x v="0"/>
    <s v="Ahmedabad"/>
    <x v="1"/>
    <s v="Finance"/>
    <x v="0"/>
    <s v="Red"/>
    <x v="13"/>
    <n v="1"/>
    <n v="152127"/>
    <n v="0.11899999999999999"/>
    <n v="0.11899999999999999"/>
    <n v="152127"/>
    <n v="18103.11"/>
    <n v="134023.89000000001"/>
    <n v="3"/>
    <n v="159"/>
    <x v="7"/>
    <n v="9"/>
    <n v="9"/>
    <n v="2"/>
    <n v="134023.89000000001"/>
    <x v="4"/>
    <x v="4"/>
    <x v="2"/>
  </r>
  <r>
    <x v="264"/>
    <d v="2025-01-13T00:00:00"/>
    <x v="3"/>
    <x v="3"/>
    <x v="0"/>
    <s v="Mumbai"/>
    <x v="2"/>
    <s v="Emi"/>
    <x v="1"/>
    <s v="Blue"/>
    <x v="4"/>
    <n v="1"/>
    <n v="145420"/>
    <n v="0.10100000000000001"/>
    <n v="0.10100000000000001"/>
    <n v="145420"/>
    <n v="14687.42"/>
    <n v="130732.58"/>
    <n v="3"/>
    <n v="174"/>
    <x v="7"/>
    <n v="9"/>
    <n v="9"/>
    <n v="5"/>
    <n v="130732.58"/>
    <x v="11"/>
    <x v="11"/>
    <x v="2"/>
  </r>
  <r>
    <x v="265"/>
    <d v="2025-07-09T00:00:00"/>
    <x v="6"/>
    <x v="8"/>
    <x v="1"/>
    <s v="Kolkata"/>
    <x v="2"/>
    <s v="Emi"/>
    <x v="1"/>
    <s v="White"/>
    <x v="1"/>
    <n v="1"/>
    <n v="153194"/>
    <n v="7.0999999999999994E-2"/>
    <n v="7.0999999999999994E-2"/>
    <n v="153194"/>
    <n v="10876.77"/>
    <n v="142317.23000000001"/>
    <n v="3"/>
    <n v="146"/>
    <x v="6"/>
    <n v="8"/>
    <n v="8"/>
    <n v="2"/>
    <n v="142317.23000000001"/>
    <x v="8"/>
    <x v="8"/>
    <x v="1"/>
  </r>
  <r>
    <x v="266"/>
    <d v="2025-06-30T00:00:00"/>
    <x v="0"/>
    <x v="0"/>
    <x v="2"/>
    <s v="Kolkata"/>
    <x v="2"/>
    <s v="Cash"/>
    <x v="2"/>
    <s v="Black"/>
    <x v="23"/>
    <n v="1"/>
    <n v="120501"/>
    <n v="9.2999999999999999E-2"/>
    <n v="9.2999999999999999E-2"/>
    <n v="120501"/>
    <n v="11206.59"/>
    <n v="109294.41"/>
    <n v="4"/>
    <n v="195"/>
    <x v="1"/>
    <n v="11"/>
    <n v="11"/>
    <n v="5"/>
    <n v="109294.41"/>
    <x v="9"/>
    <x v="9"/>
    <x v="3"/>
  </r>
  <r>
    <x v="267"/>
    <d v="2025-08-06T00:00:00"/>
    <x v="1"/>
    <x v="1"/>
    <x v="2"/>
    <s v="Mumbai"/>
    <x v="1"/>
    <s v="Emi"/>
    <x v="1"/>
    <s v="Red"/>
    <x v="5"/>
    <n v="1"/>
    <n v="110936"/>
    <n v="9.4E-2"/>
    <n v="9.4E-2"/>
    <n v="110936"/>
    <n v="10427.98"/>
    <n v="100508.02"/>
    <n v="3"/>
    <n v="178"/>
    <x v="16"/>
    <n v="8"/>
    <n v="8"/>
    <n v="2"/>
    <n v="100508.02"/>
    <x v="5"/>
    <x v="5"/>
    <x v="1"/>
  </r>
  <r>
    <x v="268"/>
    <d v="2025-12-31T00:00:00"/>
    <x v="5"/>
    <x v="12"/>
    <x v="1"/>
    <s v="Pune"/>
    <x v="2"/>
    <s v="Finance"/>
    <x v="0"/>
    <s v="Red"/>
    <x v="14"/>
    <n v="5"/>
    <n v="125393"/>
    <n v="7.6999999999999999E-2"/>
    <n v="7.6999999999999999E-2"/>
    <n v="626965"/>
    <n v="48276.31"/>
    <n v="578688.68999999994"/>
    <n v="4"/>
    <n v="208"/>
    <x v="8"/>
    <n v="5"/>
    <n v="5"/>
    <n v="5"/>
    <n v="115737.73799999998"/>
    <x v="0"/>
    <x v="0"/>
    <x v="0"/>
  </r>
  <r>
    <x v="269"/>
    <d v="2025-05-11T00:00:00"/>
    <x v="6"/>
    <x v="15"/>
    <x v="0"/>
    <s v="Bengaluru"/>
    <x v="0"/>
    <s v="Emi"/>
    <x v="1"/>
    <s v="Blue"/>
    <x v="25"/>
    <n v="1"/>
    <n v="116115"/>
    <n v="4.9000000000000002E-2"/>
    <n v="4.9000000000000002E-2"/>
    <n v="116115"/>
    <n v="5689.64"/>
    <n v="110425.36"/>
    <n v="5"/>
    <n v="200"/>
    <x v="15"/>
    <n v="10"/>
    <n v="10"/>
    <n v="3"/>
    <n v="110425.36"/>
    <x v="6"/>
    <x v="6"/>
    <x v="3"/>
  </r>
  <r>
    <x v="270"/>
    <d v="2025-10-14T00:00:00"/>
    <x v="5"/>
    <x v="13"/>
    <x v="2"/>
    <s v="Pune"/>
    <x v="1"/>
    <s v="Cash"/>
    <x v="2"/>
    <s v="Grey"/>
    <x v="10"/>
    <n v="2"/>
    <n v="133281"/>
    <n v="0.11899999999999999"/>
    <n v="0.11899999999999999"/>
    <n v="266562"/>
    <n v="31720.880000000001"/>
    <n v="234841.12"/>
    <n v="2"/>
    <n v="147"/>
    <x v="12"/>
    <n v="5"/>
    <n v="5"/>
    <n v="5"/>
    <n v="117420.56"/>
    <x v="1"/>
    <x v="1"/>
    <x v="0"/>
  </r>
  <r>
    <x v="271"/>
    <d v="2025-10-03T00:00:00"/>
    <x v="7"/>
    <x v="16"/>
    <x v="2"/>
    <s v="Kolkata"/>
    <x v="0"/>
    <s v="Emi"/>
    <x v="1"/>
    <s v="White"/>
    <x v="22"/>
    <n v="1"/>
    <n v="136148"/>
    <n v="4.7E-2"/>
    <n v="4.7E-2"/>
    <n v="136148"/>
    <n v="6398.96"/>
    <n v="129749.04"/>
    <n v="4"/>
    <n v="174"/>
    <x v="0"/>
    <n v="9"/>
    <n v="9"/>
    <n v="3"/>
    <n v="129749.04"/>
    <x v="1"/>
    <x v="1"/>
    <x v="0"/>
  </r>
  <r>
    <x v="272"/>
    <d v="2025-08-17T00:00:00"/>
    <x v="2"/>
    <x v="2"/>
    <x v="0"/>
    <s v="Mumbai"/>
    <x v="3"/>
    <s v="Emi"/>
    <x v="1"/>
    <s v="Grey"/>
    <x v="3"/>
    <n v="1"/>
    <n v="130810"/>
    <n v="3.5000000000000003E-2"/>
    <n v="3.5000000000000003E-2"/>
    <n v="130810"/>
    <n v="4578.3500000000004"/>
    <n v="126231.65"/>
    <n v="3"/>
    <n v="187"/>
    <x v="19"/>
    <n v="8"/>
    <n v="8"/>
    <n v="2"/>
    <n v="126231.65"/>
    <x v="5"/>
    <x v="5"/>
    <x v="1"/>
  </r>
  <r>
    <x v="273"/>
    <d v="2025-02-24T00:00:00"/>
    <x v="4"/>
    <x v="5"/>
    <x v="1"/>
    <s v="Jaipur"/>
    <x v="1"/>
    <s v="Cash"/>
    <x v="2"/>
    <s v="Green"/>
    <x v="22"/>
    <n v="2"/>
    <n v="111750"/>
    <n v="8.6999999999999994E-2"/>
    <n v="8.6999999999999994E-2"/>
    <n v="223500"/>
    <n v="19444.5"/>
    <n v="204055.5"/>
    <n v="3"/>
    <n v="158"/>
    <x v="9"/>
    <n v="5"/>
    <n v="5"/>
    <n v="3"/>
    <n v="102027.75"/>
    <x v="4"/>
    <x v="4"/>
    <x v="2"/>
  </r>
  <r>
    <x v="274"/>
    <d v="2025-11-27T00:00:00"/>
    <x v="5"/>
    <x v="13"/>
    <x v="0"/>
    <s v="Delhi"/>
    <x v="2"/>
    <s v="Finance"/>
    <x v="0"/>
    <s v="Green"/>
    <x v="19"/>
    <n v="1"/>
    <n v="131388"/>
    <n v="2.5000000000000001E-2"/>
    <n v="2.5000000000000001E-2"/>
    <n v="131388"/>
    <n v="3284.7"/>
    <n v="128103.3"/>
    <n v="4"/>
    <n v="184"/>
    <x v="0"/>
    <n v="9"/>
    <n v="9"/>
    <n v="5"/>
    <n v="128103.3"/>
    <x v="2"/>
    <x v="2"/>
    <x v="0"/>
  </r>
  <r>
    <x v="275"/>
    <d v="2025-06-20T00:00:00"/>
    <x v="2"/>
    <x v="2"/>
    <x v="0"/>
    <s v="Ahmedabad"/>
    <x v="3"/>
    <s v="Cash"/>
    <x v="2"/>
    <s v="Blue"/>
    <x v="19"/>
    <n v="2"/>
    <n v="121188"/>
    <n v="7.5999999999999998E-2"/>
    <n v="7.5999999999999998E-2"/>
    <n v="242376"/>
    <n v="18420.580000000002"/>
    <n v="223955.42"/>
    <n v="5"/>
    <n v="182"/>
    <x v="17"/>
    <n v="14"/>
    <n v="14"/>
    <n v="5"/>
    <n v="111977.71"/>
    <x v="9"/>
    <x v="9"/>
    <x v="3"/>
  </r>
  <r>
    <x v="276"/>
    <d v="2025-11-01T00:00:00"/>
    <x v="2"/>
    <x v="17"/>
    <x v="0"/>
    <s v="Pune"/>
    <x v="2"/>
    <s v="Cash"/>
    <x v="2"/>
    <s v="Blue"/>
    <x v="9"/>
    <n v="1"/>
    <n v="176603"/>
    <n v="2.4E-2"/>
    <n v="2.4E-2"/>
    <n v="176603"/>
    <n v="4238.47"/>
    <n v="172364.53"/>
    <n v="4"/>
    <n v="202"/>
    <x v="2"/>
    <n v="9"/>
    <n v="9"/>
    <n v="3"/>
    <n v="172364.53"/>
    <x v="2"/>
    <x v="2"/>
    <x v="0"/>
  </r>
  <r>
    <x v="277"/>
    <d v="2025-08-06T00:00:00"/>
    <x v="3"/>
    <x v="4"/>
    <x v="2"/>
    <s v="Kochi"/>
    <x v="1"/>
    <s v="Emi"/>
    <x v="1"/>
    <s v="Green"/>
    <x v="26"/>
    <n v="4"/>
    <n v="118508"/>
    <n v="6.6000000000000003E-2"/>
    <n v="6.6000000000000003E-2"/>
    <n v="474032"/>
    <n v="31286.11"/>
    <n v="442745.89"/>
    <n v="4"/>
    <n v="157"/>
    <x v="1"/>
    <n v="13"/>
    <n v="13"/>
    <n v="3"/>
    <n v="110686.4725"/>
    <x v="5"/>
    <x v="5"/>
    <x v="1"/>
  </r>
  <r>
    <x v="278"/>
    <d v="2025-10-11T00:00:00"/>
    <x v="1"/>
    <x v="9"/>
    <x v="2"/>
    <s v="Jaipur"/>
    <x v="2"/>
    <s v="Emi"/>
    <x v="1"/>
    <s v="Green"/>
    <x v="15"/>
    <n v="1"/>
    <n v="128449"/>
    <n v="0.10299999999999999"/>
    <n v="0.10299999999999999"/>
    <n v="128449"/>
    <n v="13230.25"/>
    <n v="115218.75"/>
    <n v="5"/>
    <n v="194"/>
    <x v="17"/>
    <n v="5"/>
    <n v="5"/>
    <n v="3"/>
    <n v="115218.75"/>
    <x v="1"/>
    <x v="1"/>
    <x v="0"/>
  </r>
  <r>
    <x v="279"/>
    <d v="2025-10-17T00:00:00"/>
    <x v="5"/>
    <x v="13"/>
    <x v="1"/>
    <s v="Bengaluru"/>
    <x v="0"/>
    <s v="Emi"/>
    <x v="1"/>
    <s v="Black"/>
    <x v="22"/>
    <n v="1"/>
    <n v="126995"/>
    <n v="2.5999999999999999E-2"/>
    <n v="2.5999999999999999E-2"/>
    <n v="126995"/>
    <n v="3301.87"/>
    <n v="123693.13"/>
    <n v="5"/>
    <n v="184"/>
    <x v="6"/>
    <n v="4"/>
    <n v="4"/>
    <n v="5"/>
    <n v="123693.13"/>
    <x v="1"/>
    <x v="1"/>
    <x v="0"/>
  </r>
  <r>
    <x v="280"/>
    <d v="2025-04-15T00:00:00"/>
    <x v="2"/>
    <x v="17"/>
    <x v="1"/>
    <s v="Mumbai"/>
    <x v="0"/>
    <s v="Emi"/>
    <x v="1"/>
    <s v="White"/>
    <x v="14"/>
    <n v="2"/>
    <n v="179562"/>
    <n v="0.06"/>
    <n v="0.06"/>
    <n v="359124"/>
    <n v="21547.439999999999"/>
    <n v="337576.56"/>
    <n v="5"/>
    <n v="213"/>
    <x v="17"/>
    <n v="2"/>
    <n v="2"/>
    <n v="3"/>
    <n v="168788.28"/>
    <x v="7"/>
    <x v="7"/>
    <x v="3"/>
  </r>
  <r>
    <x v="281"/>
    <d v="2025-04-26T00:00:00"/>
    <x v="5"/>
    <x v="7"/>
    <x v="0"/>
    <s v="Jaipur"/>
    <x v="3"/>
    <s v="Cash"/>
    <x v="2"/>
    <s v="White"/>
    <x v="20"/>
    <n v="1"/>
    <n v="151218"/>
    <n v="7.2999999999999995E-2"/>
    <n v="7.2999999999999995E-2"/>
    <n v="151218"/>
    <n v="11038.91"/>
    <n v="140179.09"/>
    <n v="3"/>
    <n v="141"/>
    <x v="16"/>
    <n v="5"/>
    <n v="5"/>
    <n v="5"/>
    <n v="140179.09"/>
    <x v="7"/>
    <x v="7"/>
    <x v="3"/>
  </r>
  <r>
    <x v="282"/>
    <d v="2025-12-29T00:00:00"/>
    <x v="6"/>
    <x v="15"/>
    <x v="0"/>
    <s v="Kochi"/>
    <x v="3"/>
    <s v="Cash"/>
    <x v="2"/>
    <s v="Blue"/>
    <x v="16"/>
    <n v="1"/>
    <n v="114688"/>
    <n v="8.5999999999999993E-2"/>
    <n v="8.5999999999999993E-2"/>
    <n v="114688"/>
    <n v="9863.17"/>
    <n v="104824.83"/>
    <n v="5"/>
    <n v="203"/>
    <x v="14"/>
    <n v="8"/>
    <n v="8"/>
    <n v="5"/>
    <n v="104824.83"/>
    <x v="0"/>
    <x v="0"/>
    <x v="0"/>
  </r>
  <r>
    <x v="283"/>
    <d v="2025-08-25T00:00:00"/>
    <x v="1"/>
    <x v="9"/>
    <x v="2"/>
    <s v="Kolkata"/>
    <x v="0"/>
    <s v="Cash"/>
    <x v="2"/>
    <s v="Blue"/>
    <x v="26"/>
    <n v="1"/>
    <n v="128780"/>
    <n v="2.9000000000000001E-2"/>
    <n v="2.9000000000000001E-2"/>
    <n v="128780"/>
    <n v="3734.62"/>
    <n v="125045.38"/>
    <n v="4"/>
    <n v="185"/>
    <x v="8"/>
    <n v="3"/>
    <n v="3"/>
    <n v="2"/>
    <n v="125045.38"/>
    <x v="5"/>
    <x v="5"/>
    <x v="1"/>
  </r>
  <r>
    <x v="284"/>
    <d v="2025-08-08T00:00:00"/>
    <x v="0"/>
    <x v="0"/>
    <x v="1"/>
    <s v="Kolkata"/>
    <x v="0"/>
    <s v="Cash"/>
    <x v="2"/>
    <s v="Black"/>
    <x v="6"/>
    <n v="5"/>
    <n v="117162"/>
    <n v="0.11700000000000001"/>
    <n v="0.11700000000000001"/>
    <n v="585810"/>
    <n v="68539.77"/>
    <n v="517270.23"/>
    <n v="3"/>
    <n v="158"/>
    <x v="8"/>
    <n v="5"/>
    <n v="5"/>
    <n v="2"/>
    <n v="103454.046"/>
    <x v="5"/>
    <x v="5"/>
    <x v="1"/>
  </r>
  <r>
    <x v="285"/>
    <d v="2025-07-01T00:00:00"/>
    <x v="5"/>
    <x v="13"/>
    <x v="0"/>
    <s v="Kochi"/>
    <x v="3"/>
    <s v="Cash"/>
    <x v="2"/>
    <s v="Green"/>
    <x v="13"/>
    <n v="4"/>
    <n v="140983"/>
    <n v="2.8000000000000001E-2"/>
    <n v="2.8000000000000001E-2"/>
    <n v="563932"/>
    <n v="15790.1"/>
    <n v="548141.9"/>
    <n v="5"/>
    <n v="194"/>
    <x v="15"/>
    <n v="2"/>
    <n v="2"/>
    <n v="2"/>
    <n v="137035.47500000001"/>
    <x v="8"/>
    <x v="8"/>
    <x v="1"/>
  </r>
  <r>
    <x v="286"/>
    <d v="2025-09-19T00:00:00"/>
    <x v="1"/>
    <x v="1"/>
    <x v="0"/>
    <s v="Chennai"/>
    <x v="0"/>
    <s v="Finance"/>
    <x v="0"/>
    <s v="Black"/>
    <x v="8"/>
    <n v="2"/>
    <n v="106213"/>
    <n v="3.4000000000000002E-2"/>
    <n v="3.4000000000000002E-2"/>
    <n v="212426"/>
    <n v="7222.48"/>
    <n v="205203.52"/>
    <n v="4"/>
    <n v="191"/>
    <x v="1"/>
    <n v="6"/>
    <n v="6"/>
    <n v="5"/>
    <n v="102601.76"/>
    <x v="3"/>
    <x v="3"/>
    <x v="1"/>
  </r>
  <r>
    <x v="287"/>
    <d v="2025-01-26T00:00:00"/>
    <x v="5"/>
    <x v="12"/>
    <x v="0"/>
    <s v="Kolkata"/>
    <x v="1"/>
    <s v="Emi"/>
    <x v="1"/>
    <s v="Blue"/>
    <x v="21"/>
    <n v="5"/>
    <n v="127874"/>
    <n v="4.4999999999999998E-2"/>
    <n v="4.4999999999999998E-2"/>
    <n v="639370"/>
    <n v="28771.65"/>
    <n v="610598.35"/>
    <n v="4"/>
    <n v="163"/>
    <x v="2"/>
    <n v="10"/>
    <n v="10"/>
    <n v="3"/>
    <n v="122119.67"/>
    <x v="11"/>
    <x v="11"/>
    <x v="2"/>
  </r>
  <r>
    <x v="288"/>
    <d v="2025-12-03T00:00:00"/>
    <x v="0"/>
    <x v="0"/>
    <x v="2"/>
    <s v="Mumbai"/>
    <x v="3"/>
    <s v="Emi"/>
    <x v="1"/>
    <s v="Red"/>
    <x v="15"/>
    <n v="2"/>
    <n v="116688"/>
    <n v="8.7999999999999995E-2"/>
    <n v="8.7999999999999995E-2"/>
    <n v="233376"/>
    <n v="20537.09"/>
    <n v="212838.91"/>
    <n v="5"/>
    <n v="198"/>
    <x v="8"/>
    <n v="14"/>
    <n v="14"/>
    <n v="2"/>
    <n v="106419.455"/>
    <x v="0"/>
    <x v="0"/>
    <x v="0"/>
  </r>
  <r>
    <x v="289"/>
    <d v="2025-05-08T00:00:00"/>
    <x v="6"/>
    <x v="8"/>
    <x v="0"/>
    <s v="Mumbai"/>
    <x v="2"/>
    <s v="Emi"/>
    <x v="1"/>
    <s v="Green"/>
    <x v="26"/>
    <n v="2"/>
    <n v="142472"/>
    <n v="0.06"/>
    <n v="0.06"/>
    <n v="284944"/>
    <n v="17096.64"/>
    <n v="267847.36"/>
    <n v="3"/>
    <n v="167"/>
    <x v="8"/>
    <n v="5"/>
    <n v="5"/>
    <n v="2"/>
    <n v="133923.68"/>
    <x v="6"/>
    <x v="6"/>
    <x v="3"/>
  </r>
  <r>
    <x v="290"/>
    <d v="2025-06-20T00:00:00"/>
    <x v="1"/>
    <x v="9"/>
    <x v="2"/>
    <s v="Kochi"/>
    <x v="0"/>
    <s v="Finance"/>
    <x v="0"/>
    <s v="White"/>
    <x v="20"/>
    <n v="1"/>
    <n v="127897"/>
    <n v="0.104"/>
    <n v="0.104"/>
    <n v="127897"/>
    <n v="13301.29"/>
    <n v="114595.71"/>
    <n v="2"/>
    <n v="118"/>
    <x v="5"/>
    <n v="14"/>
    <n v="14"/>
    <n v="2"/>
    <n v="114595.71"/>
    <x v="9"/>
    <x v="9"/>
    <x v="3"/>
  </r>
  <r>
    <x v="291"/>
    <d v="2025-03-01T00:00:00"/>
    <x v="4"/>
    <x v="6"/>
    <x v="0"/>
    <s v="Ahmedabad"/>
    <x v="0"/>
    <s v="Cash"/>
    <x v="2"/>
    <s v="Grey"/>
    <x v="10"/>
    <n v="1"/>
    <n v="111835"/>
    <n v="8.5999999999999993E-2"/>
    <n v="8.5999999999999993E-2"/>
    <n v="111835"/>
    <n v="9617.81"/>
    <n v="102217.19"/>
    <n v="2"/>
    <n v="149"/>
    <x v="7"/>
    <n v="7"/>
    <n v="7"/>
    <n v="3"/>
    <n v="102217.19"/>
    <x v="10"/>
    <x v="10"/>
    <x v="2"/>
  </r>
  <r>
    <x v="292"/>
    <d v="2025-04-22T00:00:00"/>
    <x v="3"/>
    <x v="4"/>
    <x v="2"/>
    <s v="Chennai"/>
    <x v="1"/>
    <s v="Finance"/>
    <x v="0"/>
    <s v="Green"/>
    <x v="7"/>
    <n v="4"/>
    <n v="122198"/>
    <n v="0.10299999999999999"/>
    <n v="0.10299999999999999"/>
    <n v="488792"/>
    <n v="50345.58"/>
    <n v="438446.42"/>
    <n v="4"/>
    <n v="169"/>
    <x v="2"/>
    <n v="2"/>
    <n v="2"/>
    <n v="2"/>
    <n v="109611.605"/>
    <x v="7"/>
    <x v="7"/>
    <x v="3"/>
  </r>
  <r>
    <x v="293"/>
    <d v="2025-05-30T00:00:00"/>
    <x v="6"/>
    <x v="15"/>
    <x v="1"/>
    <s v="Jaipur"/>
    <x v="3"/>
    <s v="Emi"/>
    <x v="1"/>
    <s v="White"/>
    <x v="19"/>
    <n v="3"/>
    <n v="107495"/>
    <n v="0.11899999999999999"/>
    <n v="0.11899999999999999"/>
    <n v="322485"/>
    <n v="38375.71"/>
    <n v="284109.28999999998"/>
    <n v="2"/>
    <n v="165"/>
    <x v="2"/>
    <n v="2"/>
    <n v="2"/>
    <n v="3"/>
    <n v="94703.096666666665"/>
    <x v="6"/>
    <x v="6"/>
    <x v="3"/>
  </r>
  <r>
    <x v="294"/>
    <d v="2025-03-10T00:00:00"/>
    <x v="4"/>
    <x v="6"/>
    <x v="0"/>
    <s v="Kochi"/>
    <x v="3"/>
    <s v="Finance"/>
    <x v="0"/>
    <s v="White"/>
    <x v="3"/>
    <n v="1"/>
    <n v="106732"/>
    <n v="6.2E-2"/>
    <n v="6.2E-2"/>
    <n v="106732"/>
    <n v="6617.38"/>
    <n v="100114.62"/>
    <n v="3"/>
    <n v="160"/>
    <x v="17"/>
    <n v="10"/>
    <n v="10"/>
    <n v="3"/>
    <n v="100114.62"/>
    <x v="10"/>
    <x v="10"/>
    <x v="2"/>
  </r>
  <r>
    <x v="295"/>
    <d v="2025-01-25T00:00:00"/>
    <x v="0"/>
    <x v="11"/>
    <x v="0"/>
    <s v="Mumbai"/>
    <x v="0"/>
    <s v="Emi"/>
    <x v="1"/>
    <s v="Blue"/>
    <x v="12"/>
    <n v="2"/>
    <n v="143408"/>
    <n v="3.5999999999999997E-2"/>
    <n v="3.5999999999999997E-2"/>
    <n v="286816"/>
    <n v="10325.379999999999"/>
    <n v="276490.62"/>
    <n v="3"/>
    <n v="169"/>
    <x v="7"/>
    <n v="13"/>
    <n v="13"/>
    <n v="2"/>
    <n v="138245.31"/>
    <x v="11"/>
    <x v="11"/>
    <x v="2"/>
  </r>
  <r>
    <x v="296"/>
    <d v="2025-01-18T00:00:00"/>
    <x v="5"/>
    <x v="13"/>
    <x v="2"/>
    <s v="Pune"/>
    <x v="0"/>
    <s v="Finance"/>
    <x v="0"/>
    <s v="Blue"/>
    <x v="5"/>
    <n v="4"/>
    <n v="140718"/>
    <n v="0.115"/>
    <n v="0.115"/>
    <n v="562872"/>
    <n v="64730.28"/>
    <n v="498141.72"/>
    <n v="4"/>
    <n v="168"/>
    <x v="0"/>
    <n v="11"/>
    <n v="11"/>
    <n v="2"/>
    <n v="124535.43"/>
    <x v="11"/>
    <x v="11"/>
    <x v="2"/>
  </r>
  <r>
    <x v="297"/>
    <d v="2025-03-13T00:00:00"/>
    <x v="2"/>
    <x v="2"/>
    <x v="1"/>
    <s v="Delhi"/>
    <x v="1"/>
    <s v="Cash"/>
    <x v="2"/>
    <s v="Grey"/>
    <x v="24"/>
    <n v="4"/>
    <n v="124057"/>
    <n v="7.4999999999999997E-2"/>
    <n v="7.4999999999999997E-2"/>
    <n v="496228"/>
    <n v="37217.1"/>
    <n v="459010.9"/>
    <n v="2"/>
    <n v="160"/>
    <x v="8"/>
    <n v="2"/>
    <n v="2"/>
    <n v="5"/>
    <n v="114752.72500000001"/>
    <x v="10"/>
    <x v="10"/>
    <x v="2"/>
  </r>
  <r>
    <x v="298"/>
    <d v="2025-10-11T00:00:00"/>
    <x v="1"/>
    <x v="1"/>
    <x v="1"/>
    <s v="Unknown"/>
    <x v="2"/>
    <s v="Emi"/>
    <x v="1"/>
    <s v="Green"/>
    <x v="9"/>
    <n v="1"/>
    <n v="113047"/>
    <n v="4.9000000000000002E-2"/>
    <n v="4.9000000000000002E-2"/>
    <n v="113047"/>
    <n v="5539.3"/>
    <n v="107507.7"/>
    <n v="3"/>
    <n v="178"/>
    <x v="19"/>
    <n v="5"/>
    <n v="5"/>
    <n v="2"/>
    <n v="107507.7"/>
    <x v="1"/>
    <x v="1"/>
    <x v="0"/>
  </r>
  <r>
    <x v="299"/>
    <d v="2025-04-16T00:00:00"/>
    <x v="2"/>
    <x v="2"/>
    <x v="0"/>
    <s v="Chennai"/>
    <x v="0"/>
    <s v="Finance"/>
    <x v="0"/>
    <s v="Grey"/>
    <x v="19"/>
    <n v="1"/>
    <n v="122686"/>
    <n v="0.111"/>
    <n v="0.111"/>
    <n v="122686"/>
    <n v="13618.15"/>
    <n v="109067.85"/>
    <n v="4"/>
    <n v="171"/>
    <x v="14"/>
    <n v="3"/>
    <n v="3"/>
    <n v="3"/>
    <n v="109067.85"/>
    <x v="7"/>
    <x v="7"/>
    <x v="3"/>
  </r>
  <r>
    <x v="300"/>
    <d v="2025-05-21T00:00:00"/>
    <x v="0"/>
    <x v="0"/>
    <x v="0"/>
    <s v="Pune"/>
    <x v="1"/>
    <s v="Emi"/>
    <x v="1"/>
    <s v="Black"/>
    <x v="9"/>
    <n v="1"/>
    <n v="129197"/>
    <n v="5.3999999999999999E-2"/>
    <n v="5.3999999999999999E-2"/>
    <n v="129197"/>
    <n v="6976.64"/>
    <n v="122220.36"/>
    <n v="3"/>
    <n v="155"/>
    <x v="7"/>
    <n v="4"/>
    <n v="4"/>
    <n v="5"/>
    <n v="122220.36"/>
    <x v="6"/>
    <x v="6"/>
    <x v="3"/>
  </r>
  <r>
    <x v="301"/>
    <d v="2025-12-04T00:00:00"/>
    <x v="5"/>
    <x v="12"/>
    <x v="0"/>
    <s v="Bengaluru"/>
    <x v="3"/>
    <s v="Cash"/>
    <x v="2"/>
    <s v="Grey"/>
    <x v="19"/>
    <n v="1"/>
    <n v="134146"/>
    <n v="7.3999999999999996E-2"/>
    <n v="7.3999999999999996E-2"/>
    <n v="134146"/>
    <n v="9926.7999999999993"/>
    <n v="124219.2"/>
    <n v="2"/>
    <n v="145"/>
    <x v="7"/>
    <n v="8"/>
    <n v="8"/>
    <n v="5"/>
    <n v="124219.2"/>
    <x v="0"/>
    <x v="0"/>
    <x v="0"/>
  </r>
  <r>
    <x v="302"/>
    <d v="2025-10-15T00:00:00"/>
    <x v="0"/>
    <x v="11"/>
    <x v="2"/>
    <s v="Ahmedabad"/>
    <x v="3"/>
    <s v="Emi"/>
    <x v="1"/>
    <s v="Grey"/>
    <x v="27"/>
    <n v="2"/>
    <n v="139659"/>
    <n v="6.3E-2"/>
    <n v="6.3E-2"/>
    <n v="279318"/>
    <n v="17597.03"/>
    <n v="261720.97"/>
    <n v="3"/>
    <n v="177"/>
    <x v="9"/>
    <n v="8"/>
    <n v="8"/>
    <n v="2"/>
    <n v="130860.485"/>
    <x v="1"/>
    <x v="1"/>
    <x v="0"/>
  </r>
  <r>
    <x v="303"/>
    <d v="2025-11-02T00:00:00"/>
    <x v="0"/>
    <x v="0"/>
    <x v="0"/>
    <s v="Ahmedabad"/>
    <x v="1"/>
    <s v="Emi"/>
    <x v="1"/>
    <s v="White"/>
    <x v="21"/>
    <n v="1"/>
    <n v="120711"/>
    <n v="6.9000000000000006E-2"/>
    <n v="6.9000000000000006E-2"/>
    <n v="120711"/>
    <n v="8329.06"/>
    <n v="112381.94"/>
    <n v="3"/>
    <n v="178"/>
    <x v="1"/>
    <n v="8"/>
    <n v="8"/>
    <n v="3"/>
    <n v="112381.94"/>
    <x v="2"/>
    <x v="2"/>
    <x v="0"/>
  </r>
  <r>
    <x v="304"/>
    <d v="2025-06-20T00:00:00"/>
    <x v="1"/>
    <x v="1"/>
    <x v="0"/>
    <s v="Ahmedabad"/>
    <x v="3"/>
    <s v="Cash"/>
    <x v="2"/>
    <s v="Black"/>
    <x v="17"/>
    <n v="5"/>
    <n v="105480"/>
    <n v="3.5000000000000003E-2"/>
    <n v="3.5000000000000003E-2"/>
    <n v="527400"/>
    <n v="18459"/>
    <n v="508941"/>
    <n v="5"/>
    <n v="187"/>
    <x v="7"/>
    <n v="14"/>
    <n v="14"/>
    <n v="3"/>
    <n v="101788.2"/>
    <x v="9"/>
    <x v="9"/>
    <x v="3"/>
  </r>
  <r>
    <x v="305"/>
    <d v="2025-09-03T00:00:00"/>
    <x v="7"/>
    <x v="14"/>
    <x v="0"/>
    <s v="Ahmedabad"/>
    <x v="3"/>
    <s v="Finance"/>
    <x v="0"/>
    <s v="Black"/>
    <x v="10"/>
    <n v="1"/>
    <n v="107608"/>
    <n v="0.105"/>
    <n v="0.105"/>
    <n v="107608"/>
    <n v="11298.84"/>
    <n v="96309.16"/>
    <n v="2"/>
    <n v="135"/>
    <x v="14"/>
    <n v="11"/>
    <n v="11"/>
    <n v="2"/>
    <n v="96309.16"/>
    <x v="3"/>
    <x v="3"/>
    <x v="1"/>
  </r>
  <r>
    <x v="306"/>
    <d v="2025-08-14T00:00:00"/>
    <x v="1"/>
    <x v="9"/>
    <x v="1"/>
    <s v="Mumbai"/>
    <x v="3"/>
    <s v="Emi"/>
    <x v="1"/>
    <s v="Red"/>
    <x v="20"/>
    <n v="3"/>
    <n v="130985"/>
    <n v="9.8000000000000004E-2"/>
    <n v="9.8000000000000004E-2"/>
    <n v="392955"/>
    <n v="38509.589999999997"/>
    <n v="354445.41"/>
    <n v="4"/>
    <n v="181"/>
    <x v="11"/>
    <n v="3"/>
    <n v="3"/>
    <n v="5"/>
    <n v="118148.46999999999"/>
    <x v="5"/>
    <x v="5"/>
    <x v="1"/>
  </r>
  <r>
    <x v="307"/>
    <d v="2025-05-05T00:00:00"/>
    <x v="3"/>
    <x v="4"/>
    <x v="0"/>
    <s v="Hyderabad"/>
    <x v="3"/>
    <s v="Finance"/>
    <x v="0"/>
    <s v="Green"/>
    <x v="12"/>
    <n v="1"/>
    <n v="118894"/>
    <n v="7.4999999999999997E-2"/>
    <n v="7.4999999999999997E-2"/>
    <n v="118894"/>
    <n v="8917.0499999999993"/>
    <n v="109976.95"/>
    <n v="5"/>
    <n v="203"/>
    <x v="8"/>
    <n v="11"/>
    <n v="11"/>
    <n v="3"/>
    <n v="109976.95"/>
    <x v="6"/>
    <x v="6"/>
    <x v="3"/>
  </r>
  <r>
    <x v="308"/>
    <d v="2025-08-05T00:00:00"/>
    <x v="4"/>
    <x v="5"/>
    <x v="1"/>
    <s v="Ahmedabad"/>
    <x v="2"/>
    <s v="Finance"/>
    <x v="0"/>
    <s v="Green"/>
    <x v="29"/>
    <n v="1"/>
    <n v="121584"/>
    <n v="8.1000000000000003E-2"/>
    <n v="8.1000000000000003E-2"/>
    <n v="121584"/>
    <n v="9848.2999999999993"/>
    <n v="111735.7"/>
    <n v="4"/>
    <n v="192"/>
    <x v="0"/>
    <n v="12"/>
    <n v="12"/>
    <n v="2"/>
    <n v="111735.7"/>
    <x v="5"/>
    <x v="5"/>
    <x v="1"/>
  </r>
  <r>
    <x v="309"/>
    <d v="2025-12-03T00:00:00"/>
    <x v="3"/>
    <x v="4"/>
    <x v="2"/>
    <s v="Ahmedabad"/>
    <x v="1"/>
    <s v="Emi"/>
    <x v="1"/>
    <s v="Green"/>
    <x v="22"/>
    <n v="2"/>
    <n v="122150"/>
    <n v="5.3999999999999999E-2"/>
    <n v="5.3999999999999999E-2"/>
    <n v="244300"/>
    <n v="13192.2"/>
    <n v="231107.8"/>
    <n v="3"/>
    <n v="166"/>
    <x v="1"/>
    <n v="14"/>
    <n v="14"/>
    <n v="5"/>
    <n v="115553.9"/>
    <x v="0"/>
    <x v="0"/>
    <x v="0"/>
  </r>
  <r>
    <x v="310"/>
    <d v="2025-09-02T00:00:00"/>
    <x v="2"/>
    <x v="2"/>
    <x v="1"/>
    <s v="Jaipur"/>
    <x v="3"/>
    <s v="Finance"/>
    <x v="0"/>
    <s v="Black"/>
    <x v="17"/>
    <n v="2"/>
    <n v="123740"/>
    <n v="4.4999999999999998E-2"/>
    <n v="4.4999999999999998E-2"/>
    <n v="247480"/>
    <n v="11136.6"/>
    <n v="236343.4"/>
    <n v="2"/>
    <n v="160"/>
    <x v="9"/>
    <n v="12"/>
    <n v="12"/>
    <n v="5"/>
    <n v="118171.7"/>
    <x v="3"/>
    <x v="3"/>
    <x v="1"/>
  </r>
  <r>
    <x v="311"/>
    <d v="2025-11-21T00:00:00"/>
    <x v="7"/>
    <x v="16"/>
    <x v="0"/>
    <s v="Bengaluru"/>
    <x v="1"/>
    <s v="Finance"/>
    <x v="0"/>
    <s v="Blue"/>
    <x v="6"/>
    <n v="1"/>
    <n v="136309"/>
    <n v="2.9000000000000001E-2"/>
    <n v="2.9000000000000001E-2"/>
    <n v="136309"/>
    <n v="3952.96"/>
    <n v="132356.04"/>
    <n v="3"/>
    <n v="163"/>
    <x v="9"/>
    <n v="14"/>
    <n v="14"/>
    <n v="3"/>
    <n v="132356.04"/>
    <x v="2"/>
    <x v="2"/>
    <x v="0"/>
  </r>
  <r>
    <x v="312"/>
    <d v="2025-04-21T00:00:00"/>
    <x v="0"/>
    <x v="0"/>
    <x v="1"/>
    <s v="Hyderabad"/>
    <x v="3"/>
    <s v="Cash"/>
    <x v="2"/>
    <s v="Red"/>
    <x v="19"/>
    <n v="1"/>
    <n v="121015"/>
    <n v="0.106"/>
    <n v="0.106"/>
    <n v="121015"/>
    <n v="12827.59"/>
    <n v="108187.41"/>
    <n v="4"/>
    <n v="170"/>
    <x v="14"/>
    <n v="13"/>
    <n v="13"/>
    <n v="5"/>
    <n v="108187.41"/>
    <x v="7"/>
    <x v="7"/>
    <x v="3"/>
  </r>
  <r>
    <x v="313"/>
    <d v="2025-04-12T00:00:00"/>
    <x v="6"/>
    <x v="15"/>
    <x v="2"/>
    <s v="Bengaluru"/>
    <x v="1"/>
    <s v="Finance"/>
    <x v="0"/>
    <s v="White"/>
    <x v="12"/>
    <n v="1"/>
    <n v="115417"/>
    <n v="8.6999999999999994E-2"/>
    <n v="8.6999999999999994E-2"/>
    <n v="115417"/>
    <n v="10041.280000000001"/>
    <n v="105375.72"/>
    <n v="4"/>
    <n v="181"/>
    <x v="3"/>
    <n v="14"/>
    <n v="14"/>
    <n v="3"/>
    <n v="105375.72"/>
    <x v="7"/>
    <x v="7"/>
    <x v="3"/>
  </r>
  <r>
    <x v="314"/>
    <d v="2025-10-26T00:00:00"/>
    <x v="2"/>
    <x v="17"/>
    <x v="2"/>
    <s v="Kochi"/>
    <x v="0"/>
    <s v="Emi"/>
    <x v="1"/>
    <s v="Blue"/>
    <x v="29"/>
    <n v="1"/>
    <n v="188642"/>
    <n v="8.5000000000000006E-2"/>
    <n v="8.5000000000000006E-2"/>
    <n v="188642"/>
    <n v="16034.57"/>
    <n v="172607.43"/>
    <n v="5"/>
    <n v="199"/>
    <x v="15"/>
    <n v="8"/>
    <n v="8"/>
    <n v="3"/>
    <n v="172607.43"/>
    <x v="1"/>
    <x v="1"/>
    <x v="0"/>
  </r>
  <r>
    <x v="315"/>
    <d v="2025-10-02T00:00:00"/>
    <x v="7"/>
    <x v="14"/>
    <x v="2"/>
    <s v="Kolkata"/>
    <x v="3"/>
    <s v="Cash"/>
    <x v="2"/>
    <s v="Red"/>
    <x v="24"/>
    <n v="2"/>
    <n v="102408"/>
    <n v="5.0999999999999997E-2"/>
    <n v="5.0999999999999997E-2"/>
    <n v="204816"/>
    <n v="10445.620000000001"/>
    <n v="194370.38"/>
    <n v="4"/>
    <n v="201"/>
    <x v="1"/>
    <n v="9"/>
    <n v="9"/>
    <n v="5"/>
    <n v="97185.19"/>
    <x v="1"/>
    <x v="1"/>
    <x v="0"/>
  </r>
  <r>
    <x v="316"/>
    <d v="2025-05-20T00:00:00"/>
    <x v="6"/>
    <x v="8"/>
    <x v="1"/>
    <s v="Kolkata"/>
    <x v="0"/>
    <s v="Finance"/>
    <x v="0"/>
    <s v="Blue"/>
    <x v="4"/>
    <n v="1"/>
    <n v="160138"/>
    <n v="2.1999999999999999E-2"/>
    <n v="2.1999999999999999E-2"/>
    <n v="160138"/>
    <n v="3523.04"/>
    <n v="156614.96"/>
    <n v="3"/>
    <n v="151"/>
    <x v="14"/>
    <n v="7"/>
    <n v="7"/>
    <n v="5"/>
    <n v="156614.96"/>
    <x v="6"/>
    <x v="6"/>
    <x v="3"/>
  </r>
  <r>
    <x v="317"/>
    <d v="2025-08-03T00:00:00"/>
    <x v="6"/>
    <x v="15"/>
    <x v="0"/>
    <s v="Bengaluru"/>
    <x v="0"/>
    <s v="Cash"/>
    <x v="2"/>
    <s v="Blue"/>
    <x v="12"/>
    <n v="3"/>
    <n v="108296"/>
    <n v="7.8E-2"/>
    <n v="7.8E-2"/>
    <n v="324888"/>
    <n v="25341.26"/>
    <n v="299546.74"/>
    <n v="3"/>
    <n v="162"/>
    <x v="14"/>
    <n v="2"/>
    <n v="2"/>
    <n v="3"/>
    <n v="99848.91333333333"/>
    <x v="5"/>
    <x v="5"/>
    <x v="1"/>
  </r>
  <r>
    <x v="318"/>
    <d v="2025-04-03T00:00:00"/>
    <x v="6"/>
    <x v="8"/>
    <x v="0"/>
    <s v="Kolkata"/>
    <x v="3"/>
    <s v="Finance"/>
    <x v="0"/>
    <s v="Green"/>
    <x v="13"/>
    <n v="4"/>
    <n v="150493"/>
    <n v="0.11899999999999999"/>
    <n v="0.11899999999999999"/>
    <n v="601972"/>
    <n v="71634.67"/>
    <n v="530337.32999999996"/>
    <n v="2"/>
    <n v="164"/>
    <x v="10"/>
    <n v="7"/>
    <n v="7"/>
    <n v="3"/>
    <n v="132584.33249999999"/>
    <x v="7"/>
    <x v="7"/>
    <x v="3"/>
  </r>
  <r>
    <x v="319"/>
    <d v="2025-06-18T00:00:00"/>
    <x v="7"/>
    <x v="16"/>
    <x v="0"/>
    <s v="Hyderabad"/>
    <x v="3"/>
    <s v="Emi"/>
    <x v="1"/>
    <s v="Green"/>
    <x v="24"/>
    <n v="1"/>
    <n v="136744"/>
    <n v="7.2999999999999995E-2"/>
    <n v="7.2999999999999995E-2"/>
    <n v="136744"/>
    <n v="9982.31"/>
    <n v="126761.69"/>
    <n v="2"/>
    <n v="141"/>
    <x v="1"/>
    <n v="13"/>
    <n v="13"/>
    <n v="2"/>
    <n v="126761.69"/>
    <x v="9"/>
    <x v="9"/>
    <x v="3"/>
  </r>
  <r>
    <x v="320"/>
    <d v="2025-03-12T00:00:00"/>
    <x v="3"/>
    <x v="3"/>
    <x v="2"/>
    <s v="Jaipur"/>
    <x v="0"/>
    <s v="Cash"/>
    <x v="2"/>
    <s v="Blue"/>
    <x v="22"/>
    <n v="2"/>
    <n v="159310"/>
    <n v="7.8E-2"/>
    <n v="7.8E-2"/>
    <n v="318620"/>
    <n v="24852.36"/>
    <n v="293767.64"/>
    <n v="3"/>
    <n v="166"/>
    <x v="14"/>
    <n v="12"/>
    <n v="12"/>
    <n v="5"/>
    <n v="146883.82"/>
    <x v="10"/>
    <x v="10"/>
    <x v="2"/>
  </r>
  <r>
    <x v="321"/>
    <d v="2025-01-31T00:00:00"/>
    <x v="2"/>
    <x v="2"/>
    <x v="0"/>
    <s v="Hyderabad"/>
    <x v="0"/>
    <s v="Finance"/>
    <x v="0"/>
    <s v="Grey"/>
    <x v="2"/>
    <n v="2"/>
    <n v="118910"/>
    <n v="0.114"/>
    <n v="0.114"/>
    <n v="237820"/>
    <n v="27111.48"/>
    <n v="210708.52"/>
    <n v="4"/>
    <n v="196"/>
    <x v="9"/>
    <n v="7"/>
    <n v="7"/>
    <n v="5"/>
    <n v="105354.26"/>
    <x v="11"/>
    <x v="11"/>
    <x v="2"/>
  </r>
  <r>
    <x v="322"/>
    <d v="2025-12-12T00:00:00"/>
    <x v="4"/>
    <x v="6"/>
    <x v="1"/>
    <s v="Kochi"/>
    <x v="3"/>
    <s v="Finance"/>
    <x v="0"/>
    <s v="Grey"/>
    <x v="25"/>
    <n v="5"/>
    <n v="101304"/>
    <n v="9.1999999999999998E-2"/>
    <n v="9.1999999999999998E-2"/>
    <n v="506520"/>
    <n v="46599.839999999997"/>
    <n v="459920.16"/>
    <n v="2"/>
    <n v="151"/>
    <x v="21"/>
    <n v="6"/>
    <n v="6"/>
    <n v="3"/>
    <n v="91984.031999999992"/>
    <x v="0"/>
    <x v="0"/>
    <x v="0"/>
  </r>
  <r>
    <x v="323"/>
    <d v="2025-06-04T00:00:00"/>
    <x v="6"/>
    <x v="8"/>
    <x v="1"/>
    <s v="Pune"/>
    <x v="0"/>
    <s v="Emi"/>
    <x v="1"/>
    <s v="Blue"/>
    <x v="28"/>
    <n v="1"/>
    <n v="159351"/>
    <n v="2.1000000000000001E-2"/>
    <n v="2.1000000000000001E-2"/>
    <n v="159351"/>
    <n v="3346.37"/>
    <n v="156004.63"/>
    <n v="3"/>
    <n v="140"/>
    <x v="6"/>
    <n v="3"/>
    <n v="3"/>
    <n v="5"/>
    <n v="156004.63"/>
    <x v="9"/>
    <x v="9"/>
    <x v="3"/>
  </r>
  <r>
    <x v="324"/>
    <d v="2025-07-05T00:00:00"/>
    <x v="3"/>
    <x v="4"/>
    <x v="0"/>
    <s v="Pune"/>
    <x v="0"/>
    <s v="Cash"/>
    <x v="2"/>
    <s v="Black"/>
    <x v="14"/>
    <n v="1"/>
    <n v="113612"/>
    <n v="0.10199999999999999"/>
    <n v="0.10199999999999999"/>
    <n v="113612"/>
    <n v="11588.42"/>
    <n v="102023.58"/>
    <n v="4"/>
    <n v="160"/>
    <x v="2"/>
    <n v="14"/>
    <n v="14"/>
    <n v="3"/>
    <n v="102023.58"/>
    <x v="8"/>
    <x v="8"/>
    <x v="1"/>
  </r>
  <r>
    <x v="325"/>
    <d v="2025-05-24T00:00:00"/>
    <x v="0"/>
    <x v="11"/>
    <x v="2"/>
    <s v="Chennai"/>
    <x v="0"/>
    <s v="Cash"/>
    <x v="2"/>
    <s v="Blue"/>
    <x v="10"/>
    <n v="4"/>
    <n v="134826"/>
    <n v="6.2E-2"/>
    <n v="6.2E-2"/>
    <n v="539304"/>
    <n v="33436.85"/>
    <n v="505867.15"/>
    <n v="2"/>
    <n v="141"/>
    <x v="13"/>
    <n v="7"/>
    <n v="7"/>
    <n v="2"/>
    <n v="126466.78750000001"/>
    <x v="6"/>
    <x v="6"/>
    <x v="3"/>
  </r>
  <r>
    <x v="326"/>
    <d v="2025-09-28T00:00:00"/>
    <x v="2"/>
    <x v="2"/>
    <x v="0"/>
    <s v="Bengaluru"/>
    <x v="2"/>
    <s v="Emi"/>
    <x v="1"/>
    <s v="White"/>
    <x v="9"/>
    <n v="2"/>
    <n v="117715"/>
    <n v="3.4000000000000002E-2"/>
    <n v="3.4000000000000002E-2"/>
    <n v="235430"/>
    <n v="8004.62"/>
    <n v="227425.38"/>
    <n v="4"/>
    <n v="188"/>
    <x v="4"/>
    <n v="13"/>
    <n v="13"/>
    <n v="5"/>
    <n v="113712.69"/>
    <x v="3"/>
    <x v="3"/>
    <x v="1"/>
  </r>
  <r>
    <x v="327"/>
    <d v="2025-06-28T00:00:00"/>
    <x v="0"/>
    <x v="0"/>
    <x v="1"/>
    <s v="Kolkata"/>
    <x v="2"/>
    <s v="Emi"/>
    <x v="1"/>
    <s v="Green"/>
    <x v="0"/>
    <n v="1"/>
    <n v="113995"/>
    <n v="7.6999999999999999E-2"/>
    <n v="7.6999999999999999E-2"/>
    <n v="113995"/>
    <n v="8777.61"/>
    <n v="105217.39"/>
    <n v="4"/>
    <n v="183"/>
    <x v="2"/>
    <n v="14"/>
    <n v="14"/>
    <n v="2"/>
    <n v="105217.39"/>
    <x v="9"/>
    <x v="9"/>
    <x v="3"/>
  </r>
  <r>
    <x v="328"/>
    <d v="2025-04-23T00:00:00"/>
    <x v="5"/>
    <x v="12"/>
    <x v="1"/>
    <s v="Kochi"/>
    <x v="0"/>
    <s v="Finance"/>
    <x v="0"/>
    <s v="Black"/>
    <x v="27"/>
    <n v="2"/>
    <n v="123029"/>
    <n v="0.115"/>
    <n v="0.115"/>
    <n v="246058"/>
    <n v="28296.67"/>
    <n v="217761.33"/>
    <n v="5"/>
    <n v="194"/>
    <x v="8"/>
    <n v="13"/>
    <n v="13"/>
    <n v="2"/>
    <n v="108880.66499999999"/>
    <x v="7"/>
    <x v="7"/>
    <x v="3"/>
  </r>
  <r>
    <x v="329"/>
    <d v="2025-06-20T00:00:00"/>
    <x v="5"/>
    <x v="13"/>
    <x v="1"/>
    <s v="Bengaluru"/>
    <x v="1"/>
    <s v="Emi"/>
    <x v="1"/>
    <s v="Black"/>
    <x v="26"/>
    <n v="2"/>
    <n v="140674"/>
    <n v="2.5000000000000001E-2"/>
    <n v="2.5000000000000001E-2"/>
    <n v="281348"/>
    <n v="7033.7"/>
    <n v="274314.3"/>
    <n v="5"/>
    <n v="196"/>
    <x v="7"/>
    <n v="12"/>
    <n v="12"/>
    <n v="5"/>
    <n v="137157.15"/>
    <x v="9"/>
    <x v="9"/>
    <x v="3"/>
  </r>
  <r>
    <x v="330"/>
    <d v="2025-08-08T00:00:00"/>
    <x v="1"/>
    <x v="1"/>
    <x v="1"/>
    <s v="Chennai"/>
    <x v="3"/>
    <s v="Finance"/>
    <x v="0"/>
    <s v="White"/>
    <x v="22"/>
    <n v="1"/>
    <n v="106127"/>
    <n v="0.03"/>
    <n v="0.03"/>
    <n v="106127"/>
    <n v="3183.81"/>
    <n v="102943.19"/>
    <n v="5"/>
    <n v="218"/>
    <x v="1"/>
    <n v="8"/>
    <n v="8"/>
    <n v="3"/>
    <n v="102943.19"/>
    <x v="5"/>
    <x v="5"/>
    <x v="1"/>
  </r>
  <r>
    <x v="331"/>
    <d v="2025-10-28T00:00:00"/>
    <x v="7"/>
    <x v="10"/>
    <x v="1"/>
    <s v="Kochi"/>
    <x v="0"/>
    <s v="Finance"/>
    <x v="0"/>
    <s v="Green"/>
    <x v="15"/>
    <n v="1"/>
    <n v="122951"/>
    <n v="2.7E-2"/>
    <n v="2.7E-2"/>
    <n v="122951"/>
    <n v="3319.68"/>
    <n v="119631.32"/>
    <n v="3"/>
    <n v="178"/>
    <x v="5"/>
    <n v="4"/>
    <n v="4"/>
    <n v="5"/>
    <n v="119631.32"/>
    <x v="1"/>
    <x v="1"/>
    <x v="0"/>
  </r>
  <r>
    <x v="332"/>
    <d v="2025-08-21T00:00:00"/>
    <x v="3"/>
    <x v="4"/>
    <x v="1"/>
    <s v="Bengaluru"/>
    <x v="1"/>
    <s v="Emi"/>
    <x v="1"/>
    <s v="Red"/>
    <x v="16"/>
    <n v="2"/>
    <n v="125226"/>
    <n v="8.1000000000000003E-2"/>
    <n v="8.1000000000000003E-2"/>
    <n v="250452"/>
    <n v="20286.61"/>
    <n v="230165.39"/>
    <n v="2"/>
    <n v="152"/>
    <x v="7"/>
    <n v="13"/>
    <n v="13"/>
    <n v="5"/>
    <n v="115082.69500000001"/>
    <x v="5"/>
    <x v="5"/>
    <x v="1"/>
  </r>
  <r>
    <x v="333"/>
    <d v="2025-02-06T00:00:00"/>
    <x v="6"/>
    <x v="15"/>
    <x v="2"/>
    <s v="Ahmedabad"/>
    <x v="1"/>
    <s v="Emi"/>
    <x v="1"/>
    <s v="Green"/>
    <x v="14"/>
    <n v="2"/>
    <n v="105555"/>
    <n v="6.2E-2"/>
    <n v="6.2E-2"/>
    <n v="211110"/>
    <n v="13088.82"/>
    <n v="198021.18"/>
    <n v="4"/>
    <n v="188"/>
    <x v="21"/>
    <n v="7"/>
    <n v="7"/>
    <n v="3"/>
    <n v="99010.59"/>
    <x v="4"/>
    <x v="4"/>
    <x v="2"/>
  </r>
  <r>
    <x v="334"/>
    <d v="2025-03-06T00:00:00"/>
    <x v="7"/>
    <x v="16"/>
    <x v="2"/>
    <s v="Delhi"/>
    <x v="3"/>
    <s v="Cash"/>
    <x v="2"/>
    <s v="Blue"/>
    <x v="15"/>
    <n v="1"/>
    <n v="137535"/>
    <n v="9.2999999999999999E-2"/>
    <n v="9.2999999999999999E-2"/>
    <n v="137535"/>
    <n v="12790.75"/>
    <n v="124744.25"/>
    <n v="4"/>
    <n v="189"/>
    <x v="9"/>
    <n v="3"/>
    <n v="3"/>
    <n v="5"/>
    <n v="124744.25"/>
    <x v="10"/>
    <x v="10"/>
    <x v="2"/>
  </r>
  <r>
    <x v="335"/>
    <d v="2025-03-29T00:00:00"/>
    <x v="3"/>
    <x v="4"/>
    <x v="1"/>
    <s v="Jaipur"/>
    <x v="2"/>
    <s v="Cash"/>
    <x v="2"/>
    <s v="White"/>
    <x v="26"/>
    <n v="2"/>
    <n v="113223"/>
    <n v="5.5E-2"/>
    <n v="5.5E-2"/>
    <n v="226446"/>
    <n v="12454.53"/>
    <n v="213991.47"/>
    <n v="4"/>
    <n v="162"/>
    <x v="15"/>
    <n v="10"/>
    <n v="10"/>
    <n v="2"/>
    <n v="106995.735"/>
    <x v="10"/>
    <x v="10"/>
    <x v="2"/>
  </r>
  <r>
    <x v="336"/>
    <d v="2025-03-18T00:00:00"/>
    <x v="1"/>
    <x v="9"/>
    <x v="1"/>
    <s v="Pune"/>
    <x v="2"/>
    <s v="Cash"/>
    <x v="2"/>
    <s v="Grey"/>
    <x v="29"/>
    <n v="1"/>
    <n v="127974"/>
    <n v="0.111"/>
    <n v="0.111"/>
    <n v="127974"/>
    <n v="14205.11"/>
    <n v="113768.89"/>
    <n v="2"/>
    <n v="134"/>
    <x v="1"/>
    <n v="11"/>
    <n v="11"/>
    <n v="3"/>
    <n v="113768.89"/>
    <x v="10"/>
    <x v="10"/>
    <x v="2"/>
  </r>
  <r>
    <x v="337"/>
    <d v="2025-03-16T00:00:00"/>
    <x v="6"/>
    <x v="15"/>
    <x v="1"/>
    <s v="Bengaluru"/>
    <x v="0"/>
    <s v="Cash"/>
    <x v="2"/>
    <s v="Red"/>
    <x v="1"/>
    <n v="2"/>
    <n v="117898"/>
    <n v="3.6999999999999998E-2"/>
    <n v="3.6999999999999998E-2"/>
    <n v="235796"/>
    <n v="8724.4500000000007"/>
    <n v="227071.55"/>
    <n v="3"/>
    <n v="166"/>
    <x v="5"/>
    <n v="2"/>
    <n v="2"/>
    <n v="2"/>
    <n v="113535.77499999999"/>
    <x v="10"/>
    <x v="10"/>
    <x v="2"/>
  </r>
  <r>
    <x v="338"/>
    <d v="2025-05-06T00:00:00"/>
    <x v="4"/>
    <x v="6"/>
    <x v="1"/>
    <s v="Kochi"/>
    <x v="2"/>
    <s v="Cash"/>
    <x v="2"/>
    <s v="White"/>
    <x v="12"/>
    <n v="2"/>
    <n v="111792"/>
    <n v="0.08"/>
    <n v="0.08"/>
    <n v="223584"/>
    <n v="17886.72"/>
    <n v="205697.28"/>
    <n v="4"/>
    <n v="200"/>
    <x v="7"/>
    <n v="4"/>
    <n v="4"/>
    <n v="2"/>
    <n v="102848.64"/>
    <x v="6"/>
    <x v="6"/>
    <x v="3"/>
  </r>
  <r>
    <x v="339"/>
    <d v="2025-02-03T00:00:00"/>
    <x v="3"/>
    <x v="4"/>
    <x v="0"/>
    <s v="Jaipur"/>
    <x v="1"/>
    <s v="Finance"/>
    <x v="0"/>
    <s v="Red"/>
    <x v="11"/>
    <n v="1"/>
    <n v="122780"/>
    <n v="7.9000000000000001E-2"/>
    <n v="7.9000000000000001E-2"/>
    <n v="122780"/>
    <n v="9699.6200000000008"/>
    <n v="113080.38"/>
    <n v="2"/>
    <n v="141"/>
    <x v="15"/>
    <n v="11"/>
    <n v="11"/>
    <n v="3"/>
    <n v="113080.38"/>
    <x v="4"/>
    <x v="4"/>
    <x v="2"/>
  </r>
  <r>
    <x v="340"/>
    <d v="2025-11-25T00:00:00"/>
    <x v="3"/>
    <x v="3"/>
    <x v="1"/>
    <s v="Kolkata"/>
    <x v="3"/>
    <s v="Emi"/>
    <x v="1"/>
    <s v="White"/>
    <x v="22"/>
    <n v="2"/>
    <n v="149136"/>
    <n v="0.106"/>
    <n v="0.106"/>
    <n v="298272"/>
    <n v="31616.83"/>
    <n v="266655.17"/>
    <n v="3"/>
    <n v="151"/>
    <x v="0"/>
    <n v="4"/>
    <n v="4"/>
    <n v="2"/>
    <n v="133327.58499999999"/>
    <x v="2"/>
    <x v="2"/>
    <x v="0"/>
  </r>
  <r>
    <x v="341"/>
    <d v="2025-01-13T00:00:00"/>
    <x v="7"/>
    <x v="16"/>
    <x v="1"/>
    <s v="Bengaluru"/>
    <x v="3"/>
    <s v="Cash"/>
    <x v="2"/>
    <s v="White"/>
    <x v="15"/>
    <n v="1"/>
    <n v="146023"/>
    <n v="4.1000000000000002E-2"/>
    <n v="4.1000000000000002E-2"/>
    <n v="146023"/>
    <n v="5986.94"/>
    <n v="140036.06"/>
    <n v="3"/>
    <n v="147"/>
    <x v="2"/>
    <n v="10"/>
    <n v="10"/>
    <n v="3"/>
    <n v="140036.06"/>
    <x v="11"/>
    <x v="11"/>
    <x v="2"/>
  </r>
  <r>
    <x v="342"/>
    <d v="2025-05-21T00:00:00"/>
    <x v="3"/>
    <x v="4"/>
    <x v="2"/>
    <s v="Chennai"/>
    <x v="2"/>
    <s v="Cash"/>
    <x v="2"/>
    <s v="Green"/>
    <x v="24"/>
    <n v="2"/>
    <n v="116816"/>
    <n v="9.6000000000000002E-2"/>
    <n v="9.6000000000000002E-2"/>
    <n v="233632"/>
    <n v="22428.67"/>
    <n v="211203.33"/>
    <n v="4"/>
    <n v="172"/>
    <x v="12"/>
    <n v="8"/>
    <n v="8"/>
    <n v="5"/>
    <n v="105601.66499999999"/>
    <x v="6"/>
    <x v="6"/>
    <x v="3"/>
  </r>
  <r>
    <x v="343"/>
    <d v="2025-08-11T00:00:00"/>
    <x v="2"/>
    <x v="2"/>
    <x v="2"/>
    <s v="Pune"/>
    <x v="2"/>
    <s v="Finance"/>
    <x v="0"/>
    <s v="Blue"/>
    <x v="28"/>
    <n v="2"/>
    <n v="134398"/>
    <n v="5.8999999999999997E-2"/>
    <n v="5.8999999999999997E-2"/>
    <n v="268796"/>
    <n v="15858.96"/>
    <n v="252937.04"/>
    <n v="3"/>
    <n v="178"/>
    <x v="6"/>
    <n v="8"/>
    <n v="8"/>
    <n v="3"/>
    <n v="126468.52"/>
    <x v="5"/>
    <x v="5"/>
    <x v="1"/>
  </r>
  <r>
    <x v="344"/>
    <d v="2025-12-06T00:00:00"/>
    <x v="2"/>
    <x v="17"/>
    <x v="2"/>
    <s v="Jaipur"/>
    <x v="1"/>
    <s v="Emi"/>
    <x v="1"/>
    <s v="Blue"/>
    <x v="8"/>
    <n v="2"/>
    <n v="175052"/>
    <n v="6.0999999999999999E-2"/>
    <n v="6.0999999999999999E-2"/>
    <n v="350104"/>
    <n v="21356.34"/>
    <n v="328747.65999999997"/>
    <n v="3"/>
    <n v="171"/>
    <x v="5"/>
    <n v="9"/>
    <n v="9"/>
    <n v="2"/>
    <n v="164373.82999999999"/>
    <x v="0"/>
    <x v="0"/>
    <x v="0"/>
  </r>
  <r>
    <x v="345"/>
    <d v="2025-12-24T00:00:00"/>
    <x v="6"/>
    <x v="15"/>
    <x v="0"/>
    <s v="Delhi"/>
    <x v="2"/>
    <s v="Cash"/>
    <x v="2"/>
    <s v="Grey"/>
    <x v="2"/>
    <n v="2"/>
    <n v="103793"/>
    <n v="9.9000000000000005E-2"/>
    <n v="9.9000000000000005E-2"/>
    <n v="207586"/>
    <n v="20551.009999999998"/>
    <n v="187034.99"/>
    <n v="5"/>
    <n v="209"/>
    <x v="5"/>
    <n v="3"/>
    <n v="3"/>
    <n v="5"/>
    <n v="93517.494999999995"/>
    <x v="0"/>
    <x v="0"/>
    <x v="0"/>
  </r>
  <r>
    <x v="346"/>
    <d v="2025-02-03T00:00:00"/>
    <x v="2"/>
    <x v="17"/>
    <x v="0"/>
    <s v="Bengaluru"/>
    <x v="0"/>
    <s v="Finance"/>
    <x v="0"/>
    <s v="Red"/>
    <x v="7"/>
    <n v="1"/>
    <n v="192177"/>
    <n v="0.03"/>
    <n v="0.03"/>
    <n v="192177"/>
    <n v="5765.31"/>
    <n v="186411.69"/>
    <n v="5"/>
    <n v="195"/>
    <x v="8"/>
    <n v="9"/>
    <n v="9"/>
    <n v="5"/>
    <n v="186411.69"/>
    <x v="4"/>
    <x v="4"/>
    <x v="2"/>
  </r>
  <r>
    <x v="347"/>
    <d v="2025-07-08T00:00:00"/>
    <x v="2"/>
    <x v="17"/>
    <x v="2"/>
    <s v="Kolkata"/>
    <x v="3"/>
    <s v="Cash"/>
    <x v="2"/>
    <s v="Black"/>
    <x v="16"/>
    <n v="1"/>
    <n v="193200"/>
    <n v="5.2999999999999999E-2"/>
    <n v="5.2999999999999999E-2"/>
    <n v="193200"/>
    <n v="10239.6"/>
    <n v="182960.4"/>
    <n v="4"/>
    <n v="190"/>
    <x v="1"/>
    <n v="5"/>
    <n v="5"/>
    <n v="3"/>
    <n v="182960.4"/>
    <x v="8"/>
    <x v="8"/>
    <x v="1"/>
  </r>
  <r>
    <x v="348"/>
    <d v="2025-11-08T00:00:00"/>
    <x v="0"/>
    <x v="0"/>
    <x v="2"/>
    <s v="Kochi"/>
    <x v="3"/>
    <s v="Cash"/>
    <x v="2"/>
    <s v="White"/>
    <x v="27"/>
    <n v="2"/>
    <n v="123299"/>
    <n v="8.4000000000000005E-2"/>
    <n v="8.4000000000000005E-2"/>
    <n v="246598"/>
    <n v="20714.23"/>
    <n v="225883.77"/>
    <n v="3"/>
    <n v="163"/>
    <x v="16"/>
    <n v="8"/>
    <n v="8"/>
    <n v="2"/>
    <n v="112941.88499999999"/>
    <x v="2"/>
    <x v="2"/>
    <x v="0"/>
  </r>
  <r>
    <x v="349"/>
    <d v="2025-07-06T00:00:00"/>
    <x v="4"/>
    <x v="6"/>
    <x v="2"/>
    <s v="Delhi"/>
    <x v="1"/>
    <s v="Emi"/>
    <x v="1"/>
    <s v="White"/>
    <x v="28"/>
    <n v="2"/>
    <n v="105475"/>
    <n v="0.10299999999999999"/>
    <n v="0.10299999999999999"/>
    <n v="210950"/>
    <n v="21727.85"/>
    <n v="189222.15"/>
    <n v="4"/>
    <n v="174"/>
    <x v="9"/>
    <n v="5"/>
    <n v="5"/>
    <n v="3"/>
    <n v="94611.074999999997"/>
    <x v="8"/>
    <x v="8"/>
    <x v="1"/>
  </r>
  <r>
    <x v="350"/>
    <d v="2025-12-01T00:00:00"/>
    <x v="6"/>
    <x v="8"/>
    <x v="0"/>
    <s v="Ahmedabad"/>
    <x v="1"/>
    <s v="Cash"/>
    <x v="2"/>
    <s v="Green"/>
    <x v="9"/>
    <n v="1"/>
    <n v="148345"/>
    <n v="0.106"/>
    <n v="0.106"/>
    <n v="148345"/>
    <n v="15724.57"/>
    <n v="132620.43"/>
    <n v="3"/>
    <n v="175"/>
    <x v="10"/>
    <n v="14"/>
    <n v="14"/>
    <n v="2"/>
    <n v="132620.43"/>
    <x v="0"/>
    <x v="0"/>
    <x v="0"/>
  </r>
  <r>
    <x v="351"/>
    <d v="2025-01-01T00:00:00"/>
    <x v="5"/>
    <x v="7"/>
    <x v="1"/>
    <s v="Jaipur"/>
    <x v="0"/>
    <s v="Finance"/>
    <x v="0"/>
    <s v="Blue"/>
    <x v="17"/>
    <n v="1"/>
    <n v="141489"/>
    <n v="7.2999999999999995E-2"/>
    <n v="7.2999999999999995E-2"/>
    <n v="141489"/>
    <n v="10328.700000000001"/>
    <n v="131160.29999999999"/>
    <n v="3"/>
    <n v="162"/>
    <x v="19"/>
    <n v="8"/>
    <n v="8"/>
    <n v="5"/>
    <n v="131160.29999999999"/>
    <x v="11"/>
    <x v="11"/>
    <x v="2"/>
  </r>
  <r>
    <x v="352"/>
    <d v="2025-12-23T00:00:00"/>
    <x v="7"/>
    <x v="16"/>
    <x v="1"/>
    <s v="Delhi"/>
    <x v="1"/>
    <s v="Finance"/>
    <x v="0"/>
    <s v="White"/>
    <x v="27"/>
    <n v="2"/>
    <n v="143269"/>
    <n v="6.2E-2"/>
    <n v="6.2E-2"/>
    <n v="286538"/>
    <n v="17765.36"/>
    <n v="268772.64"/>
    <n v="3"/>
    <n v="156"/>
    <x v="1"/>
    <n v="3"/>
    <n v="3"/>
    <n v="3"/>
    <n v="134386.32"/>
    <x v="0"/>
    <x v="0"/>
    <x v="0"/>
  </r>
  <r>
    <x v="353"/>
    <d v="2025-12-16T00:00:00"/>
    <x v="4"/>
    <x v="6"/>
    <x v="1"/>
    <s v="Kochi"/>
    <x v="3"/>
    <s v="Finance"/>
    <x v="0"/>
    <s v="Black"/>
    <x v="21"/>
    <n v="2"/>
    <n v="113337"/>
    <n v="6.4000000000000001E-2"/>
    <n v="6.4000000000000001E-2"/>
    <n v="226674"/>
    <n v="14507.14"/>
    <n v="212166.86"/>
    <n v="5"/>
    <n v="194"/>
    <x v="8"/>
    <n v="9"/>
    <n v="9"/>
    <n v="2"/>
    <n v="106083.43"/>
    <x v="0"/>
    <x v="0"/>
    <x v="0"/>
  </r>
  <r>
    <x v="354"/>
    <d v="2025-11-16T00:00:00"/>
    <x v="3"/>
    <x v="4"/>
    <x v="1"/>
    <s v="Mumbai"/>
    <x v="2"/>
    <s v="Emi"/>
    <x v="1"/>
    <s v="Blue"/>
    <x v="6"/>
    <n v="1"/>
    <n v="126613"/>
    <n v="9.5000000000000001E-2"/>
    <n v="9.5000000000000001E-2"/>
    <n v="126613"/>
    <n v="12028.24"/>
    <n v="114584.76"/>
    <n v="4"/>
    <n v="186"/>
    <x v="1"/>
    <n v="2"/>
    <n v="2"/>
    <n v="2"/>
    <n v="114584.76"/>
    <x v="2"/>
    <x v="2"/>
    <x v="0"/>
  </r>
  <r>
    <x v="355"/>
    <d v="2025-04-15T00:00:00"/>
    <x v="3"/>
    <x v="4"/>
    <x v="0"/>
    <s v="Pune"/>
    <x v="3"/>
    <s v="Cash"/>
    <x v="2"/>
    <s v="Grey"/>
    <x v="21"/>
    <n v="2"/>
    <n v="128219"/>
    <n v="3.1E-2"/>
    <n v="3.1E-2"/>
    <n v="256438"/>
    <n v="7949.58"/>
    <n v="248488.42"/>
    <n v="3"/>
    <n v="153"/>
    <x v="6"/>
    <n v="2"/>
    <n v="2"/>
    <n v="2"/>
    <n v="124244.21"/>
    <x v="7"/>
    <x v="7"/>
    <x v="3"/>
  </r>
  <r>
    <x v="356"/>
    <d v="2025-03-20T00:00:00"/>
    <x v="0"/>
    <x v="11"/>
    <x v="0"/>
    <s v="Delhi"/>
    <x v="1"/>
    <s v="Finance"/>
    <x v="0"/>
    <s v="Black"/>
    <x v="9"/>
    <n v="3"/>
    <n v="144763"/>
    <n v="2.3E-2"/>
    <n v="2.3E-2"/>
    <n v="434289"/>
    <n v="9988.65"/>
    <n v="424300.35"/>
    <n v="4"/>
    <n v="189"/>
    <x v="12"/>
    <n v="7"/>
    <n v="7"/>
    <n v="3"/>
    <n v="141433.44999999998"/>
    <x v="10"/>
    <x v="10"/>
    <x v="2"/>
  </r>
  <r>
    <x v="357"/>
    <d v="2025-10-12T00:00:00"/>
    <x v="7"/>
    <x v="14"/>
    <x v="0"/>
    <s v="Ahmedabad"/>
    <x v="3"/>
    <s v="Finance"/>
    <x v="0"/>
    <s v="Black"/>
    <x v="13"/>
    <n v="2"/>
    <n v="103780"/>
    <n v="2.1000000000000001E-2"/>
    <n v="2.1000000000000001E-2"/>
    <n v="207560"/>
    <n v="4358.76"/>
    <n v="203201.24"/>
    <n v="3"/>
    <n v="171"/>
    <x v="7"/>
    <n v="5"/>
    <n v="5"/>
    <n v="5"/>
    <n v="101600.62"/>
    <x v="1"/>
    <x v="1"/>
    <x v="0"/>
  </r>
  <r>
    <x v="358"/>
    <d v="2025-03-24T00:00:00"/>
    <x v="1"/>
    <x v="1"/>
    <x v="1"/>
    <s v="Kochi"/>
    <x v="0"/>
    <s v="Cash"/>
    <x v="2"/>
    <s v="Green"/>
    <x v="12"/>
    <n v="1"/>
    <n v="104345"/>
    <n v="4.2000000000000003E-2"/>
    <n v="4.2000000000000003E-2"/>
    <n v="104345"/>
    <n v="4382.49"/>
    <n v="99962.51"/>
    <n v="3"/>
    <n v="168"/>
    <x v="16"/>
    <n v="14"/>
    <n v="14"/>
    <n v="5"/>
    <n v="99962.51"/>
    <x v="10"/>
    <x v="10"/>
    <x v="2"/>
  </r>
  <r>
    <x v="359"/>
    <d v="2025-05-02T00:00:00"/>
    <x v="7"/>
    <x v="14"/>
    <x v="0"/>
    <s v="Bengaluru"/>
    <x v="0"/>
    <s v="Cash"/>
    <x v="2"/>
    <s v="Black"/>
    <x v="9"/>
    <n v="1"/>
    <n v="103409"/>
    <n v="3.5999999999999997E-2"/>
    <n v="3.5999999999999997E-2"/>
    <n v="103409"/>
    <n v="3722.72"/>
    <n v="99686.28"/>
    <n v="4"/>
    <n v="185"/>
    <x v="0"/>
    <n v="4"/>
    <n v="4"/>
    <n v="2"/>
    <n v="99686.28"/>
    <x v="6"/>
    <x v="6"/>
    <x v="3"/>
  </r>
  <r>
    <x v="360"/>
    <d v="2025-07-17T00:00:00"/>
    <x v="4"/>
    <x v="6"/>
    <x v="1"/>
    <s v="Hyderabad"/>
    <x v="0"/>
    <s v="Emi"/>
    <x v="1"/>
    <s v="Black"/>
    <x v="1"/>
    <n v="1"/>
    <n v="112745"/>
    <n v="4.4999999999999998E-2"/>
    <n v="4.4999999999999998E-2"/>
    <n v="112745"/>
    <n v="5073.5200000000004"/>
    <n v="107671.48"/>
    <n v="5"/>
    <n v="203"/>
    <x v="8"/>
    <n v="9"/>
    <n v="9"/>
    <n v="3"/>
    <n v="107671.48"/>
    <x v="8"/>
    <x v="8"/>
    <x v="1"/>
  </r>
  <r>
    <x v="361"/>
    <d v="2025-06-30T00:00:00"/>
    <x v="2"/>
    <x v="2"/>
    <x v="0"/>
    <s v="Mumbai"/>
    <x v="3"/>
    <s v="Cash"/>
    <x v="2"/>
    <s v="Grey"/>
    <x v="25"/>
    <n v="1"/>
    <n v="122556"/>
    <n v="5.8000000000000003E-2"/>
    <n v="5.8000000000000003E-2"/>
    <n v="122556"/>
    <n v="7108.25"/>
    <n v="115447.75"/>
    <n v="3"/>
    <n v="149"/>
    <x v="9"/>
    <n v="4"/>
    <n v="4"/>
    <n v="3"/>
    <n v="115447.75"/>
    <x v="9"/>
    <x v="9"/>
    <x v="3"/>
  </r>
  <r>
    <x v="362"/>
    <d v="2025-10-15T00:00:00"/>
    <x v="6"/>
    <x v="8"/>
    <x v="2"/>
    <s v="Kochi"/>
    <x v="3"/>
    <s v="Emi"/>
    <x v="1"/>
    <s v="Red"/>
    <x v="5"/>
    <n v="1"/>
    <n v="154930"/>
    <n v="3.2000000000000001E-2"/>
    <n v="3.2000000000000001E-2"/>
    <n v="154930"/>
    <n v="4957.76"/>
    <n v="149972.24"/>
    <n v="3"/>
    <n v="156"/>
    <x v="1"/>
    <n v="2"/>
    <n v="2"/>
    <n v="5"/>
    <n v="149972.24"/>
    <x v="1"/>
    <x v="1"/>
    <x v="0"/>
  </r>
  <r>
    <x v="363"/>
    <d v="2025-02-05T00:00:00"/>
    <x v="7"/>
    <x v="16"/>
    <x v="2"/>
    <s v="Kochi"/>
    <x v="2"/>
    <s v="Emi"/>
    <x v="1"/>
    <s v="Blue"/>
    <x v="8"/>
    <n v="1"/>
    <n v="139287"/>
    <n v="0.115"/>
    <n v="0.115"/>
    <n v="139287"/>
    <n v="16018.01"/>
    <n v="123268.99"/>
    <n v="3"/>
    <n v="159"/>
    <x v="9"/>
    <n v="8"/>
    <n v="8"/>
    <n v="3"/>
    <n v="123268.99"/>
    <x v="4"/>
    <x v="4"/>
    <x v="2"/>
  </r>
  <r>
    <x v="364"/>
    <d v="2025-04-07T00:00:00"/>
    <x v="4"/>
    <x v="5"/>
    <x v="0"/>
    <s v="Kolkata"/>
    <x v="0"/>
    <s v="Finance"/>
    <x v="0"/>
    <s v="Green"/>
    <x v="27"/>
    <n v="5"/>
    <n v="122874"/>
    <n v="0.109"/>
    <n v="0.109"/>
    <n v="614370"/>
    <n v="66966.33"/>
    <n v="547403.67000000004"/>
    <n v="4"/>
    <n v="167"/>
    <x v="17"/>
    <n v="7"/>
    <n v="7"/>
    <n v="5"/>
    <n v="109480.73400000001"/>
    <x v="7"/>
    <x v="7"/>
    <x v="3"/>
  </r>
  <r>
    <x v="365"/>
    <d v="2025-07-28T00:00:00"/>
    <x v="4"/>
    <x v="5"/>
    <x v="0"/>
    <s v="Mumbai"/>
    <x v="0"/>
    <s v="Finance"/>
    <x v="0"/>
    <s v="Red"/>
    <x v="28"/>
    <n v="1"/>
    <n v="123680"/>
    <n v="8.5999999999999993E-2"/>
    <n v="8.5999999999999993E-2"/>
    <n v="123680"/>
    <n v="10636.48"/>
    <n v="113043.52"/>
    <n v="4"/>
    <n v="183"/>
    <x v="1"/>
    <n v="12"/>
    <n v="12"/>
    <n v="2"/>
    <n v="113043.52"/>
    <x v="8"/>
    <x v="8"/>
    <x v="1"/>
  </r>
  <r>
    <x v="366"/>
    <d v="2025-09-28T00:00:00"/>
    <x v="0"/>
    <x v="11"/>
    <x v="0"/>
    <s v="Jaipur"/>
    <x v="3"/>
    <s v="Finance"/>
    <x v="0"/>
    <s v="Black"/>
    <x v="13"/>
    <n v="1"/>
    <n v="139682"/>
    <n v="2.7E-2"/>
    <n v="2.7E-2"/>
    <n v="139682"/>
    <n v="3771.41"/>
    <n v="135910.59"/>
    <n v="4"/>
    <n v="187"/>
    <x v="1"/>
    <n v="12"/>
    <n v="12"/>
    <n v="2"/>
    <n v="135910.59"/>
    <x v="3"/>
    <x v="3"/>
    <x v="1"/>
  </r>
  <r>
    <x v="367"/>
    <d v="2025-11-09T00:00:00"/>
    <x v="1"/>
    <x v="9"/>
    <x v="0"/>
    <s v="Delhi"/>
    <x v="0"/>
    <s v="Finance"/>
    <x v="0"/>
    <s v="Red"/>
    <x v="20"/>
    <n v="1"/>
    <n v="131006"/>
    <n v="3.2000000000000001E-2"/>
    <n v="3.2000000000000001E-2"/>
    <n v="131006"/>
    <n v="4192.1899999999996"/>
    <n v="126813.81"/>
    <n v="3"/>
    <n v="167"/>
    <x v="10"/>
    <n v="8"/>
    <n v="8"/>
    <n v="2"/>
    <n v="126813.81"/>
    <x v="2"/>
    <x v="2"/>
    <x v="0"/>
  </r>
  <r>
    <x v="368"/>
    <d v="2025-01-17T00:00:00"/>
    <x v="4"/>
    <x v="5"/>
    <x v="1"/>
    <s v="Chennai"/>
    <x v="2"/>
    <s v="Emi"/>
    <x v="1"/>
    <s v="White"/>
    <x v="9"/>
    <n v="1"/>
    <n v="120333"/>
    <n v="5.3999999999999999E-2"/>
    <n v="5.3999999999999999E-2"/>
    <n v="120333"/>
    <n v="6497.98"/>
    <n v="113835.02"/>
    <n v="5"/>
    <n v="207"/>
    <x v="10"/>
    <n v="12"/>
    <n v="12"/>
    <n v="2"/>
    <n v="113835.02"/>
    <x v="11"/>
    <x v="11"/>
    <x v="2"/>
  </r>
  <r>
    <x v="369"/>
    <d v="2025-06-03T00:00:00"/>
    <x v="7"/>
    <x v="16"/>
    <x v="1"/>
    <s v="Ahmedabad"/>
    <x v="2"/>
    <s v="Emi"/>
    <x v="1"/>
    <s v="Blue"/>
    <x v="13"/>
    <n v="1"/>
    <n v="150446"/>
    <n v="6.4000000000000001E-2"/>
    <n v="6.4000000000000001E-2"/>
    <n v="150446"/>
    <n v="9628.5400000000009"/>
    <n v="140817.46"/>
    <n v="3"/>
    <n v="172"/>
    <x v="8"/>
    <n v="2"/>
    <n v="2"/>
    <n v="2"/>
    <n v="140817.46"/>
    <x v="9"/>
    <x v="9"/>
    <x v="3"/>
  </r>
  <r>
    <x v="370"/>
    <d v="2025-12-21T00:00:00"/>
    <x v="0"/>
    <x v="0"/>
    <x v="1"/>
    <s v="Delhi"/>
    <x v="3"/>
    <s v="Finance"/>
    <x v="0"/>
    <s v="Green"/>
    <x v="12"/>
    <n v="5"/>
    <n v="126093"/>
    <n v="0.08"/>
    <n v="0.08"/>
    <n v="630465"/>
    <n v="50437.2"/>
    <n v="580027.80000000005"/>
    <n v="3"/>
    <n v="157"/>
    <x v="16"/>
    <n v="7"/>
    <n v="7"/>
    <n v="3"/>
    <n v="116005.56000000001"/>
    <x v="0"/>
    <x v="0"/>
    <x v="0"/>
  </r>
  <r>
    <x v="371"/>
    <d v="2025-07-19T00:00:00"/>
    <x v="1"/>
    <x v="1"/>
    <x v="2"/>
    <s v="Delhi"/>
    <x v="0"/>
    <s v="Cash"/>
    <x v="2"/>
    <s v="Grey"/>
    <x v="9"/>
    <n v="2"/>
    <n v="108897"/>
    <n v="8.3000000000000004E-2"/>
    <n v="8.3000000000000004E-2"/>
    <n v="217794"/>
    <n v="18076.900000000001"/>
    <n v="199717.1"/>
    <n v="3"/>
    <n v="167"/>
    <x v="10"/>
    <n v="11"/>
    <n v="11"/>
    <n v="3"/>
    <n v="99858.55"/>
    <x v="8"/>
    <x v="8"/>
    <x v="1"/>
  </r>
  <r>
    <x v="372"/>
    <d v="2025-03-09T00:00:00"/>
    <x v="0"/>
    <x v="11"/>
    <x v="0"/>
    <s v="Mumbai"/>
    <x v="1"/>
    <s v="Finance"/>
    <x v="0"/>
    <s v="Grey"/>
    <x v="4"/>
    <n v="2"/>
    <n v="150359"/>
    <n v="6.3E-2"/>
    <n v="6.3E-2"/>
    <n v="300718"/>
    <n v="18945.23"/>
    <n v="281772.77"/>
    <n v="3"/>
    <n v="164"/>
    <x v="6"/>
    <n v="14"/>
    <n v="14"/>
    <n v="3"/>
    <n v="140886.38500000001"/>
    <x v="10"/>
    <x v="10"/>
    <x v="2"/>
  </r>
  <r>
    <x v="373"/>
    <d v="2025-03-07T00:00:00"/>
    <x v="1"/>
    <x v="1"/>
    <x v="0"/>
    <s v="Bengaluru"/>
    <x v="2"/>
    <s v="Finance"/>
    <x v="0"/>
    <s v="Red"/>
    <x v="18"/>
    <n v="1"/>
    <n v="108912"/>
    <n v="5.2999999999999999E-2"/>
    <n v="5.2999999999999999E-2"/>
    <n v="108912"/>
    <n v="5772.34"/>
    <n v="103139.66"/>
    <n v="3"/>
    <n v="169"/>
    <x v="5"/>
    <n v="5"/>
    <n v="5"/>
    <n v="5"/>
    <n v="103139.66"/>
    <x v="10"/>
    <x v="10"/>
    <x v="2"/>
  </r>
  <r>
    <x v="374"/>
    <d v="2025-06-11T00:00:00"/>
    <x v="1"/>
    <x v="9"/>
    <x v="2"/>
    <s v="Pune"/>
    <x v="1"/>
    <s v="Emi"/>
    <x v="1"/>
    <s v="Grey"/>
    <x v="21"/>
    <n v="5"/>
    <n v="131585"/>
    <n v="7.0000000000000007E-2"/>
    <n v="7.0000000000000007E-2"/>
    <n v="657925"/>
    <n v="46054.75"/>
    <n v="611870.25"/>
    <n v="3"/>
    <n v="145"/>
    <x v="2"/>
    <n v="9"/>
    <n v="9"/>
    <n v="5"/>
    <n v="122374.05"/>
    <x v="9"/>
    <x v="9"/>
    <x v="3"/>
  </r>
  <r>
    <x v="375"/>
    <d v="2025-05-15T00:00:00"/>
    <x v="4"/>
    <x v="5"/>
    <x v="0"/>
    <s v="Delhi"/>
    <x v="0"/>
    <s v="Cash"/>
    <x v="2"/>
    <s v="Grey"/>
    <x v="1"/>
    <n v="3"/>
    <n v="111027"/>
    <n v="6.3E-2"/>
    <n v="6.3E-2"/>
    <n v="333081"/>
    <n v="20984.1"/>
    <n v="312096.90000000002"/>
    <n v="3"/>
    <n v="167"/>
    <x v="11"/>
    <n v="4"/>
    <n v="4"/>
    <n v="2"/>
    <n v="104032.3"/>
    <x v="6"/>
    <x v="6"/>
    <x v="3"/>
  </r>
  <r>
    <x v="376"/>
    <d v="2025-11-24T00:00:00"/>
    <x v="2"/>
    <x v="17"/>
    <x v="0"/>
    <s v="Jaipur"/>
    <x v="0"/>
    <s v="Finance"/>
    <x v="0"/>
    <s v="Black"/>
    <x v="13"/>
    <n v="4"/>
    <n v="187816"/>
    <n v="5.0999999999999997E-2"/>
    <n v="5.0999999999999997E-2"/>
    <n v="751264"/>
    <n v="38314.46"/>
    <n v="712949.54"/>
    <n v="3"/>
    <n v="152"/>
    <x v="1"/>
    <n v="8"/>
    <n v="8"/>
    <n v="3"/>
    <n v="178237.38500000001"/>
    <x v="2"/>
    <x v="2"/>
    <x v="0"/>
  </r>
  <r>
    <x v="377"/>
    <d v="2025-08-11T00:00:00"/>
    <x v="2"/>
    <x v="17"/>
    <x v="1"/>
    <s v="Bengaluru"/>
    <x v="0"/>
    <s v="Cash"/>
    <x v="2"/>
    <s v="White"/>
    <x v="0"/>
    <n v="2"/>
    <n v="183423"/>
    <n v="0.08"/>
    <n v="0.08"/>
    <n v="366846"/>
    <n v="29347.68"/>
    <n v="337498.32"/>
    <n v="3"/>
    <n v="181"/>
    <x v="4"/>
    <n v="5"/>
    <n v="5"/>
    <n v="3"/>
    <n v="168749.16"/>
    <x v="5"/>
    <x v="5"/>
    <x v="1"/>
  </r>
  <r>
    <x v="378"/>
    <d v="2025-05-05T00:00:00"/>
    <x v="6"/>
    <x v="8"/>
    <x v="1"/>
    <s v="Hyderabad"/>
    <x v="1"/>
    <s v="Cash"/>
    <x v="2"/>
    <s v="White"/>
    <x v="25"/>
    <n v="2"/>
    <n v="154090"/>
    <n v="0.08"/>
    <n v="0.08"/>
    <n v="308180"/>
    <n v="24654.400000000001"/>
    <n v="283525.59999999998"/>
    <n v="3"/>
    <n v="139"/>
    <x v="15"/>
    <n v="6"/>
    <n v="6"/>
    <n v="3"/>
    <n v="141762.79999999999"/>
    <x v="6"/>
    <x v="6"/>
    <x v="3"/>
  </r>
  <r>
    <x v="379"/>
    <d v="2025-08-28T00:00:00"/>
    <x v="4"/>
    <x v="5"/>
    <x v="0"/>
    <s v="Pune"/>
    <x v="1"/>
    <s v="Finance"/>
    <x v="0"/>
    <s v="Green"/>
    <x v="24"/>
    <n v="1"/>
    <n v="112555"/>
    <n v="7.5999999999999998E-2"/>
    <n v="7.5999999999999998E-2"/>
    <n v="112555"/>
    <n v="8554.18"/>
    <n v="104000.82"/>
    <n v="3"/>
    <n v="139"/>
    <x v="16"/>
    <n v="7"/>
    <n v="7"/>
    <n v="3"/>
    <n v="104000.82"/>
    <x v="5"/>
    <x v="5"/>
    <x v="1"/>
  </r>
  <r>
    <x v="380"/>
    <d v="2025-02-20T00:00:00"/>
    <x v="6"/>
    <x v="15"/>
    <x v="2"/>
    <s v="Mumbai"/>
    <x v="1"/>
    <s v="Cash"/>
    <x v="2"/>
    <s v="Red"/>
    <x v="25"/>
    <n v="2"/>
    <n v="110869"/>
    <n v="2.9000000000000001E-2"/>
    <n v="2.9000000000000001E-2"/>
    <n v="221738"/>
    <n v="6430.4"/>
    <n v="215307.6"/>
    <n v="5"/>
    <n v="228"/>
    <x v="15"/>
    <n v="8"/>
    <n v="8"/>
    <n v="2"/>
    <n v="107653.8"/>
    <x v="4"/>
    <x v="4"/>
    <x v="2"/>
  </r>
  <r>
    <x v="381"/>
    <d v="2025-10-10T00:00:00"/>
    <x v="1"/>
    <x v="1"/>
    <x v="2"/>
    <s v="Kolkata"/>
    <x v="1"/>
    <s v="Cash"/>
    <x v="2"/>
    <s v="Grey"/>
    <x v="0"/>
    <n v="1"/>
    <n v="116150"/>
    <n v="5.8000000000000003E-2"/>
    <n v="5.8000000000000003E-2"/>
    <n v="116150"/>
    <n v="6736.7"/>
    <n v="109413.3"/>
    <n v="5"/>
    <n v="217"/>
    <x v="8"/>
    <n v="10"/>
    <n v="10"/>
    <n v="3"/>
    <n v="109413.3"/>
    <x v="1"/>
    <x v="1"/>
    <x v="0"/>
  </r>
  <r>
    <x v="382"/>
    <d v="2025-08-17T00:00:00"/>
    <x v="7"/>
    <x v="14"/>
    <x v="1"/>
    <s v="Kochi"/>
    <x v="2"/>
    <s v="Cash"/>
    <x v="2"/>
    <s v="Blue"/>
    <x v="0"/>
    <n v="1"/>
    <n v="105301"/>
    <n v="7.8E-2"/>
    <n v="7.8E-2"/>
    <n v="105301"/>
    <n v="8213.48"/>
    <n v="97087.52"/>
    <n v="4"/>
    <n v="167"/>
    <x v="17"/>
    <n v="14"/>
    <n v="14"/>
    <n v="3"/>
    <n v="97087.52"/>
    <x v="5"/>
    <x v="5"/>
    <x v="1"/>
  </r>
  <r>
    <x v="383"/>
    <d v="2025-06-13T00:00:00"/>
    <x v="7"/>
    <x v="10"/>
    <x v="2"/>
    <s v="Pune"/>
    <x v="1"/>
    <s v="Cash"/>
    <x v="2"/>
    <s v="Red"/>
    <x v="11"/>
    <n v="2"/>
    <n v="112682"/>
    <n v="7.1999999999999995E-2"/>
    <n v="7.1999999999999995E-2"/>
    <n v="225364"/>
    <n v="16226.21"/>
    <n v="209137.79"/>
    <n v="5"/>
    <n v="186"/>
    <x v="2"/>
    <n v="11"/>
    <n v="11"/>
    <n v="5"/>
    <n v="104568.895"/>
    <x v="9"/>
    <x v="9"/>
    <x v="3"/>
  </r>
  <r>
    <x v="384"/>
    <d v="2025-01-18T00:00:00"/>
    <x v="7"/>
    <x v="16"/>
    <x v="0"/>
    <s v="Mumbai"/>
    <x v="2"/>
    <s v="Finance"/>
    <x v="0"/>
    <s v="Grey"/>
    <x v="20"/>
    <n v="4"/>
    <n v="143563"/>
    <n v="7.4999999999999997E-2"/>
    <n v="7.4999999999999997E-2"/>
    <n v="574252"/>
    <n v="43068.9"/>
    <n v="531183.1"/>
    <n v="3"/>
    <n v="175"/>
    <x v="7"/>
    <n v="12"/>
    <n v="12"/>
    <n v="3"/>
    <n v="132795.77499999999"/>
    <x v="11"/>
    <x v="11"/>
    <x v="2"/>
  </r>
  <r>
    <x v="385"/>
    <d v="2025-09-15T00:00:00"/>
    <x v="6"/>
    <x v="8"/>
    <x v="2"/>
    <s v="Kochi"/>
    <x v="1"/>
    <s v="Cash"/>
    <x v="2"/>
    <s v="Black"/>
    <x v="14"/>
    <n v="1"/>
    <n v="149275"/>
    <n v="0.105"/>
    <n v="0.105"/>
    <n v="149275"/>
    <n v="15673.88"/>
    <n v="133601.12"/>
    <n v="3"/>
    <n v="158"/>
    <x v="15"/>
    <n v="14"/>
    <n v="14"/>
    <n v="2"/>
    <n v="133601.12"/>
    <x v="3"/>
    <x v="3"/>
    <x v="1"/>
  </r>
  <r>
    <x v="386"/>
    <d v="2025-05-23T00:00:00"/>
    <x v="6"/>
    <x v="8"/>
    <x v="1"/>
    <s v="Hyderabad"/>
    <x v="2"/>
    <s v="Finance"/>
    <x v="0"/>
    <s v="Grey"/>
    <x v="20"/>
    <n v="1"/>
    <n v="160085"/>
    <n v="9.6000000000000002E-2"/>
    <n v="9.6000000000000002E-2"/>
    <n v="160085"/>
    <n v="15368.16"/>
    <n v="144716.84"/>
    <n v="4"/>
    <n v="171"/>
    <x v="5"/>
    <n v="6"/>
    <n v="6"/>
    <n v="3"/>
    <n v="144716.84"/>
    <x v="6"/>
    <x v="6"/>
    <x v="3"/>
  </r>
  <r>
    <x v="387"/>
    <d v="2025-12-07T00:00:00"/>
    <x v="0"/>
    <x v="11"/>
    <x v="2"/>
    <s v="Chennai"/>
    <x v="0"/>
    <s v="Cash"/>
    <x v="2"/>
    <s v="Red"/>
    <x v="25"/>
    <n v="1"/>
    <n v="134499"/>
    <n v="0.11799999999999999"/>
    <n v="0.11799999999999999"/>
    <n v="134499"/>
    <n v="15870.88"/>
    <n v="118628.12"/>
    <n v="3"/>
    <n v="160"/>
    <x v="7"/>
    <n v="14"/>
    <n v="14"/>
    <n v="5"/>
    <n v="118628.12"/>
    <x v="0"/>
    <x v="0"/>
    <x v="0"/>
  </r>
  <r>
    <x v="388"/>
    <d v="2025-09-13T00:00:00"/>
    <x v="7"/>
    <x v="16"/>
    <x v="0"/>
    <s v="Mumbai"/>
    <x v="3"/>
    <s v="Emi"/>
    <x v="1"/>
    <s v="White"/>
    <x v="15"/>
    <n v="4"/>
    <n v="133299"/>
    <n v="7.3999999999999996E-2"/>
    <n v="7.3999999999999996E-2"/>
    <n v="533196"/>
    <n v="39456.5"/>
    <n v="493739.5"/>
    <n v="5"/>
    <n v="213"/>
    <x v="7"/>
    <n v="6"/>
    <n v="6"/>
    <n v="3"/>
    <n v="123434.875"/>
    <x v="3"/>
    <x v="3"/>
    <x v="1"/>
  </r>
  <r>
    <x v="389"/>
    <d v="2025-03-19T00:00:00"/>
    <x v="1"/>
    <x v="1"/>
    <x v="2"/>
    <s v="Jaipur"/>
    <x v="2"/>
    <s v="Finance"/>
    <x v="0"/>
    <s v="Grey"/>
    <x v="16"/>
    <n v="1"/>
    <n v="110001"/>
    <n v="8.3000000000000004E-2"/>
    <n v="8.3000000000000004E-2"/>
    <n v="110001"/>
    <n v="9130.08"/>
    <n v="100870.92"/>
    <n v="3"/>
    <n v="172"/>
    <x v="9"/>
    <n v="4"/>
    <n v="4"/>
    <n v="3"/>
    <n v="100870.92"/>
    <x v="10"/>
    <x v="10"/>
    <x v="2"/>
  </r>
  <r>
    <x v="390"/>
    <d v="2025-11-03T00:00:00"/>
    <x v="2"/>
    <x v="17"/>
    <x v="2"/>
    <s v="Jaipur"/>
    <x v="3"/>
    <s v="Cash"/>
    <x v="2"/>
    <s v="White"/>
    <x v="21"/>
    <n v="1"/>
    <n v="193254"/>
    <n v="0.112"/>
    <n v="0.112"/>
    <n v="193254"/>
    <n v="21644.45"/>
    <n v="171609.55"/>
    <n v="2"/>
    <n v="133"/>
    <x v="12"/>
    <n v="3"/>
    <n v="3"/>
    <n v="2"/>
    <n v="171609.55"/>
    <x v="2"/>
    <x v="2"/>
    <x v="0"/>
  </r>
  <r>
    <x v="391"/>
    <d v="2025-03-04T00:00:00"/>
    <x v="2"/>
    <x v="17"/>
    <x v="1"/>
    <s v="Mumbai"/>
    <x v="0"/>
    <s v="Cash"/>
    <x v="2"/>
    <s v="White"/>
    <x v="13"/>
    <n v="2"/>
    <n v="176104"/>
    <n v="7.9000000000000001E-2"/>
    <n v="7.9000000000000001E-2"/>
    <n v="352208"/>
    <n v="27824.43"/>
    <n v="324383.57"/>
    <n v="3"/>
    <n v="159"/>
    <x v="7"/>
    <n v="13"/>
    <n v="13"/>
    <n v="3"/>
    <n v="162191.785"/>
    <x v="10"/>
    <x v="10"/>
    <x v="2"/>
  </r>
  <r>
    <x v="392"/>
    <d v="2025-12-13T00:00:00"/>
    <x v="1"/>
    <x v="9"/>
    <x v="2"/>
    <s v="Jaipur"/>
    <x v="1"/>
    <s v="Emi"/>
    <x v="1"/>
    <s v="White"/>
    <x v="13"/>
    <n v="4"/>
    <n v="132705"/>
    <n v="8.6999999999999994E-2"/>
    <n v="8.6999999999999994E-2"/>
    <n v="530820"/>
    <n v="46181.34"/>
    <n v="484638.66"/>
    <n v="2"/>
    <n v="159"/>
    <x v="5"/>
    <n v="5"/>
    <n v="5"/>
    <n v="2"/>
    <n v="121159.66499999999"/>
    <x v="0"/>
    <x v="0"/>
    <x v="0"/>
  </r>
  <r>
    <x v="393"/>
    <d v="2025-09-04T00:00:00"/>
    <x v="1"/>
    <x v="1"/>
    <x v="1"/>
    <s v="Hyderabad"/>
    <x v="1"/>
    <s v="Finance"/>
    <x v="0"/>
    <s v="Red"/>
    <x v="3"/>
    <n v="3"/>
    <n v="111222"/>
    <n v="9.5000000000000001E-2"/>
    <n v="9.5000000000000001E-2"/>
    <n v="333666"/>
    <n v="31698.27"/>
    <n v="301967.73"/>
    <n v="3"/>
    <n v="177"/>
    <x v="16"/>
    <n v="2"/>
    <n v="2"/>
    <n v="3"/>
    <n v="100655.90999999999"/>
    <x v="3"/>
    <x v="3"/>
    <x v="1"/>
  </r>
  <r>
    <x v="394"/>
    <d v="2025-08-02T00:00:00"/>
    <x v="3"/>
    <x v="3"/>
    <x v="0"/>
    <s v="Chennai"/>
    <x v="1"/>
    <s v=" Emi "/>
    <x v="3"/>
    <s v="Red"/>
    <x v="12"/>
    <n v="2"/>
    <n v="159136"/>
    <n v="0.12"/>
    <n v="0.12"/>
    <n v="318272"/>
    <n v="38192.639999999999"/>
    <n v="280079.35999999999"/>
    <n v="3"/>
    <n v="171"/>
    <x v="15"/>
    <n v="11"/>
    <n v="11"/>
    <n v="5"/>
    <n v="140039.67999999999"/>
    <x v="5"/>
    <x v="5"/>
    <x v="1"/>
  </r>
  <r>
    <x v="395"/>
    <d v="2025-05-25T00:00:00"/>
    <x v="4"/>
    <x v="6"/>
    <x v="1"/>
    <s v="Kolkata"/>
    <x v="3"/>
    <s v="Cash"/>
    <x v="2"/>
    <s v="Red"/>
    <x v="5"/>
    <n v="1"/>
    <n v="111310"/>
    <n v="0.05"/>
    <n v="0.05"/>
    <n v="111310"/>
    <n v="5565.5"/>
    <n v="105744.5"/>
    <n v="3"/>
    <n v="159"/>
    <x v="5"/>
    <n v="5"/>
    <n v="5"/>
    <n v="5"/>
    <n v="105744.5"/>
    <x v="6"/>
    <x v="6"/>
    <x v="3"/>
  </r>
  <r>
    <x v="396"/>
    <d v="2025-11-21T00:00:00"/>
    <x v="7"/>
    <x v="10"/>
    <x v="1"/>
    <s v="Ahmedabad"/>
    <x v="3"/>
    <s v="Cash"/>
    <x v="2"/>
    <s v="Green"/>
    <x v="14"/>
    <n v="1"/>
    <n v="115453"/>
    <n v="5.2999999999999999E-2"/>
    <n v="5.2999999999999999E-2"/>
    <n v="115453"/>
    <n v="6119.01"/>
    <n v="109333.99"/>
    <n v="2"/>
    <n v="126"/>
    <x v="8"/>
    <n v="12"/>
    <n v="12"/>
    <n v="5"/>
    <n v="109333.99"/>
    <x v="2"/>
    <x v="2"/>
    <x v="0"/>
  </r>
  <r>
    <x v="397"/>
    <d v="2025-02-18T00:00:00"/>
    <x v="6"/>
    <x v="15"/>
    <x v="1"/>
    <s v="Ahmedabad"/>
    <x v="3"/>
    <s v="Finance"/>
    <x v="0"/>
    <s v="Grey"/>
    <x v="21"/>
    <n v="1"/>
    <n v="115327"/>
    <n v="3.3000000000000002E-2"/>
    <n v="3.3000000000000002E-2"/>
    <n v="115327"/>
    <n v="3805.79"/>
    <n v="111521.21"/>
    <n v="3"/>
    <n v="148"/>
    <x v="18"/>
    <n v="4"/>
    <n v="4"/>
    <n v="3"/>
    <n v="111521.21"/>
    <x v="4"/>
    <x v="4"/>
    <x v="2"/>
  </r>
  <r>
    <x v="398"/>
    <d v="2025-04-18T00:00:00"/>
    <x v="5"/>
    <x v="12"/>
    <x v="2"/>
    <s v="Hyderabad"/>
    <x v="1"/>
    <s v="Finance"/>
    <x v="0"/>
    <s v="Green"/>
    <x v="1"/>
    <n v="1"/>
    <n v="138351"/>
    <n v="0.109"/>
    <n v="0.109"/>
    <n v="138351"/>
    <n v="15080.26"/>
    <n v="123270.74"/>
    <n v="3"/>
    <n v="172"/>
    <x v="9"/>
    <n v="9"/>
    <n v="9"/>
    <n v="3"/>
    <n v="123270.74"/>
    <x v="7"/>
    <x v="7"/>
    <x v="3"/>
  </r>
  <r>
    <x v="399"/>
    <d v="2025-04-30T00:00:00"/>
    <x v="3"/>
    <x v="3"/>
    <x v="2"/>
    <s v="Jaipur"/>
    <x v="1"/>
    <s v="Emi"/>
    <x v="1"/>
    <s v="Black"/>
    <x v="15"/>
    <n v="1"/>
    <n v="147810"/>
    <n v="0.115"/>
    <n v="0.115"/>
    <n v="147810"/>
    <n v="16998.150000000001"/>
    <n v="130811.85"/>
    <n v="4"/>
    <n v="190"/>
    <x v="10"/>
    <n v="11"/>
    <n v="11"/>
    <n v="2"/>
    <n v="130811.85"/>
    <x v="7"/>
    <x v="7"/>
    <x v="3"/>
  </r>
  <r>
    <x v="400"/>
    <d v="2025-02-24T00:00:00"/>
    <x v="6"/>
    <x v="15"/>
    <x v="1"/>
    <s v="Kolkata"/>
    <x v="3"/>
    <s v="Cash"/>
    <x v="2"/>
    <s v="Grey"/>
    <x v="0"/>
    <n v="1"/>
    <n v="105176"/>
    <n v="0.107"/>
    <n v="0.107"/>
    <n v="105176"/>
    <n v="11253.83"/>
    <n v="93922.17"/>
    <n v="3"/>
    <n v="154"/>
    <x v="10"/>
    <n v="6"/>
    <n v="6"/>
    <n v="2"/>
    <n v="93922.17"/>
    <x v="4"/>
    <x v="4"/>
    <x v="2"/>
  </r>
  <r>
    <x v="401"/>
    <d v="2025-04-28T00:00:00"/>
    <x v="2"/>
    <x v="2"/>
    <x v="1"/>
    <s v="Chennai"/>
    <x v="2"/>
    <s v="Finance"/>
    <x v="0"/>
    <s v="Grey"/>
    <x v="17"/>
    <n v="1"/>
    <n v="134313"/>
    <n v="7.3999999999999996E-2"/>
    <n v="7.3999999999999996E-2"/>
    <n v="134313"/>
    <n v="9939.16"/>
    <n v="124373.84"/>
    <n v="2"/>
    <n v="141"/>
    <x v="4"/>
    <n v="5"/>
    <n v="5"/>
    <n v="5"/>
    <n v="124373.84"/>
    <x v="7"/>
    <x v="7"/>
    <x v="3"/>
  </r>
  <r>
    <x v="402"/>
    <d v="2025-03-22T00:00:00"/>
    <x v="2"/>
    <x v="2"/>
    <x v="1"/>
    <s v="Mumbai"/>
    <x v="0"/>
    <s v="Cash"/>
    <x v="2"/>
    <s v="Blue"/>
    <x v="25"/>
    <n v="4"/>
    <n v="119197"/>
    <n v="2.5999999999999999E-2"/>
    <n v="2.5999999999999999E-2"/>
    <n v="476788"/>
    <n v="12396.49"/>
    <n v="464391.51"/>
    <n v="3"/>
    <n v="163"/>
    <x v="8"/>
    <n v="9"/>
    <n v="9"/>
    <n v="3"/>
    <n v="116097.8775"/>
    <x v="10"/>
    <x v="10"/>
    <x v="2"/>
  </r>
  <r>
    <x v="403"/>
    <d v="2025-10-13T00:00:00"/>
    <x v="7"/>
    <x v="16"/>
    <x v="2"/>
    <s v="Pune"/>
    <x v="2"/>
    <s v="Emi"/>
    <x v="1"/>
    <s v="Grey"/>
    <x v="25"/>
    <n v="3"/>
    <n v="134941"/>
    <n v="5.8000000000000003E-2"/>
    <n v="5.8000000000000003E-2"/>
    <n v="404823"/>
    <n v="23479.73"/>
    <n v="381343.27"/>
    <n v="3"/>
    <n v="181"/>
    <x v="7"/>
    <n v="9"/>
    <n v="9"/>
    <n v="2"/>
    <n v="127114.42333333334"/>
    <x v="1"/>
    <x v="1"/>
    <x v="0"/>
  </r>
  <r>
    <x v="404"/>
    <d v="2025-08-01T00:00:00"/>
    <x v="3"/>
    <x v="3"/>
    <x v="2"/>
    <s v="Mumbai"/>
    <x v="2"/>
    <s v="Emi"/>
    <x v="1"/>
    <s v="Black"/>
    <x v="16"/>
    <n v="1"/>
    <n v="151594"/>
    <n v="4.5999999999999999E-2"/>
    <n v="4.5999999999999999E-2"/>
    <n v="151594"/>
    <n v="6973.32"/>
    <n v="144620.68"/>
    <n v="2"/>
    <n v="147"/>
    <x v="18"/>
    <n v="3"/>
    <n v="3"/>
    <n v="3"/>
    <n v="144620.68"/>
    <x v="5"/>
    <x v="5"/>
    <x v="1"/>
  </r>
  <r>
    <x v="405"/>
    <d v="2025-09-11T00:00:00"/>
    <x v="7"/>
    <x v="10"/>
    <x v="2"/>
    <s v="Bengaluru"/>
    <x v="0"/>
    <s v="Cash"/>
    <x v="2"/>
    <s v="Green"/>
    <x v="4"/>
    <n v="2"/>
    <n v="114359"/>
    <n v="3.3000000000000002E-2"/>
    <n v="3.3000000000000002E-2"/>
    <n v="228718"/>
    <n v="7547.69"/>
    <n v="221170.31"/>
    <n v="3"/>
    <n v="183"/>
    <x v="1"/>
    <n v="9"/>
    <n v="9"/>
    <n v="5"/>
    <n v="110585.155"/>
    <x v="3"/>
    <x v="3"/>
    <x v="1"/>
  </r>
  <r>
    <x v="406"/>
    <d v="2025-06-16T00:00:00"/>
    <x v="6"/>
    <x v="8"/>
    <x v="0"/>
    <s v="Kolkata"/>
    <x v="1"/>
    <s v="Emi"/>
    <x v="1"/>
    <s v="Black"/>
    <x v="6"/>
    <n v="5"/>
    <n v="150312"/>
    <n v="5.1999999999999998E-2"/>
    <n v="5.1999999999999998E-2"/>
    <n v="751560"/>
    <n v="39081.120000000003"/>
    <n v="712478.88"/>
    <n v="4"/>
    <n v="168"/>
    <x v="6"/>
    <n v="5"/>
    <n v="5"/>
    <n v="2"/>
    <n v="142495.77600000001"/>
    <x v="9"/>
    <x v="9"/>
    <x v="3"/>
  </r>
  <r>
    <x v="407"/>
    <d v="2025-12-17T00:00:00"/>
    <x v="0"/>
    <x v="11"/>
    <x v="0"/>
    <s v="Kochi"/>
    <x v="3"/>
    <s v="Emi"/>
    <x v="1"/>
    <s v="Green"/>
    <x v="23"/>
    <n v="1"/>
    <n v="137886"/>
    <n v="3.9E-2"/>
    <n v="3.9E-2"/>
    <n v="137886"/>
    <n v="5377.55"/>
    <n v="132508.45000000001"/>
    <n v="3"/>
    <n v="163"/>
    <x v="15"/>
    <n v="11"/>
    <n v="11"/>
    <n v="5"/>
    <n v="132508.45000000001"/>
    <x v="0"/>
    <x v="0"/>
    <x v="0"/>
  </r>
  <r>
    <x v="408"/>
    <d v="2025-09-09T00:00:00"/>
    <x v="0"/>
    <x v="11"/>
    <x v="1"/>
    <s v="Mumbai"/>
    <x v="1"/>
    <s v="Emi"/>
    <x v="1"/>
    <s v="Blue"/>
    <x v="17"/>
    <n v="1"/>
    <n v="141322"/>
    <n v="2.1000000000000001E-2"/>
    <n v="2.1000000000000001E-2"/>
    <n v="141322"/>
    <n v="2967.76"/>
    <n v="138354.23999999999"/>
    <n v="3"/>
    <n v="183"/>
    <x v="0"/>
    <n v="7"/>
    <n v="7"/>
    <n v="3"/>
    <n v="138354.23999999999"/>
    <x v="3"/>
    <x v="3"/>
    <x v="1"/>
  </r>
  <r>
    <x v="409"/>
    <d v="2025-02-20T00:00:00"/>
    <x v="6"/>
    <x v="8"/>
    <x v="0"/>
    <s v="Bengaluru"/>
    <x v="3"/>
    <s v="Finance"/>
    <x v="0"/>
    <s v="Black"/>
    <x v="5"/>
    <n v="1"/>
    <n v="145180"/>
    <n v="5.5E-2"/>
    <n v="5.5E-2"/>
    <n v="145180"/>
    <n v="7984.9"/>
    <n v="137195.1"/>
    <n v="4"/>
    <n v="169"/>
    <x v="9"/>
    <n v="8"/>
    <n v="8"/>
    <n v="2"/>
    <n v="137195.1"/>
    <x v="4"/>
    <x v="4"/>
    <x v="2"/>
  </r>
  <r>
    <x v="410"/>
    <d v="2025-10-04T00:00:00"/>
    <x v="4"/>
    <x v="6"/>
    <x v="1"/>
    <s v="Hyderabad"/>
    <x v="0"/>
    <s v="Finance"/>
    <x v="0"/>
    <s v="Grey"/>
    <x v="5"/>
    <n v="1"/>
    <n v="113053"/>
    <n v="0.115"/>
    <n v="0.115"/>
    <n v="113053"/>
    <n v="13001.1"/>
    <n v="100051.9"/>
    <n v="4"/>
    <n v="168"/>
    <x v="0"/>
    <n v="13"/>
    <n v="13"/>
    <n v="2"/>
    <n v="100051.9"/>
    <x v="1"/>
    <x v="1"/>
    <x v="0"/>
  </r>
  <r>
    <x v="411"/>
    <d v="2025-08-20T00:00:00"/>
    <x v="6"/>
    <x v="15"/>
    <x v="0"/>
    <s v="Kolkata"/>
    <x v="2"/>
    <s v="Emi"/>
    <x v="1"/>
    <s v="Red"/>
    <x v="24"/>
    <n v="1"/>
    <n v="113188"/>
    <n v="0.11899999999999999"/>
    <n v="0.11899999999999999"/>
    <n v="113188"/>
    <n v="13469.37"/>
    <n v="99718.63"/>
    <n v="4"/>
    <n v="174"/>
    <x v="7"/>
    <n v="12"/>
    <n v="12"/>
    <n v="3"/>
    <n v="99718.63"/>
    <x v="5"/>
    <x v="5"/>
    <x v="1"/>
  </r>
  <r>
    <x v="412"/>
    <d v="2025-03-10T00:00:00"/>
    <x v="3"/>
    <x v="4"/>
    <x v="0"/>
    <s v="Bengaluru"/>
    <x v="2"/>
    <s v="Cash"/>
    <x v="2"/>
    <s v="White"/>
    <x v="21"/>
    <n v="2"/>
    <n v="129387"/>
    <n v="4.2999999999999997E-2"/>
    <n v="4.2999999999999997E-2"/>
    <n v="258774"/>
    <n v="11127.28"/>
    <n v="247646.72"/>
    <n v="4"/>
    <n v="191"/>
    <x v="9"/>
    <n v="2"/>
    <n v="2"/>
    <n v="2"/>
    <n v="123823.36"/>
    <x v="10"/>
    <x v="10"/>
    <x v="2"/>
  </r>
  <r>
    <x v="413"/>
    <d v="2025-04-27T00:00:00"/>
    <x v="6"/>
    <x v="15"/>
    <x v="1"/>
    <s v="Hyderabad"/>
    <x v="3"/>
    <s v="Finance"/>
    <x v="0"/>
    <s v="White"/>
    <x v="12"/>
    <n v="2"/>
    <n v="113128"/>
    <n v="7.1999999999999995E-2"/>
    <n v="7.1999999999999995E-2"/>
    <n v="226256"/>
    <n v="16290.43"/>
    <n v="209965.57"/>
    <n v="2"/>
    <n v="145"/>
    <x v="4"/>
    <n v="3"/>
    <n v="3"/>
    <n v="3"/>
    <n v="104982.785"/>
    <x v="7"/>
    <x v="7"/>
    <x v="3"/>
  </r>
  <r>
    <x v="414"/>
    <d v="2025-02-08T00:00:00"/>
    <x v="5"/>
    <x v="13"/>
    <x v="2"/>
    <s v="Delhi"/>
    <x v="3"/>
    <s v="Cash"/>
    <x v="2"/>
    <s v="Black"/>
    <x v="9"/>
    <n v="4"/>
    <n v="143299"/>
    <n v="9.0999999999999998E-2"/>
    <n v="9.0999999999999998E-2"/>
    <n v="573196"/>
    <n v="52160.84"/>
    <n v="521035.16"/>
    <n v="2"/>
    <n v="153"/>
    <x v="1"/>
    <n v="7"/>
    <n v="7"/>
    <n v="2"/>
    <n v="130258.79"/>
    <x v="4"/>
    <x v="4"/>
    <x v="2"/>
  </r>
  <r>
    <x v="415"/>
    <d v="2025-04-24T00:00:00"/>
    <x v="5"/>
    <x v="12"/>
    <x v="0"/>
    <s v="Mumbai"/>
    <x v="2"/>
    <s v="Cash"/>
    <x v="2"/>
    <s v="Green"/>
    <x v="29"/>
    <n v="2"/>
    <n v="122825"/>
    <n v="8.4000000000000005E-2"/>
    <n v="8.4000000000000005E-2"/>
    <n v="245650"/>
    <n v="20634.599999999999"/>
    <n v="225015.4"/>
    <n v="2"/>
    <n v="125"/>
    <x v="7"/>
    <n v="11"/>
    <n v="11"/>
    <n v="5"/>
    <n v="112507.7"/>
    <x v="7"/>
    <x v="7"/>
    <x v="3"/>
  </r>
  <r>
    <x v="416"/>
    <d v="2025-06-05T00:00:00"/>
    <x v="2"/>
    <x v="17"/>
    <x v="2"/>
    <s v="Kochi"/>
    <x v="3"/>
    <s v="Emi"/>
    <x v="1"/>
    <s v="White"/>
    <x v="2"/>
    <n v="2"/>
    <n v="186006"/>
    <n v="4.7E-2"/>
    <n v="4.7E-2"/>
    <n v="372012"/>
    <n v="17484.560000000001"/>
    <n v="354527.44"/>
    <n v="5"/>
    <n v="187"/>
    <x v="8"/>
    <n v="5"/>
    <n v="5"/>
    <n v="2"/>
    <n v="177263.72"/>
    <x v="9"/>
    <x v="9"/>
    <x v="3"/>
  </r>
  <r>
    <x v="417"/>
    <d v="2025-02-22T00:00:00"/>
    <x v="7"/>
    <x v="14"/>
    <x v="1"/>
    <s v="Pune"/>
    <x v="3"/>
    <s v="Finance"/>
    <x v="0"/>
    <s v="Blue"/>
    <x v="2"/>
    <n v="1"/>
    <n v="104384"/>
    <n v="0.10199999999999999"/>
    <n v="0.10199999999999999"/>
    <n v="104384"/>
    <n v="10647.17"/>
    <n v="93736.83"/>
    <n v="5"/>
    <n v="205"/>
    <x v="21"/>
    <n v="4"/>
    <n v="4"/>
    <n v="2"/>
    <n v="93736.83"/>
    <x v="4"/>
    <x v="4"/>
    <x v="2"/>
  </r>
  <r>
    <x v="418"/>
    <d v="2025-01-03T00:00:00"/>
    <x v="3"/>
    <x v="4"/>
    <x v="2"/>
    <s v="Mumbai"/>
    <x v="2"/>
    <s v="Cash"/>
    <x v="2"/>
    <s v="Blue"/>
    <x v="7"/>
    <n v="3"/>
    <n v="122928"/>
    <n v="8.5000000000000006E-2"/>
    <n v="8.5000000000000006E-2"/>
    <n v="368784"/>
    <n v="31346.639999999999"/>
    <n v="337437.36"/>
    <n v="5"/>
    <n v="179"/>
    <x v="17"/>
    <n v="3"/>
    <n v="3"/>
    <n v="5"/>
    <n v="112479.12"/>
    <x v="11"/>
    <x v="11"/>
    <x v="2"/>
  </r>
  <r>
    <x v="419"/>
    <d v="2025-04-13T00:00:00"/>
    <x v="0"/>
    <x v="0"/>
    <x v="0"/>
    <s v="Pune"/>
    <x v="3"/>
    <s v="Emi"/>
    <x v="1"/>
    <s v="White"/>
    <x v="28"/>
    <n v="3"/>
    <n v="125430"/>
    <n v="7.9000000000000001E-2"/>
    <n v="7.9000000000000001E-2"/>
    <n v="376290"/>
    <n v="29726.91"/>
    <n v="346563.09"/>
    <n v="3"/>
    <n v="178"/>
    <x v="15"/>
    <n v="10"/>
    <n v="10"/>
    <n v="3"/>
    <n v="115521.03000000001"/>
    <x v="7"/>
    <x v="7"/>
    <x v="3"/>
  </r>
  <r>
    <x v="420"/>
    <d v="2025-03-26T00:00:00"/>
    <x v="3"/>
    <x v="4"/>
    <x v="0"/>
    <s v="Kochi"/>
    <x v="1"/>
    <s v="Cash"/>
    <x v="2"/>
    <s v="Green"/>
    <x v="22"/>
    <n v="1"/>
    <n v="129139"/>
    <n v="5.6000000000000001E-2"/>
    <n v="5.6000000000000001E-2"/>
    <n v="129139"/>
    <n v="7231.78"/>
    <n v="121907.22"/>
    <n v="3"/>
    <n v="180"/>
    <x v="17"/>
    <n v="14"/>
    <n v="14"/>
    <n v="3"/>
    <n v="121907.22"/>
    <x v="10"/>
    <x v="10"/>
    <x v="2"/>
  </r>
  <r>
    <x v="421"/>
    <d v="2025-09-14T00:00:00"/>
    <x v="2"/>
    <x v="17"/>
    <x v="2"/>
    <s v="Pune"/>
    <x v="0"/>
    <s v="Finance"/>
    <x v="0"/>
    <s v="Green"/>
    <x v="5"/>
    <n v="1"/>
    <n v="172720"/>
    <n v="9.1999999999999998E-2"/>
    <n v="9.1999999999999998E-2"/>
    <n v="172720"/>
    <n v="15890.24"/>
    <n v="156829.76000000001"/>
    <n v="5"/>
    <n v="199"/>
    <x v="15"/>
    <n v="3"/>
    <n v="3"/>
    <n v="3"/>
    <n v="156829.76000000001"/>
    <x v="3"/>
    <x v="3"/>
    <x v="1"/>
  </r>
  <r>
    <x v="422"/>
    <d v="2025-08-05T00:00:00"/>
    <x v="6"/>
    <x v="8"/>
    <x v="0"/>
    <s v="Mumbai"/>
    <x v="3"/>
    <s v="Cash"/>
    <x v="2"/>
    <s v="Black"/>
    <x v="22"/>
    <n v="4"/>
    <n v="146106"/>
    <n v="7.4999999999999997E-2"/>
    <n v="7.4999999999999997E-2"/>
    <n v="584424"/>
    <n v="43831.8"/>
    <n v="540592.19999999995"/>
    <n v="3"/>
    <n v="170"/>
    <x v="1"/>
    <n v="5"/>
    <n v="5"/>
    <n v="3"/>
    <n v="135148.04999999999"/>
    <x v="5"/>
    <x v="5"/>
    <x v="1"/>
  </r>
  <r>
    <x v="423"/>
    <d v="2025-10-12T00:00:00"/>
    <x v="6"/>
    <x v="8"/>
    <x v="0"/>
    <s v="Chennai"/>
    <x v="3"/>
    <s v="Cash"/>
    <x v="2"/>
    <s v="Black"/>
    <x v="1"/>
    <n v="2"/>
    <n v="159261"/>
    <n v="3.9E-2"/>
    <n v="3.9E-2"/>
    <n v="318522"/>
    <n v="12422.36"/>
    <n v="306099.64"/>
    <n v="3"/>
    <n v="162"/>
    <x v="1"/>
    <n v="14"/>
    <n v="14"/>
    <n v="3"/>
    <n v="153049.82"/>
    <x v="1"/>
    <x v="1"/>
    <x v="0"/>
  </r>
  <r>
    <x v="424"/>
    <d v="2025-08-04T00:00:00"/>
    <x v="0"/>
    <x v="11"/>
    <x v="0"/>
    <s v="Hyderabad"/>
    <x v="3"/>
    <s v="Emi"/>
    <x v="1"/>
    <s v="White"/>
    <x v="18"/>
    <n v="5"/>
    <n v="140238"/>
    <n v="4.5999999999999999E-2"/>
    <n v="4.5999999999999999E-2"/>
    <n v="701190"/>
    <n v="32254.74"/>
    <n v="668935.26"/>
    <n v="5"/>
    <n v="211"/>
    <x v="2"/>
    <n v="11"/>
    <n v="11"/>
    <n v="5"/>
    <n v="133787.052"/>
    <x v="5"/>
    <x v="5"/>
    <x v="1"/>
  </r>
  <r>
    <x v="425"/>
    <d v="2025-03-14T00:00:00"/>
    <x v="7"/>
    <x v="16"/>
    <x v="0"/>
    <s v="Mumbai"/>
    <x v="2"/>
    <s v="Finance"/>
    <x v="0"/>
    <s v="Red"/>
    <x v="17"/>
    <n v="4"/>
    <n v="150469"/>
    <n v="8.3000000000000004E-2"/>
    <n v="8.3000000000000004E-2"/>
    <n v="601876"/>
    <n v="49955.71"/>
    <n v="551920.29"/>
    <n v="3"/>
    <n v="186"/>
    <x v="14"/>
    <n v="3"/>
    <n v="3"/>
    <n v="3"/>
    <n v="137980.07250000001"/>
    <x v="10"/>
    <x v="10"/>
    <x v="2"/>
  </r>
  <r>
    <x v="426"/>
    <d v="2025-04-13T00:00:00"/>
    <x v="4"/>
    <x v="5"/>
    <x v="0"/>
    <s v="Kochi"/>
    <x v="3"/>
    <s v="Cash"/>
    <x v="2"/>
    <s v="White"/>
    <x v="7"/>
    <n v="5"/>
    <n v="112929"/>
    <n v="2.1999999999999999E-2"/>
    <n v="2.1999999999999999E-2"/>
    <n v="564645"/>
    <n v="12422.19"/>
    <n v="552222.81000000006"/>
    <n v="3"/>
    <n v="171"/>
    <x v="5"/>
    <n v="8"/>
    <n v="8"/>
    <n v="5"/>
    <n v="110444.56200000001"/>
    <x v="7"/>
    <x v="7"/>
    <x v="3"/>
  </r>
  <r>
    <x v="427"/>
    <d v="2025-01-16T00:00:00"/>
    <x v="1"/>
    <x v="1"/>
    <x v="2"/>
    <s v="Chennai"/>
    <x v="2"/>
    <s v="Cash"/>
    <x v="2"/>
    <s v="White"/>
    <x v="21"/>
    <n v="3"/>
    <n v="107302"/>
    <n v="0.11"/>
    <n v="0.11"/>
    <n v="321906"/>
    <n v="35409.660000000003"/>
    <n v="286496.34000000003"/>
    <n v="4"/>
    <n v="194"/>
    <x v="7"/>
    <n v="11"/>
    <n v="11"/>
    <n v="5"/>
    <n v="95498.780000000013"/>
    <x v="11"/>
    <x v="11"/>
    <x v="2"/>
  </r>
  <r>
    <x v="428"/>
    <d v="2025-04-13T00:00:00"/>
    <x v="7"/>
    <x v="10"/>
    <x v="2"/>
    <s v="Mumbai"/>
    <x v="3"/>
    <s v="Emi"/>
    <x v="1"/>
    <s v="Red"/>
    <x v="9"/>
    <n v="4"/>
    <n v="108992"/>
    <n v="0.10299999999999999"/>
    <n v="0.10299999999999999"/>
    <n v="435968"/>
    <n v="44904.7"/>
    <n v="391063.3"/>
    <n v="3"/>
    <n v="170"/>
    <x v="13"/>
    <n v="2"/>
    <n v="2"/>
    <n v="2"/>
    <n v="97765.824999999997"/>
    <x v="7"/>
    <x v="7"/>
    <x v="3"/>
  </r>
  <r>
    <x v="429"/>
    <d v="2025-06-13T00:00:00"/>
    <x v="7"/>
    <x v="16"/>
    <x v="0"/>
    <s v="Bengaluru"/>
    <x v="3"/>
    <s v="Cash"/>
    <x v="2"/>
    <s v="Blue"/>
    <x v="17"/>
    <n v="1"/>
    <n v="141809"/>
    <n v="6.7000000000000004E-2"/>
    <n v="6.7000000000000004E-2"/>
    <n v="141809"/>
    <n v="9501.2000000000007"/>
    <n v="132307.79999999999"/>
    <n v="2"/>
    <n v="139"/>
    <x v="2"/>
    <n v="8"/>
    <n v="8"/>
    <n v="2"/>
    <n v="132307.79999999999"/>
    <x v="9"/>
    <x v="9"/>
    <x v="3"/>
  </r>
  <r>
    <x v="430"/>
    <d v="2025-04-19T00:00:00"/>
    <x v="1"/>
    <x v="9"/>
    <x v="0"/>
    <s v="Mumbai"/>
    <x v="3"/>
    <s v="Emi"/>
    <x v="1"/>
    <s v="Grey"/>
    <x v="17"/>
    <n v="1"/>
    <n v="123976"/>
    <n v="3.6999999999999998E-2"/>
    <n v="3.6999999999999998E-2"/>
    <n v="123976"/>
    <n v="4587.1099999999997"/>
    <n v="119388.89"/>
    <n v="5"/>
    <n v="194"/>
    <x v="2"/>
    <n v="10"/>
    <n v="10"/>
    <n v="3"/>
    <n v="119388.89"/>
    <x v="7"/>
    <x v="7"/>
    <x v="3"/>
  </r>
  <r>
    <x v="431"/>
    <d v="2025-09-30T00:00:00"/>
    <x v="7"/>
    <x v="16"/>
    <x v="2"/>
    <s v="Kochi"/>
    <x v="2"/>
    <s v="Finance"/>
    <x v="0"/>
    <s v="Blue"/>
    <x v="9"/>
    <n v="4"/>
    <n v="142762"/>
    <n v="0.10299999999999999"/>
    <n v="0.10299999999999999"/>
    <n v="571048"/>
    <n v="58817.94"/>
    <n v="512230.06"/>
    <n v="5"/>
    <n v="206"/>
    <x v="0"/>
    <n v="12"/>
    <n v="12"/>
    <n v="2"/>
    <n v="128057.515"/>
    <x v="3"/>
    <x v="3"/>
    <x v="1"/>
  </r>
  <r>
    <x v="432"/>
    <d v="2025-10-24T00:00:00"/>
    <x v="7"/>
    <x v="14"/>
    <x v="1"/>
    <s v="Kochi"/>
    <x v="0"/>
    <s v="Finance"/>
    <x v="0"/>
    <s v="Blue"/>
    <x v="13"/>
    <n v="3"/>
    <n v="112079"/>
    <n v="5.8000000000000003E-2"/>
    <n v="5.8000000000000003E-2"/>
    <n v="336237"/>
    <n v="19501.75"/>
    <n v="316735.25"/>
    <n v="4"/>
    <n v="161"/>
    <x v="3"/>
    <n v="4"/>
    <n v="4"/>
    <n v="2"/>
    <n v="105578.41666666667"/>
    <x v="1"/>
    <x v="1"/>
    <x v="0"/>
  </r>
  <r>
    <x v="433"/>
    <d v="2025-12-28T00:00:00"/>
    <x v="4"/>
    <x v="6"/>
    <x v="0"/>
    <s v="Ahmedabad"/>
    <x v="0"/>
    <s v="Cash"/>
    <x v="2"/>
    <s v="Grey"/>
    <x v="27"/>
    <n v="2"/>
    <n v="102416"/>
    <n v="2.7E-2"/>
    <n v="2.7E-2"/>
    <n v="204832"/>
    <n v="5530.46"/>
    <n v="199301.54"/>
    <n v="3"/>
    <n v="166"/>
    <x v="1"/>
    <n v="10"/>
    <n v="10"/>
    <n v="5"/>
    <n v="99650.77"/>
    <x v="0"/>
    <x v="0"/>
    <x v="0"/>
  </r>
  <r>
    <x v="434"/>
    <d v="2025-06-21T00:00:00"/>
    <x v="7"/>
    <x v="10"/>
    <x v="1"/>
    <s v="Jaipur"/>
    <x v="0"/>
    <s v="Cash"/>
    <x v="2"/>
    <s v="Red"/>
    <x v="8"/>
    <n v="4"/>
    <n v="123160"/>
    <n v="0.11799999999999999"/>
    <n v="0.11799999999999999"/>
    <n v="492640"/>
    <n v="58131.519999999997"/>
    <n v="434508.48"/>
    <n v="5"/>
    <n v="209"/>
    <x v="9"/>
    <n v="5"/>
    <n v="5"/>
    <n v="3"/>
    <n v="108627.12"/>
    <x v="9"/>
    <x v="9"/>
    <x v="3"/>
  </r>
  <r>
    <x v="435"/>
    <d v="2025-04-02T00:00:00"/>
    <x v="6"/>
    <x v="15"/>
    <x v="0"/>
    <s v="Bengaluru"/>
    <x v="0"/>
    <s v="Cash"/>
    <x v="2"/>
    <s v="Grey"/>
    <x v="3"/>
    <n v="1"/>
    <n v="104693"/>
    <n v="9.7000000000000003E-2"/>
    <n v="9.7000000000000003E-2"/>
    <n v="104693"/>
    <n v="10155.219999999999"/>
    <n v="94537.78"/>
    <n v="4"/>
    <n v="182"/>
    <x v="8"/>
    <n v="4"/>
    <n v="4"/>
    <n v="3"/>
    <n v="94537.78"/>
    <x v="7"/>
    <x v="7"/>
    <x v="3"/>
  </r>
  <r>
    <x v="436"/>
    <d v="2025-03-03T00:00:00"/>
    <x v="5"/>
    <x v="12"/>
    <x v="1"/>
    <s v="Chennai"/>
    <x v="0"/>
    <s v="Finance"/>
    <x v="0"/>
    <s v="Red"/>
    <x v="10"/>
    <n v="1"/>
    <n v="131565"/>
    <n v="9.0999999999999998E-2"/>
    <n v="9.0999999999999998E-2"/>
    <n v="131565"/>
    <n v="11972.41"/>
    <n v="119592.59"/>
    <n v="5"/>
    <n v="215"/>
    <x v="6"/>
    <n v="3"/>
    <n v="3"/>
    <n v="3"/>
    <n v="119592.59"/>
    <x v="10"/>
    <x v="10"/>
    <x v="2"/>
  </r>
  <r>
    <x v="437"/>
    <d v="2025-06-20T00:00:00"/>
    <x v="1"/>
    <x v="1"/>
    <x v="1"/>
    <s v="Ahmedabad"/>
    <x v="3"/>
    <s v="Finance"/>
    <x v="0"/>
    <s v="Blue"/>
    <x v="4"/>
    <n v="1"/>
    <n v="114993"/>
    <n v="7.0000000000000007E-2"/>
    <n v="7.0000000000000007E-2"/>
    <n v="114993"/>
    <n v="8049.51"/>
    <n v="106943.49"/>
    <n v="3"/>
    <n v="143"/>
    <x v="1"/>
    <n v="4"/>
    <n v="4"/>
    <n v="3"/>
    <n v="106943.49"/>
    <x v="9"/>
    <x v="9"/>
    <x v="3"/>
  </r>
  <r>
    <x v="438"/>
    <d v="2025-10-25T00:00:00"/>
    <x v="7"/>
    <x v="16"/>
    <x v="0"/>
    <s v="Chennai"/>
    <x v="2"/>
    <s v="Finance"/>
    <x v="0"/>
    <s v="White"/>
    <x v="21"/>
    <n v="3"/>
    <n v="145613"/>
    <n v="4.4999999999999998E-2"/>
    <n v="4.4999999999999998E-2"/>
    <n v="436839"/>
    <n v="19657.759999999998"/>
    <n v="417181.24"/>
    <n v="5"/>
    <n v="204"/>
    <x v="17"/>
    <n v="5"/>
    <n v="5"/>
    <n v="3"/>
    <n v="139060.41333333333"/>
    <x v="1"/>
    <x v="1"/>
    <x v="0"/>
  </r>
  <r>
    <x v="439"/>
    <d v="2025-01-30T00:00:00"/>
    <x v="0"/>
    <x v="11"/>
    <x v="2"/>
    <s v="Ahmedabad"/>
    <x v="1"/>
    <s v="Finance"/>
    <x v="0"/>
    <s v="Blue"/>
    <x v="3"/>
    <n v="1"/>
    <n v="134785"/>
    <n v="0.11600000000000001"/>
    <n v="0.11600000000000001"/>
    <n v="134785"/>
    <n v="15635.06"/>
    <n v="119149.94"/>
    <n v="5"/>
    <n v="196"/>
    <x v="2"/>
    <n v="9"/>
    <n v="9"/>
    <n v="5"/>
    <n v="119149.94"/>
    <x v="11"/>
    <x v="11"/>
    <x v="2"/>
  </r>
  <r>
    <x v="440"/>
    <d v="2025-06-19T00:00:00"/>
    <x v="2"/>
    <x v="17"/>
    <x v="0"/>
    <s v="Chennai"/>
    <x v="3"/>
    <s v="Cash"/>
    <x v="2"/>
    <s v="White"/>
    <x v="20"/>
    <n v="3"/>
    <n v="188009"/>
    <n v="3.5000000000000003E-2"/>
    <n v="3.5000000000000003E-2"/>
    <n v="564027"/>
    <n v="19740.95"/>
    <n v="544286.05000000005"/>
    <n v="5"/>
    <n v="186"/>
    <x v="7"/>
    <n v="9"/>
    <n v="9"/>
    <n v="2"/>
    <n v="181428.68333333335"/>
    <x v="9"/>
    <x v="9"/>
    <x v="3"/>
  </r>
  <r>
    <x v="441"/>
    <d v="2025-09-26T00:00:00"/>
    <x v="6"/>
    <x v="15"/>
    <x v="0"/>
    <s v="Unknown"/>
    <x v="3"/>
    <s v="Finance"/>
    <x v="0"/>
    <s v="Green"/>
    <x v="28"/>
    <n v="1"/>
    <n v="111735"/>
    <n v="2.5000000000000001E-2"/>
    <n v="2.5000000000000001E-2"/>
    <n v="111735"/>
    <n v="2793.38"/>
    <n v="108941.62"/>
    <n v="4"/>
    <n v="182"/>
    <x v="18"/>
    <n v="2"/>
    <n v="2"/>
    <n v="2"/>
    <n v="108941.62"/>
    <x v="3"/>
    <x v="3"/>
    <x v="1"/>
  </r>
  <r>
    <x v="442"/>
    <d v="2025-08-04T00:00:00"/>
    <x v="6"/>
    <x v="8"/>
    <x v="0"/>
    <s v="Kochi"/>
    <x v="2"/>
    <s v="Emi"/>
    <x v="1"/>
    <s v="Green"/>
    <x v="17"/>
    <n v="2"/>
    <n v="156105"/>
    <n v="8.2000000000000003E-2"/>
    <n v="8.2000000000000003E-2"/>
    <n v="312210"/>
    <n v="25601.22"/>
    <n v="286608.78000000003"/>
    <n v="2"/>
    <n v="137"/>
    <x v="0"/>
    <n v="7"/>
    <n v="7"/>
    <n v="3"/>
    <n v="143304.39000000001"/>
    <x v="5"/>
    <x v="5"/>
    <x v="1"/>
  </r>
  <r>
    <x v="443"/>
    <d v="2025-04-14T00:00:00"/>
    <x v="2"/>
    <x v="2"/>
    <x v="1"/>
    <s v="Mumbai"/>
    <x v="2"/>
    <s v="Finance"/>
    <x v="0"/>
    <s v="White"/>
    <x v="7"/>
    <n v="1"/>
    <n v="128401"/>
    <n v="6.5000000000000002E-2"/>
    <n v="6.5000000000000002E-2"/>
    <n v="128401"/>
    <n v="8346.07"/>
    <n v="120054.93"/>
    <n v="4"/>
    <n v="175"/>
    <x v="7"/>
    <n v="3"/>
    <n v="3"/>
    <n v="2"/>
    <n v="120054.93"/>
    <x v="7"/>
    <x v="7"/>
    <x v="3"/>
  </r>
  <r>
    <x v="444"/>
    <d v="2025-04-30T00:00:00"/>
    <x v="6"/>
    <x v="15"/>
    <x v="2"/>
    <s v="Jaipur"/>
    <x v="0"/>
    <s v="Cash"/>
    <x v="2"/>
    <s v="Black"/>
    <x v="5"/>
    <n v="4"/>
    <n v="108924"/>
    <n v="8.3000000000000004E-2"/>
    <n v="8.3000000000000004E-2"/>
    <n v="435696"/>
    <n v="36162.769999999997"/>
    <n v="399533.23"/>
    <n v="4"/>
    <n v="160"/>
    <x v="5"/>
    <n v="13"/>
    <n v="13"/>
    <n v="2"/>
    <n v="99883.307499999995"/>
    <x v="7"/>
    <x v="7"/>
    <x v="3"/>
  </r>
  <r>
    <x v="445"/>
    <d v="2025-01-29T00:00:00"/>
    <x v="3"/>
    <x v="3"/>
    <x v="0"/>
    <s v="Kochi"/>
    <x v="3"/>
    <s v="Emi"/>
    <x v="1"/>
    <s v="White"/>
    <x v="13"/>
    <n v="4"/>
    <n v="142651"/>
    <n v="5.2999999999999999E-2"/>
    <n v="5.2999999999999999E-2"/>
    <n v="570604"/>
    <n v="30242.01"/>
    <n v="540361.99"/>
    <n v="3"/>
    <n v="174"/>
    <x v="2"/>
    <n v="14"/>
    <n v="14"/>
    <n v="5"/>
    <n v="135090.4975"/>
    <x v="11"/>
    <x v="11"/>
    <x v="2"/>
  </r>
  <r>
    <x v="446"/>
    <d v="2025-03-05T00:00:00"/>
    <x v="1"/>
    <x v="1"/>
    <x v="1"/>
    <s v="Delhi"/>
    <x v="3"/>
    <s v="Emi"/>
    <x v="1"/>
    <s v="Green"/>
    <x v="24"/>
    <n v="1"/>
    <n v="107540"/>
    <n v="0.12"/>
    <n v="0.12"/>
    <n v="107540"/>
    <n v="12904.8"/>
    <n v="94635.199999999997"/>
    <n v="5"/>
    <n v="203"/>
    <x v="16"/>
    <n v="11"/>
    <n v="11"/>
    <n v="3"/>
    <n v="94635.199999999997"/>
    <x v="10"/>
    <x v="10"/>
    <x v="2"/>
  </r>
  <r>
    <x v="447"/>
    <d v="2025-10-21T00:00:00"/>
    <x v="7"/>
    <x v="16"/>
    <x v="1"/>
    <s v="Ahmedabad"/>
    <x v="0"/>
    <s v="Emi"/>
    <x v="1"/>
    <s v="Red"/>
    <x v="2"/>
    <n v="3"/>
    <n v="147494"/>
    <n v="0.06"/>
    <n v="0.06"/>
    <n v="442482"/>
    <n v="26548.92"/>
    <n v="415933.08"/>
    <n v="5"/>
    <n v="216"/>
    <x v="7"/>
    <n v="5"/>
    <n v="5"/>
    <n v="2"/>
    <n v="138644.36000000002"/>
    <x v="1"/>
    <x v="1"/>
    <x v="0"/>
  </r>
  <r>
    <x v="448"/>
    <d v="2025-09-05T00:00:00"/>
    <x v="3"/>
    <x v="4"/>
    <x v="1"/>
    <s v="Kolkata"/>
    <x v="0"/>
    <s v="Finance"/>
    <x v="0"/>
    <s v="Grey"/>
    <x v="19"/>
    <n v="2"/>
    <n v="129065"/>
    <n v="3.5000000000000003E-2"/>
    <n v="3.5000000000000003E-2"/>
    <n v="258130"/>
    <n v="9034.5499999999993"/>
    <n v="249095.45"/>
    <n v="5"/>
    <n v="203"/>
    <x v="19"/>
    <n v="3"/>
    <n v="3"/>
    <n v="5"/>
    <n v="124547.72500000001"/>
    <x v="3"/>
    <x v="3"/>
    <x v="1"/>
  </r>
  <r>
    <x v="449"/>
    <d v="2025-01-31T00:00:00"/>
    <x v="3"/>
    <x v="4"/>
    <x v="1"/>
    <s v="Chennai"/>
    <x v="3"/>
    <s v="Emi"/>
    <x v="1"/>
    <s v="Grey"/>
    <x v="29"/>
    <n v="1"/>
    <n v="117130"/>
    <n v="0.09"/>
    <n v="0.09"/>
    <n v="117130"/>
    <n v="10541.7"/>
    <n v="106588.3"/>
    <n v="2"/>
    <n v="147"/>
    <x v="7"/>
    <n v="11"/>
    <n v="11"/>
    <n v="2"/>
    <n v="106588.3"/>
    <x v="11"/>
    <x v="11"/>
    <x v="2"/>
  </r>
  <r>
    <x v="450"/>
    <d v="2025-01-25T00:00:00"/>
    <x v="3"/>
    <x v="4"/>
    <x v="1"/>
    <s v="Jaipur"/>
    <x v="2"/>
    <s v="Emi"/>
    <x v="1"/>
    <s v="Red"/>
    <x v="3"/>
    <n v="1"/>
    <n v="125654"/>
    <n v="6.9000000000000006E-2"/>
    <n v="6.9000000000000006E-2"/>
    <n v="125654"/>
    <n v="8670.1299999999992"/>
    <n v="116983.87"/>
    <n v="3"/>
    <n v="151"/>
    <x v="15"/>
    <n v="14"/>
    <n v="14"/>
    <n v="5"/>
    <n v="116983.87"/>
    <x v="11"/>
    <x v="11"/>
    <x v="2"/>
  </r>
  <r>
    <x v="451"/>
    <d v="2025-10-05T00:00:00"/>
    <x v="4"/>
    <x v="5"/>
    <x v="0"/>
    <s v="Hyderabad"/>
    <x v="1"/>
    <s v="Cash"/>
    <x v="2"/>
    <s v="Grey"/>
    <x v="10"/>
    <n v="1"/>
    <n v="108604"/>
    <n v="3.2000000000000001E-2"/>
    <n v="3.2000000000000001E-2"/>
    <n v="108604"/>
    <n v="3475.33"/>
    <n v="105128.67"/>
    <n v="4"/>
    <n v="189"/>
    <x v="15"/>
    <n v="9"/>
    <n v="9"/>
    <n v="3"/>
    <n v="105128.67"/>
    <x v="1"/>
    <x v="1"/>
    <x v="0"/>
  </r>
  <r>
    <x v="452"/>
    <d v="2025-09-13T00:00:00"/>
    <x v="0"/>
    <x v="11"/>
    <x v="0"/>
    <s v="Hyderabad"/>
    <x v="3"/>
    <s v="Emi"/>
    <x v="1"/>
    <s v="Grey"/>
    <x v="17"/>
    <n v="1"/>
    <n v="136748"/>
    <n v="0.107"/>
    <n v="0.107"/>
    <n v="136748"/>
    <n v="14632.04"/>
    <n v="122115.96"/>
    <n v="3"/>
    <n v="157"/>
    <x v="9"/>
    <n v="14"/>
    <n v="14"/>
    <n v="5"/>
    <n v="122115.96"/>
    <x v="3"/>
    <x v="3"/>
    <x v="1"/>
  </r>
  <r>
    <x v="453"/>
    <d v="2025-11-26T00:00:00"/>
    <x v="1"/>
    <x v="9"/>
    <x v="1"/>
    <s v="Kolkata"/>
    <x v="3"/>
    <s v="Finance"/>
    <x v="0"/>
    <s v="Black"/>
    <x v="6"/>
    <n v="4"/>
    <n v="124507"/>
    <n v="0.107"/>
    <n v="0.107"/>
    <n v="498028"/>
    <n v="53289"/>
    <n v="444739"/>
    <n v="4"/>
    <n v="179"/>
    <x v="17"/>
    <n v="11"/>
    <n v="11"/>
    <n v="3"/>
    <n v="111184.75"/>
    <x v="2"/>
    <x v="2"/>
    <x v="0"/>
  </r>
  <r>
    <x v="454"/>
    <d v="2025-10-06T00:00:00"/>
    <x v="5"/>
    <x v="7"/>
    <x v="2"/>
    <s v="Delhi"/>
    <x v="2"/>
    <s v="Finance"/>
    <x v="0"/>
    <s v="Black"/>
    <x v="6"/>
    <n v="2"/>
    <n v="155590"/>
    <n v="7.3999999999999996E-2"/>
    <n v="7.3999999999999996E-2"/>
    <n v="311180"/>
    <n v="23027.32"/>
    <n v="288152.68"/>
    <n v="3"/>
    <n v="163"/>
    <x v="2"/>
    <n v="14"/>
    <n v="14"/>
    <n v="3"/>
    <n v="144076.34"/>
    <x v="1"/>
    <x v="1"/>
    <x v="0"/>
  </r>
  <r>
    <x v="455"/>
    <d v="2025-01-17T00:00:00"/>
    <x v="1"/>
    <x v="9"/>
    <x v="2"/>
    <s v="Kochi"/>
    <x v="3"/>
    <s v="Cash"/>
    <x v="2"/>
    <s v="Green"/>
    <x v="13"/>
    <n v="4"/>
    <n v="138731"/>
    <n v="0.08"/>
    <n v="0.08"/>
    <n v="554924"/>
    <n v="44393.919999999998"/>
    <n v="510530.08"/>
    <n v="4"/>
    <n v="186"/>
    <x v="16"/>
    <n v="9"/>
    <n v="9"/>
    <n v="2"/>
    <n v="127632.52"/>
    <x v="11"/>
    <x v="11"/>
    <x v="2"/>
  </r>
  <r>
    <x v="456"/>
    <d v="2025-09-29T00:00:00"/>
    <x v="1"/>
    <x v="9"/>
    <x v="0"/>
    <s v="Ahmedabad"/>
    <x v="2"/>
    <s v="Cash"/>
    <x v="2"/>
    <s v="White"/>
    <x v="23"/>
    <n v="4"/>
    <n v="127484"/>
    <n v="2.8000000000000001E-2"/>
    <n v="2.8000000000000001E-2"/>
    <n v="509936"/>
    <n v="14278.21"/>
    <n v="495657.79"/>
    <n v="3"/>
    <n v="149"/>
    <x v="2"/>
    <n v="2"/>
    <n v="2"/>
    <n v="2"/>
    <n v="123914.44749999999"/>
    <x v="3"/>
    <x v="3"/>
    <x v="1"/>
  </r>
  <r>
    <x v="457"/>
    <d v="2025-11-13T00:00:00"/>
    <x v="3"/>
    <x v="3"/>
    <x v="0"/>
    <s v="Pune"/>
    <x v="2"/>
    <s v="Finance"/>
    <x v="0"/>
    <s v="White"/>
    <x v="11"/>
    <n v="1"/>
    <n v="151274"/>
    <n v="4.9000000000000002E-2"/>
    <n v="4.9000000000000002E-2"/>
    <n v="151274"/>
    <n v="7412.43"/>
    <n v="143861.57"/>
    <n v="4"/>
    <n v="169"/>
    <x v="18"/>
    <n v="10"/>
    <n v="10"/>
    <n v="3"/>
    <n v="143861.57"/>
    <x v="2"/>
    <x v="2"/>
    <x v="0"/>
  </r>
  <r>
    <x v="458"/>
    <d v="2025-10-12T00:00:00"/>
    <x v="2"/>
    <x v="2"/>
    <x v="0"/>
    <s v="Mumbai"/>
    <x v="3"/>
    <s v="Finance"/>
    <x v="0"/>
    <s v="Black"/>
    <x v="4"/>
    <n v="1"/>
    <n v="120624"/>
    <n v="6.9000000000000006E-2"/>
    <n v="6.9000000000000006E-2"/>
    <n v="120624"/>
    <n v="8323.06"/>
    <n v="112300.94"/>
    <n v="2"/>
    <n v="145"/>
    <x v="9"/>
    <n v="5"/>
    <n v="5"/>
    <n v="3"/>
    <n v="112300.94"/>
    <x v="1"/>
    <x v="1"/>
    <x v="0"/>
  </r>
  <r>
    <x v="459"/>
    <d v="2025-11-24T00:00:00"/>
    <x v="2"/>
    <x v="17"/>
    <x v="2"/>
    <s v="Bengaluru"/>
    <x v="1"/>
    <s v="Emi"/>
    <x v="1"/>
    <s v="Blue"/>
    <x v="20"/>
    <n v="1"/>
    <n v="186135"/>
    <n v="2.5000000000000001E-2"/>
    <n v="2.5000000000000001E-2"/>
    <n v="186135"/>
    <n v="4653.38"/>
    <n v="181481.62"/>
    <n v="2"/>
    <n v="153"/>
    <x v="1"/>
    <n v="5"/>
    <n v="5"/>
    <n v="3"/>
    <n v="181481.62"/>
    <x v="2"/>
    <x v="2"/>
    <x v="0"/>
  </r>
  <r>
    <x v="460"/>
    <d v="2025-01-29T00:00:00"/>
    <x v="4"/>
    <x v="6"/>
    <x v="0"/>
    <s v="Bengaluru"/>
    <x v="2"/>
    <s v="Finance"/>
    <x v="0"/>
    <s v="Blue"/>
    <x v="26"/>
    <n v="2"/>
    <n v="99839"/>
    <n v="2.1999999999999999E-2"/>
    <n v="2.1999999999999999E-2"/>
    <n v="199678"/>
    <n v="4392.92"/>
    <n v="195285.08"/>
    <n v="2"/>
    <n v="154"/>
    <x v="8"/>
    <n v="8"/>
    <n v="8"/>
    <n v="5"/>
    <n v="97642.54"/>
    <x v="11"/>
    <x v="11"/>
    <x v="2"/>
  </r>
  <r>
    <x v="461"/>
    <d v="2025-08-17T00:00:00"/>
    <x v="4"/>
    <x v="6"/>
    <x v="2"/>
    <s v="Kolkata"/>
    <x v="3"/>
    <s v="Cash"/>
    <x v="2"/>
    <s v="White"/>
    <x v="21"/>
    <n v="3"/>
    <n v="100100"/>
    <n v="2.3E-2"/>
    <n v="2.3E-2"/>
    <n v="300300"/>
    <n v="6906.9"/>
    <n v="293393.09999999998"/>
    <n v="3"/>
    <n v="152"/>
    <x v="15"/>
    <n v="8"/>
    <n v="8"/>
    <n v="3"/>
    <n v="97797.7"/>
    <x v="5"/>
    <x v="5"/>
    <x v="1"/>
  </r>
  <r>
    <x v="462"/>
    <d v="2025-02-17T00:00:00"/>
    <x v="0"/>
    <x v="11"/>
    <x v="1"/>
    <s v="Bengaluru"/>
    <x v="2"/>
    <s v="Cash"/>
    <x v="2"/>
    <s v="Grey"/>
    <x v="24"/>
    <n v="3"/>
    <n v="134633"/>
    <n v="0.05"/>
    <n v="0.05"/>
    <n v="403899"/>
    <n v="20194.95"/>
    <n v="383704.05"/>
    <n v="3"/>
    <n v="147"/>
    <x v="5"/>
    <n v="9"/>
    <n v="9"/>
    <n v="2"/>
    <n v="127901.34999999999"/>
    <x v="4"/>
    <x v="4"/>
    <x v="2"/>
  </r>
  <r>
    <x v="463"/>
    <d v="2025-08-31T00:00:00"/>
    <x v="7"/>
    <x v="16"/>
    <x v="1"/>
    <s v="Kolkata"/>
    <x v="0"/>
    <s v="Finance"/>
    <x v="0"/>
    <s v="Red"/>
    <x v="3"/>
    <n v="1"/>
    <n v="138840"/>
    <n v="3.5999999999999997E-2"/>
    <n v="3.5999999999999997E-2"/>
    <n v="138840"/>
    <n v="4998.24"/>
    <n v="133841.76"/>
    <n v="5"/>
    <n v="177"/>
    <x v="6"/>
    <n v="8"/>
    <n v="8"/>
    <n v="2"/>
    <n v="133841.76"/>
    <x v="5"/>
    <x v="5"/>
    <x v="1"/>
  </r>
  <r>
    <x v="464"/>
    <d v="2025-11-22T00:00:00"/>
    <x v="5"/>
    <x v="12"/>
    <x v="0"/>
    <s v="Ahmedabad"/>
    <x v="3"/>
    <s v="Finance"/>
    <x v="0"/>
    <s v="Red"/>
    <x v="25"/>
    <n v="1"/>
    <n v="124668"/>
    <n v="3.5000000000000003E-2"/>
    <n v="3.5000000000000003E-2"/>
    <n v="124668"/>
    <n v="4363.38"/>
    <n v="120304.62"/>
    <n v="4"/>
    <n v="196"/>
    <x v="1"/>
    <n v="12"/>
    <n v="12"/>
    <n v="3"/>
    <n v="120304.62"/>
    <x v="2"/>
    <x v="2"/>
    <x v="0"/>
  </r>
  <r>
    <x v="465"/>
    <d v="2025-06-05T00:00:00"/>
    <x v="5"/>
    <x v="13"/>
    <x v="0"/>
    <s v="Mumbai"/>
    <x v="1"/>
    <s v="Finance"/>
    <x v="0"/>
    <s v="Green"/>
    <x v="15"/>
    <n v="2"/>
    <n v="126923"/>
    <n v="0.109"/>
    <n v="0.109"/>
    <n v="253846"/>
    <n v="27669.21"/>
    <n v="226176.79"/>
    <n v="4"/>
    <n v="192"/>
    <x v="5"/>
    <n v="-11"/>
    <s v="Review"/>
    <n v="5"/>
    <n v="113088.395"/>
    <x v="9"/>
    <x v="9"/>
    <x v="3"/>
  </r>
  <r>
    <x v="466"/>
    <d v="2025-04-10T00:00:00"/>
    <x v="4"/>
    <x v="5"/>
    <x v="2"/>
    <s v="Ahmedabad"/>
    <x v="1"/>
    <s v="Emi"/>
    <x v="1"/>
    <s v="Green"/>
    <x v="2"/>
    <n v="3"/>
    <n v="121031"/>
    <n v="3.5000000000000003E-2"/>
    <n v="3.5000000000000003E-2"/>
    <n v="363093"/>
    <n v="12708.26"/>
    <n v="350384.74"/>
    <n v="3"/>
    <n v="151"/>
    <x v="7"/>
    <n v="3"/>
    <n v="3"/>
    <n v="5"/>
    <n v="116794.91333333333"/>
    <x v="7"/>
    <x v="7"/>
    <x v="3"/>
  </r>
  <r>
    <x v="467"/>
    <d v="2025-02-22T00:00:00"/>
    <x v="3"/>
    <x v="3"/>
    <x v="2"/>
    <s v="Kochi"/>
    <x v="0"/>
    <s v="Emi"/>
    <x v="1"/>
    <s v="Red"/>
    <x v="21"/>
    <n v="1"/>
    <n v="161704"/>
    <n v="9.8000000000000004E-2"/>
    <n v="9.8000000000000004E-2"/>
    <n v="161704"/>
    <n v="15846.99"/>
    <n v="145857.01"/>
    <n v="3"/>
    <n v="173"/>
    <x v="9"/>
    <n v="4"/>
    <n v="4"/>
    <n v="5"/>
    <n v="145857.01"/>
    <x v="4"/>
    <x v="4"/>
    <x v="2"/>
  </r>
  <r>
    <x v="468"/>
    <d v="2025-09-20T00:00:00"/>
    <x v="1"/>
    <x v="9"/>
    <x v="0"/>
    <s v="Jaipur"/>
    <x v="1"/>
    <s v="Finance"/>
    <x v="0"/>
    <s v="Red"/>
    <x v="1"/>
    <n v="2"/>
    <n v="126122"/>
    <n v="4.2000000000000003E-2"/>
    <n v="4.2000000000000003E-2"/>
    <n v="252244"/>
    <n v="10594.25"/>
    <n v="241649.75"/>
    <n v="4"/>
    <n v="150"/>
    <x v="16"/>
    <n v="10"/>
    <n v="10"/>
    <n v="2"/>
    <n v="120824.875"/>
    <x v="3"/>
    <x v="3"/>
    <x v="1"/>
  </r>
  <r>
    <x v="469"/>
    <d v="2025-04-29T00:00:00"/>
    <x v="2"/>
    <x v="2"/>
    <x v="1"/>
    <s v="Jaipur"/>
    <x v="0"/>
    <s v="Emi"/>
    <x v="1"/>
    <s v="White"/>
    <x v="25"/>
    <n v="1"/>
    <n v="123235"/>
    <n v="3.2000000000000001E-2"/>
    <n v="3.2000000000000001E-2"/>
    <n v="123235"/>
    <n v="3943.52"/>
    <n v="119291.48"/>
    <n v="3"/>
    <n v="163"/>
    <x v="2"/>
    <n v="7"/>
    <n v="7"/>
    <n v="5"/>
    <n v="119291.48"/>
    <x v="7"/>
    <x v="7"/>
    <x v="3"/>
  </r>
  <r>
    <x v="470"/>
    <d v="2025-04-17T00:00:00"/>
    <x v="6"/>
    <x v="8"/>
    <x v="2"/>
    <s v="Ahmedabad"/>
    <x v="3"/>
    <s v="Finance"/>
    <x v="0"/>
    <s v="Red"/>
    <x v="6"/>
    <n v="1"/>
    <n v="159889"/>
    <n v="0.114"/>
    <n v="0.114"/>
    <n v="159889"/>
    <n v="18227.349999999999"/>
    <n v="141661.65"/>
    <n v="4"/>
    <n v="175"/>
    <x v="18"/>
    <n v="11"/>
    <n v="11"/>
    <n v="3"/>
    <n v="141661.65"/>
    <x v="7"/>
    <x v="7"/>
    <x v="3"/>
  </r>
  <r>
    <x v="471"/>
    <d v="2025-08-24T00:00:00"/>
    <x v="0"/>
    <x v="0"/>
    <x v="0"/>
    <s v="Ahmedabad"/>
    <x v="3"/>
    <s v="Finance"/>
    <x v="0"/>
    <s v="White"/>
    <x v="23"/>
    <n v="2"/>
    <n v="126304"/>
    <n v="7.0999999999999994E-2"/>
    <n v="7.0999999999999994E-2"/>
    <n v="252608"/>
    <n v="17935.169999999998"/>
    <n v="234672.83"/>
    <n v="2"/>
    <n v="133"/>
    <x v="3"/>
    <n v="6"/>
    <n v="6"/>
    <n v="2"/>
    <n v="117336.41499999999"/>
    <x v="5"/>
    <x v="5"/>
    <x v="1"/>
  </r>
  <r>
    <x v="472"/>
    <d v="2025-08-30T00:00:00"/>
    <x v="1"/>
    <x v="9"/>
    <x v="0"/>
    <s v="Pune"/>
    <x v="2"/>
    <s v="Emi"/>
    <x v="1"/>
    <s v="Blue"/>
    <x v="7"/>
    <n v="5"/>
    <n v="128018"/>
    <n v="0.107"/>
    <n v="0.107"/>
    <n v="640090"/>
    <n v="68489.63"/>
    <n v="571600.37"/>
    <n v="5"/>
    <n v="192"/>
    <x v="8"/>
    <n v="9"/>
    <n v="9"/>
    <n v="3"/>
    <n v="114320.07399999999"/>
    <x v="5"/>
    <x v="5"/>
    <x v="1"/>
  </r>
  <r>
    <x v="473"/>
    <d v="2025-02-07T00:00:00"/>
    <x v="5"/>
    <x v="12"/>
    <x v="0"/>
    <s v="Hyderabad"/>
    <x v="0"/>
    <s v="Cash"/>
    <x v="2"/>
    <s v="Black"/>
    <x v="6"/>
    <n v="2"/>
    <n v="131371"/>
    <n v="2.1000000000000001E-2"/>
    <n v="2.1000000000000001E-2"/>
    <n v="262742"/>
    <n v="5517.58"/>
    <n v="257224.42"/>
    <n v="3"/>
    <n v="177"/>
    <x v="9"/>
    <n v="2"/>
    <n v="2"/>
    <n v="5"/>
    <n v="128612.21"/>
    <x v="4"/>
    <x v="4"/>
    <x v="2"/>
  </r>
  <r>
    <x v="474"/>
    <d v="2025-07-24T00:00:00"/>
    <x v="3"/>
    <x v="3"/>
    <x v="0"/>
    <s v="Ahmedabad"/>
    <x v="0"/>
    <s v="Cash"/>
    <x v="2"/>
    <s v="Black"/>
    <x v="23"/>
    <n v="2"/>
    <n v="154602"/>
    <n v="2.3E-2"/>
    <n v="2.3E-2"/>
    <n v="309204"/>
    <n v="7111.69"/>
    <n v="302092.31"/>
    <n v="4"/>
    <n v="218"/>
    <x v="1"/>
    <n v="10"/>
    <n v="10"/>
    <n v="5"/>
    <n v="151046.155"/>
    <x v="8"/>
    <x v="8"/>
    <x v="1"/>
  </r>
  <r>
    <x v="475"/>
    <d v="2025-01-12T00:00:00"/>
    <x v="2"/>
    <x v="2"/>
    <x v="0"/>
    <s v="Hyderabad"/>
    <x v="3"/>
    <s v="Finance"/>
    <x v="0"/>
    <s v="Red"/>
    <x v="11"/>
    <n v="4"/>
    <n v="121656"/>
    <n v="0.11799999999999999"/>
    <n v="0.11799999999999999"/>
    <n v="486624"/>
    <n v="57421.63"/>
    <n v="429202.37"/>
    <n v="3"/>
    <n v="157"/>
    <x v="4"/>
    <n v="8"/>
    <n v="8"/>
    <n v="2"/>
    <n v="107300.5925"/>
    <x v="11"/>
    <x v="11"/>
    <x v="2"/>
  </r>
  <r>
    <x v="476"/>
    <d v="2025-06-29T00:00:00"/>
    <x v="2"/>
    <x v="2"/>
    <x v="2"/>
    <s v="Kolkata"/>
    <x v="2"/>
    <s v="Finance"/>
    <x v="0"/>
    <s v="Green"/>
    <x v="12"/>
    <n v="2"/>
    <n v="131929"/>
    <n v="6.2E-2"/>
    <n v="6.2E-2"/>
    <n v="263858"/>
    <n v="16359.2"/>
    <n v="247498.8"/>
    <n v="2"/>
    <n v="165"/>
    <x v="1"/>
    <n v="12"/>
    <n v="12"/>
    <n v="5"/>
    <n v="123749.4"/>
    <x v="9"/>
    <x v="9"/>
    <x v="3"/>
  </r>
  <r>
    <x v="477"/>
    <d v="2025-08-21T00:00:00"/>
    <x v="7"/>
    <x v="16"/>
    <x v="2"/>
    <s v="Ahmedabad"/>
    <x v="2"/>
    <s v="Cash"/>
    <x v="2"/>
    <s v="Red"/>
    <x v="10"/>
    <n v="4"/>
    <n v="137699"/>
    <n v="4.1000000000000002E-2"/>
    <n v="4.1000000000000002E-2"/>
    <n v="550796"/>
    <n v="22582.639999999999"/>
    <n v="528213.36"/>
    <n v="5"/>
    <n v="201"/>
    <x v="6"/>
    <n v="14"/>
    <n v="14"/>
    <n v="3"/>
    <n v="132053.34"/>
    <x v="5"/>
    <x v="5"/>
    <x v="1"/>
  </r>
  <r>
    <x v="478"/>
    <d v="2025-07-20T00:00:00"/>
    <x v="3"/>
    <x v="3"/>
    <x v="2"/>
    <s v="Pune"/>
    <x v="3"/>
    <s v="Cash"/>
    <x v="2"/>
    <s v="Red"/>
    <x v="21"/>
    <n v="1"/>
    <n v="153734"/>
    <n v="8.7999999999999995E-2"/>
    <n v="8.7999999999999995E-2"/>
    <n v="153734"/>
    <n v="13528.59"/>
    <n v="140205.41"/>
    <n v="4"/>
    <n v="189"/>
    <x v="10"/>
    <n v="6"/>
    <n v="6"/>
    <n v="3"/>
    <n v="140205.41"/>
    <x v="8"/>
    <x v="8"/>
    <x v="1"/>
  </r>
  <r>
    <x v="479"/>
    <d v="2025-04-09T00:00:00"/>
    <x v="5"/>
    <x v="13"/>
    <x v="1"/>
    <s v="Hyderabad"/>
    <x v="2"/>
    <s v="Cash"/>
    <x v="2"/>
    <s v="Green"/>
    <x v="13"/>
    <n v="4"/>
    <n v="140751"/>
    <n v="7.0999999999999994E-2"/>
    <n v="7.0999999999999994E-2"/>
    <n v="563004"/>
    <n v="39973.279999999999"/>
    <n v="523030.72"/>
    <n v="5"/>
    <n v="208"/>
    <x v="7"/>
    <n v="7"/>
    <n v="7"/>
    <n v="3"/>
    <n v="130757.68"/>
    <x v="7"/>
    <x v="7"/>
    <x v="3"/>
  </r>
  <r>
    <x v="480"/>
    <d v="2025-06-04T00:00:00"/>
    <x v="7"/>
    <x v="10"/>
    <x v="2"/>
    <s v="Ahmedabad"/>
    <x v="1"/>
    <s v="Finance"/>
    <x v="0"/>
    <s v="Green"/>
    <x v="14"/>
    <n v="1"/>
    <n v="115193"/>
    <n v="0.106"/>
    <n v="0.106"/>
    <n v="115193"/>
    <n v="12210.46"/>
    <n v="102982.54"/>
    <n v="4"/>
    <n v="179"/>
    <x v="9"/>
    <n v="5"/>
    <n v="5"/>
    <n v="2"/>
    <n v="102982.54"/>
    <x v="9"/>
    <x v="9"/>
    <x v="3"/>
  </r>
  <r>
    <x v="481"/>
    <d v="2025-04-10T00:00:00"/>
    <x v="4"/>
    <x v="6"/>
    <x v="2"/>
    <s v="Mumbai"/>
    <x v="2"/>
    <s v="Finance"/>
    <x v="0"/>
    <s v="White"/>
    <x v="25"/>
    <n v="1"/>
    <n v="103877"/>
    <n v="0.106"/>
    <n v="0.106"/>
    <n v="103877"/>
    <n v="11010.96"/>
    <n v="92866.04"/>
    <n v="3"/>
    <n v="159"/>
    <x v="19"/>
    <n v="13"/>
    <n v="13"/>
    <n v="2"/>
    <n v="92866.04"/>
    <x v="7"/>
    <x v="7"/>
    <x v="3"/>
  </r>
  <r>
    <x v="482"/>
    <d v="2025-06-12T00:00:00"/>
    <x v="2"/>
    <x v="17"/>
    <x v="2"/>
    <s v="Kochi"/>
    <x v="1"/>
    <s v="Cash"/>
    <x v="2"/>
    <s v="Red"/>
    <x v="14"/>
    <n v="1"/>
    <n v="183986"/>
    <n v="0.03"/>
    <n v="0.03"/>
    <n v="183986"/>
    <n v="5519.58"/>
    <n v="178466.42"/>
    <n v="4"/>
    <n v="197"/>
    <x v="7"/>
    <n v="11"/>
    <n v="11"/>
    <n v="3"/>
    <n v="178466.42"/>
    <x v="9"/>
    <x v="9"/>
    <x v="3"/>
  </r>
  <r>
    <x v="483"/>
    <d v="2025-05-13T00:00:00"/>
    <x v="3"/>
    <x v="4"/>
    <x v="0"/>
    <s v="Kolkata"/>
    <x v="3"/>
    <s v="Finance"/>
    <x v="0"/>
    <s v="White"/>
    <x v="21"/>
    <n v="1"/>
    <n v="128834"/>
    <n v="0.107"/>
    <n v="0.107"/>
    <n v="128834"/>
    <n v="13785.24"/>
    <n v="115048.76"/>
    <n v="4"/>
    <n v="170"/>
    <x v="6"/>
    <n v="5"/>
    <n v="5"/>
    <n v="5"/>
    <n v="115048.76"/>
    <x v="6"/>
    <x v="6"/>
    <x v="3"/>
  </r>
  <r>
    <x v="484"/>
    <d v="2025-06-10T00:00:00"/>
    <x v="6"/>
    <x v="8"/>
    <x v="0"/>
    <s v="Jaipur"/>
    <x v="3"/>
    <s v="Emi"/>
    <x v="1"/>
    <s v="Blue"/>
    <x v="29"/>
    <n v="1"/>
    <n v="152585"/>
    <n v="0.104"/>
    <n v="0.104"/>
    <n v="152585"/>
    <n v="15868.84"/>
    <n v="136716.16"/>
    <n v="5"/>
    <n v="178"/>
    <x v="5"/>
    <n v="9"/>
    <n v="9"/>
    <n v="5"/>
    <n v="136716.16"/>
    <x v="9"/>
    <x v="9"/>
    <x v="3"/>
  </r>
  <r>
    <x v="485"/>
    <d v="2025-04-23T00:00:00"/>
    <x v="3"/>
    <x v="4"/>
    <x v="2"/>
    <s v="Kolkata"/>
    <x v="1"/>
    <s v="Finance"/>
    <x v="0"/>
    <s v="Blue"/>
    <x v="29"/>
    <n v="1"/>
    <n v="124326"/>
    <n v="0.115"/>
    <n v="0.115"/>
    <n v="124326"/>
    <n v="14297.49"/>
    <n v="110028.51"/>
    <n v="3"/>
    <n v="154"/>
    <x v="16"/>
    <n v="12"/>
    <n v="12"/>
    <n v="2"/>
    <n v="110028.51"/>
    <x v="7"/>
    <x v="7"/>
    <x v="3"/>
  </r>
  <r>
    <x v="486"/>
    <d v="2025-07-09T00:00:00"/>
    <x v="6"/>
    <x v="15"/>
    <x v="1"/>
    <s v="Bengaluru"/>
    <x v="1"/>
    <s v="Emi"/>
    <x v="1"/>
    <s v="Green"/>
    <x v="12"/>
    <n v="2"/>
    <n v="115008"/>
    <n v="8.2000000000000003E-2"/>
    <n v="8.2000000000000003E-2"/>
    <n v="230016"/>
    <n v="18861.310000000001"/>
    <n v="211154.69"/>
    <n v="4"/>
    <n v="192"/>
    <x v="6"/>
    <n v="4"/>
    <n v="4"/>
    <n v="3"/>
    <n v="105577.345"/>
    <x v="8"/>
    <x v="8"/>
    <x v="1"/>
  </r>
  <r>
    <x v="487"/>
    <d v="2025-06-29T00:00:00"/>
    <x v="1"/>
    <x v="1"/>
    <x v="1"/>
    <s v="Chennai"/>
    <x v="1"/>
    <s v="Emi"/>
    <x v="1"/>
    <s v="Black"/>
    <x v="2"/>
    <n v="1"/>
    <n v="109935"/>
    <n v="9.0999999999999998E-2"/>
    <n v="9.0999999999999998E-2"/>
    <n v="109935"/>
    <n v="10004.08"/>
    <n v="99930.92"/>
    <n v="4"/>
    <n v="173"/>
    <x v="4"/>
    <n v="2"/>
    <n v="2"/>
    <n v="2"/>
    <n v="99930.92"/>
    <x v="9"/>
    <x v="9"/>
    <x v="3"/>
  </r>
  <r>
    <x v="488"/>
    <d v="2025-07-28T00:00:00"/>
    <x v="0"/>
    <x v="0"/>
    <x v="1"/>
    <s v="Kolkata"/>
    <x v="2"/>
    <s v="Finance"/>
    <x v="0"/>
    <s v="Grey"/>
    <x v="2"/>
    <n v="5"/>
    <n v="123009"/>
    <n v="0.11799999999999999"/>
    <n v="0.11799999999999999"/>
    <n v="615045"/>
    <n v="72575.31"/>
    <n v="542469.68999999994"/>
    <n v="5"/>
    <n v="201"/>
    <x v="8"/>
    <n v="5"/>
    <n v="5"/>
    <n v="2"/>
    <n v="108493.93799999999"/>
    <x v="8"/>
    <x v="8"/>
    <x v="1"/>
  </r>
  <r>
    <x v="489"/>
    <d v="2025-12-19T00:00:00"/>
    <x v="1"/>
    <x v="1"/>
    <x v="0"/>
    <s v="Kolkata"/>
    <x v="1"/>
    <s v="Emi"/>
    <x v="1"/>
    <s v="Grey"/>
    <x v="0"/>
    <n v="3"/>
    <n v="115705"/>
    <n v="7.0999999999999994E-2"/>
    <n v="7.0999999999999994E-2"/>
    <n v="347115"/>
    <n v="24645.16"/>
    <n v="322469.84000000003"/>
    <n v="3"/>
    <n v="169"/>
    <x v="1"/>
    <n v="10"/>
    <n v="10"/>
    <n v="5"/>
    <n v="107489.94666666667"/>
    <x v="0"/>
    <x v="0"/>
    <x v="0"/>
  </r>
  <r>
    <x v="490"/>
    <d v="2025-03-18T00:00:00"/>
    <x v="4"/>
    <x v="5"/>
    <x v="2"/>
    <s v="Ahmedabad"/>
    <x v="0"/>
    <s v="Cash"/>
    <x v="2"/>
    <s v="White"/>
    <x v="2"/>
    <n v="4"/>
    <n v="119849"/>
    <n v="9.4E-2"/>
    <n v="9.4E-2"/>
    <n v="479396"/>
    <n v="45063.22"/>
    <n v="434332.78"/>
    <n v="2"/>
    <n v="157"/>
    <x v="7"/>
    <n v="10"/>
    <n v="10"/>
    <n v="3"/>
    <n v="108583.19500000001"/>
    <x v="10"/>
    <x v="10"/>
    <x v="2"/>
  </r>
  <r>
    <x v="491"/>
    <d v="2025-11-22T00:00:00"/>
    <x v="5"/>
    <x v="13"/>
    <x v="2"/>
    <s v="Jaipur"/>
    <x v="3"/>
    <s v="Cash"/>
    <x v="2"/>
    <s v="Black"/>
    <x v="19"/>
    <n v="1"/>
    <n v="128059"/>
    <n v="9.0999999999999998E-2"/>
    <n v="9.0999999999999998E-2"/>
    <n v="128059"/>
    <n v="11653.37"/>
    <n v="116405.63"/>
    <n v="4"/>
    <n v="182"/>
    <x v="15"/>
    <n v="14"/>
    <n v="14"/>
    <n v="3"/>
    <n v="116405.63"/>
    <x v="2"/>
    <x v="2"/>
    <x v="0"/>
  </r>
  <r>
    <x v="492"/>
    <d v="2025-01-10T00:00:00"/>
    <x v="6"/>
    <x v="8"/>
    <x v="1"/>
    <s v="Hyderabad"/>
    <x v="3"/>
    <s v="Finance"/>
    <x v="0"/>
    <s v="Grey"/>
    <x v="13"/>
    <n v="1"/>
    <n v="148016"/>
    <n v="7.1999999999999995E-2"/>
    <n v="7.1999999999999995E-2"/>
    <n v="148016"/>
    <n v="10657.15"/>
    <n v="137358.85"/>
    <n v="4"/>
    <n v="171"/>
    <x v="14"/>
    <n v="8"/>
    <n v="8"/>
    <n v="3"/>
    <n v="137358.85"/>
    <x v="11"/>
    <x v="11"/>
    <x v="2"/>
  </r>
  <r>
    <x v="493"/>
    <d v="2025-06-02T00:00:00"/>
    <x v="6"/>
    <x v="15"/>
    <x v="0"/>
    <s v="Kolkata"/>
    <x v="2"/>
    <s v="Cash"/>
    <x v="2"/>
    <s v="Green"/>
    <x v="11"/>
    <n v="1"/>
    <n v="113817"/>
    <n v="3.9E-2"/>
    <n v="3.9E-2"/>
    <n v="113817"/>
    <n v="4438.8599999999997"/>
    <n v="109378.14"/>
    <n v="4"/>
    <n v="185"/>
    <x v="0"/>
    <n v="8"/>
    <n v="8"/>
    <n v="2"/>
    <n v="109378.14"/>
    <x v="9"/>
    <x v="9"/>
    <x v="3"/>
  </r>
  <r>
    <x v="494"/>
    <d v="2025-05-29T00:00:00"/>
    <x v="3"/>
    <x v="3"/>
    <x v="0"/>
    <s v="Pune"/>
    <x v="1"/>
    <s v="Finance"/>
    <x v="0"/>
    <s v="White"/>
    <x v="17"/>
    <n v="5"/>
    <n v="158337"/>
    <n v="2.5999999999999999E-2"/>
    <n v="2.5999999999999999E-2"/>
    <n v="791685"/>
    <n v="20583.810000000001"/>
    <n v="771101.19"/>
    <n v="3"/>
    <n v="164"/>
    <x v="6"/>
    <n v="4"/>
    <n v="4"/>
    <n v="2"/>
    <n v="154220.23799999998"/>
    <x v="6"/>
    <x v="6"/>
    <x v="3"/>
  </r>
  <r>
    <x v="495"/>
    <d v="2025-04-01T00:00:00"/>
    <x v="6"/>
    <x v="15"/>
    <x v="1"/>
    <s v="Bengaluru"/>
    <x v="1"/>
    <s v="Emi"/>
    <x v="1"/>
    <s v="Green"/>
    <x v="25"/>
    <n v="2"/>
    <n v="107819"/>
    <n v="4.4999999999999998E-2"/>
    <n v="4.4999999999999998E-2"/>
    <n v="215638"/>
    <n v="9703.7099999999991"/>
    <n v="205934.29"/>
    <n v="3"/>
    <n v="170"/>
    <x v="0"/>
    <n v="4"/>
    <n v="4"/>
    <n v="5"/>
    <n v="102967.145"/>
    <x v="7"/>
    <x v="7"/>
    <x v="3"/>
  </r>
  <r>
    <x v="496"/>
    <d v="2025-10-23T00:00:00"/>
    <x v="3"/>
    <x v="4"/>
    <x v="2"/>
    <s v="Kolkata"/>
    <x v="2"/>
    <s v="Emi"/>
    <x v="1"/>
    <s v="White"/>
    <x v="1"/>
    <n v="2"/>
    <n v="122819"/>
    <n v="5.7000000000000002E-2"/>
    <n v="5.7000000000000002E-2"/>
    <n v="245638"/>
    <n v="14001.37"/>
    <n v="231636.63"/>
    <n v="4"/>
    <n v="169"/>
    <x v="16"/>
    <n v="12"/>
    <n v="12"/>
    <n v="3"/>
    <n v="115818.315"/>
    <x v="1"/>
    <x v="1"/>
    <x v="0"/>
  </r>
  <r>
    <x v="497"/>
    <d v="2025-05-14T00:00:00"/>
    <x v="4"/>
    <x v="6"/>
    <x v="1"/>
    <s v="Pune"/>
    <x v="0"/>
    <s v="Emi"/>
    <x v="1"/>
    <s v="White"/>
    <x v="6"/>
    <n v="2"/>
    <n v="106497"/>
    <n v="8.5999999999999993E-2"/>
    <n v="8.5999999999999993E-2"/>
    <n v="212994"/>
    <n v="18317.48"/>
    <n v="194676.52"/>
    <n v="4"/>
    <n v="165"/>
    <x v="7"/>
    <n v="9"/>
    <n v="9"/>
    <n v="3"/>
    <n v="97338.26"/>
    <x v="6"/>
    <x v="6"/>
    <x v="3"/>
  </r>
  <r>
    <x v="498"/>
    <d v="2025-02-05T00:00:00"/>
    <x v="3"/>
    <x v="4"/>
    <x v="0"/>
    <s v="Jaipur"/>
    <x v="0"/>
    <s v="Cash"/>
    <x v="2"/>
    <s v="Grey"/>
    <x v="23"/>
    <n v="1"/>
    <n v="113994"/>
    <n v="5.5E-2"/>
    <n v="5.5E-2"/>
    <n v="113994"/>
    <n v="6269.67"/>
    <n v="107724.33"/>
    <n v="4"/>
    <n v="197"/>
    <x v="8"/>
    <n v="2"/>
    <n v="2"/>
    <n v="2"/>
    <n v="107724.33"/>
    <x v="4"/>
    <x v="4"/>
    <x v="2"/>
  </r>
  <r>
    <x v="499"/>
    <d v="2025-08-18T00:00:00"/>
    <x v="7"/>
    <x v="10"/>
    <x v="0"/>
    <s v="Jaipur"/>
    <x v="0"/>
    <s v="Finance"/>
    <x v="0"/>
    <s v="White"/>
    <x v="28"/>
    <n v="1"/>
    <n v="117791"/>
    <n v="0.09"/>
    <n v="0.09"/>
    <n v="117791"/>
    <n v="10601.19"/>
    <n v="107189.81"/>
    <n v="2"/>
    <n v="125"/>
    <x v="16"/>
    <n v="13"/>
    <n v="13"/>
    <n v="3"/>
    <n v="107189.81"/>
    <x v="5"/>
    <x v="5"/>
    <x v="1"/>
  </r>
  <r>
    <x v="500"/>
    <d v="2025-03-29T00:00:00"/>
    <x v="3"/>
    <x v="3"/>
    <x v="1"/>
    <s v="Bengaluru"/>
    <x v="0"/>
    <s v="Cash"/>
    <x v="2"/>
    <s v="Red"/>
    <x v="16"/>
    <n v="1"/>
    <n v="153296"/>
    <n v="7.1999999999999995E-2"/>
    <n v="7.1999999999999995E-2"/>
    <n v="153296"/>
    <n v="11037.31"/>
    <n v="142258.69"/>
    <n v="3"/>
    <n v="165"/>
    <x v="8"/>
    <n v="2"/>
    <n v="2"/>
    <n v="3"/>
    <n v="142258.69"/>
    <x v="10"/>
    <x v="10"/>
    <x v="2"/>
  </r>
  <r>
    <x v="501"/>
    <d v="2025-03-29T00:00:00"/>
    <x v="0"/>
    <x v="11"/>
    <x v="2"/>
    <s v="Ahmedabad"/>
    <x v="1"/>
    <s v="Emi"/>
    <x v="1"/>
    <s v="Grey"/>
    <x v="12"/>
    <n v="1"/>
    <n v="149879"/>
    <n v="5.8999999999999997E-2"/>
    <n v="5.8999999999999997E-2"/>
    <n v="149879"/>
    <n v="8842.86"/>
    <n v="141036.14000000001"/>
    <n v="4"/>
    <n v="192"/>
    <x v="19"/>
    <n v="5"/>
    <n v="5"/>
    <n v="2"/>
    <n v="141036.14000000001"/>
    <x v="10"/>
    <x v="10"/>
    <x v="2"/>
  </r>
  <r>
    <x v="502"/>
    <d v="2025-06-01T00:00:00"/>
    <x v="1"/>
    <x v="9"/>
    <x v="0"/>
    <s v="Bengaluru"/>
    <x v="1"/>
    <s v="Finance"/>
    <x v="0"/>
    <s v="Blue"/>
    <x v="10"/>
    <n v="4"/>
    <n v="122990"/>
    <n v="4.5999999999999999E-2"/>
    <n v="4.5999999999999999E-2"/>
    <n v="491960"/>
    <n v="22630.16"/>
    <n v="469329.84"/>
    <n v="5"/>
    <n v="234"/>
    <x v="10"/>
    <n v="7"/>
    <n v="7"/>
    <n v="5"/>
    <n v="117332.46"/>
    <x v="9"/>
    <x v="9"/>
    <x v="3"/>
  </r>
  <r>
    <x v="503"/>
    <d v="2025-02-11T00:00:00"/>
    <x v="6"/>
    <x v="8"/>
    <x v="0"/>
    <s v="Ahmedabad"/>
    <x v="2"/>
    <s v="Emi"/>
    <x v="1"/>
    <s v="Red"/>
    <x v="5"/>
    <n v="3"/>
    <n v="152799"/>
    <n v="9.4E-2"/>
    <n v="9.4E-2"/>
    <n v="458397"/>
    <n v="43089.32"/>
    <n v="415307.68"/>
    <n v="4"/>
    <n v="195"/>
    <x v="7"/>
    <n v="3"/>
    <n v="3"/>
    <n v="2"/>
    <n v="138435.89333333334"/>
    <x v="4"/>
    <x v="4"/>
    <x v="2"/>
  </r>
  <r>
    <x v="504"/>
    <d v="2025-10-17T00:00:00"/>
    <x v="5"/>
    <x v="12"/>
    <x v="0"/>
    <s v="Mumbai"/>
    <x v="1"/>
    <s v="Finance"/>
    <x v="0"/>
    <s v="Blue"/>
    <x v="2"/>
    <n v="4"/>
    <n v="136732"/>
    <n v="4.7E-2"/>
    <n v="4.7E-2"/>
    <n v="546928"/>
    <n v="25705.62"/>
    <n v="521222.38"/>
    <n v="3"/>
    <n v="155"/>
    <x v="17"/>
    <n v="10"/>
    <n v="10"/>
    <n v="2"/>
    <n v="130305.595"/>
    <x v="1"/>
    <x v="1"/>
    <x v="0"/>
  </r>
  <r>
    <x v="505"/>
    <d v="2025-07-30T00:00:00"/>
    <x v="5"/>
    <x v="12"/>
    <x v="1"/>
    <s v="Delhi"/>
    <x v="0"/>
    <s v="Finance"/>
    <x v="0"/>
    <s v="Red"/>
    <x v="4"/>
    <n v="2"/>
    <n v="126634"/>
    <n v="6.7000000000000004E-2"/>
    <n v="6.7000000000000004E-2"/>
    <n v="253268"/>
    <n v="16968.96"/>
    <n v="236299.04"/>
    <n v="4"/>
    <n v="198"/>
    <x v="15"/>
    <n v="9"/>
    <n v="9"/>
    <n v="2"/>
    <n v="118149.52"/>
    <x v="8"/>
    <x v="8"/>
    <x v="1"/>
  </r>
  <r>
    <x v="506"/>
    <d v="2025-07-21T00:00:00"/>
    <x v="7"/>
    <x v="14"/>
    <x v="1"/>
    <s v="Kochi"/>
    <x v="3"/>
    <s v="Finance"/>
    <x v="0"/>
    <s v="Grey"/>
    <x v="23"/>
    <n v="1"/>
    <n v="101066"/>
    <n v="7.5999999999999998E-2"/>
    <n v="7.5999999999999998E-2"/>
    <n v="101066"/>
    <n v="7681.02"/>
    <n v="93384.98"/>
    <n v="5"/>
    <n v="202"/>
    <x v="0"/>
    <n v="10"/>
    <n v="10"/>
    <n v="5"/>
    <n v="93384.98"/>
    <x v="8"/>
    <x v="8"/>
    <x v="1"/>
  </r>
  <r>
    <x v="507"/>
    <d v="2025-09-28T00:00:00"/>
    <x v="3"/>
    <x v="3"/>
    <x v="2"/>
    <s v="Jaipur"/>
    <x v="0"/>
    <s v="Emi"/>
    <x v="1"/>
    <s v="White"/>
    <x v="23"/>
    <n v="5"/>
    <n v="156223"/>
    <n v="3.1E-2"/>
    <n v="3.1E-2"/>
    <n v="781115"/>
    <n v="24214.560000000001"/>
    <n v="756900.44"/>
    <n v="4"/>
    <n v="167"/>
    <x v="9"/>
    <n v="13"/>
    <n v="13"/>
    <n v="2"/>
    <n v="151380.08799999999"/>
    <x v="3"/>
    <x v="3"/>
    <x v="1"/>
  </r>
  <r>
    <x v="508"/>
    <d v="2025-11-01T00:00:00"/>
    <x v="3"/>
    <x v="3"/>
    <x v="2"/>
    <s v="Ahmedabad"/>
    <x v="0"/>
    <s v="Cash"/>
    <x v="2"/>
    <s v="Red"/>
    <x v="27"/>
    <n v="2"/>
    <n v="153638"/>
    <n v="2.5999999999999999E-2"/>
    <n v="2.5999999999999999E-2"/>
    <n v="307276"/>
    <n v="7989.18"/>
    <n v="299286.82"/>
    <n v="5"/>
    <n v="226"/>
    <x v="10"/>
    <n v="5"/>
    <n v="5"/>
    <n v="2"/>
    <n v="149643.41"/>
    <x v="2"/>
    <x v="2"/>
    <x v="0"/>
  </r>
  <r>
    <x v="509"/>
    <d v="2025-07-23T00:00:00"/>
    <x v="6"/>
    <x v="8"/>
    <x v="1"/>
    <s v="Hyderabad"/>
    <x v="0"/>
    <s v="Emi"/>
    <x v="1"/>
    <s v="Black"/>
    <x v="0"/>
    <n v="1"/>
    <n v="147032"/>
    <n v="9.4E-2"/>
    <n v="9.4E-2"/>
    <n v="147032"/>
    <n v="13821.01"/>
    <n v="133210.99"/>
    <n v="3"/>
    <n v="160"/>
    <x v="20"/>
    <n v="2"/>
    <n v="2"/>
    <n v="5"/>
    <n v="133210.99"/>
    <x v="8"/>
    <x v="8"/>
    <x v="1"/>
  </r>
  <r>
    <x v="510"/>
    <d v="2025-02-02T00:00:00"/>
    <x v="3"/>
    <x v="4"/>
    <x v="2"/>
    <s v="Delhi"/>
    <x v="3"/>
    <s v="Finance"/>
    <x v="0"/>
    <s v="Grey"/>
    <x v="18"/>
    <n v="2"/>
    <n v="126674"/>
    <n v="0.05"/>
    <n v="0.05"/>
    <n v="253348"/>
    <n v="12667.4"/>
    <n v="240680.6"/>
    <n v="3"/>
    <n v="159"/>
    <x v="3"/>
    <n v="2"/>
    <n v="2"/>
    <n v="5"/>
    <n v="120340.3"/>
    <x v="4"/>
    <x v="4"/>
    <x v="2"/>
  </r>
  <r>
    <x v="511"/>
    <d v="2025-10-25T00:00:00"/>
    <x v="2"/>
    <x v="17"/>
    <x v="2"/>
    <s v="Delhi"/>
    <x v="2"/>
    <s v="Cash"/>
    <x v="2"/>
    <s v="White"/>
    <x v="20"/>
    <n v="1"/>
    <n v="182692"/>
    <n v="9.9000000000000005E-2"/>
    <n v="9.9000000000000005E-2"/>
    <n v="182692"/>
    <n v="18086.509999999998"/>
    <n v="164605.49"/>
    <n v="4"/>
    <n v="166"/>
    <x v="9"/>
    <n v="7"/>
    <n v="7"/>
    <n v="3"/>
    <n v="164605.49"/>
    <x v="1"/>
    <x v="1"/>
    <x v="0"/>
  </r>
  <r>
    <x v="512"/>
    <d v="2025-10-08T00:00:00"/>
    <x v="5"/>
    <x v="12"/>
    <x v="0"/>
    <s v="Mumbai"/>
    <x v="1"/>
    <s v="Finance"/>
    <x v="0"/>
    <s v="Red"/>
    <x v="6"/>
    <n v="2"/>
    <n v="136931"/>
    <n v="0.1"/>
    <n v="0.1"/>
    <n v="273862"/>
    <n v="27386.2"/>
    <n v="246475.8"/>
    <n v="5"/>
    <n v="209"/>
    <x v="6"/>
    <n v="3"/>
    <n v="3"/>
    <n v="3"/>
    <n v="123237.9"/>
    <x v="1"/>
    <x v="1"/>
    <x v="0"/>
  </r>
  <r>
    <x v="513"/>
    <d v="2025-11-02T00:00:00"/>
    <x v="4"/>
    <x v="5"/>
    <x v="1"/>
    <s v="Hyderabad"/>
    <x v="1"/>
    <s v="Cash"/>
    <x v="2"/>
    <s v="White"/>
    <x v="1"/>
    <n v="1"/>
    <n v="116335"/>
    <n v="0.112"/>
    <n v="0.112"/>
    <n v="116335"/>
    <n v="13029.52"/>
    <n v="103305.48"/>
    <n v="5"/>
    <n v="195"/>
    <x v="17"/>
    <n v="12"/>
    <n v="12"/>
    <n v="5"/>
    <n v="103305.48"/>
    <x v="2"/>
    <x v="2"/>
    <x v="0"/>
  </r>
  <r>
    <x v="514"/>
    <d v="2025-12-20T00:00:00"/>
    <x v="7"/>
    <x v="10"/>
    <x v="2"/>
    <s v="Kolkata"/>
    <x v="3"/>
    <s v="Emi"/>
    <x v="1"/>
    <s v="Grey"/>
    <x v="19"/>
    <n v="1"/>
    <n v="122742"/>
    <n v="3.9E-2"/>
    <n v="3.9E-2"/>
    <n v="122742"/>
    <n v="4786.9399999999996"/>
    <n v="117955.06"/>
    <n v="3"/>
    <n v="190"/>
    <x v="17"/>
    <n v="5"/>
    <n v="5"/>
    <n v="3"/>
    <n v="117955.06"/>
    <x v="0"/>
    <x v="0"/>
    <x v="0"/>
  </r>
  <r>
    <x v="515"/>
    <d v="2025-11-15T00:00:00"/>
    <x v="5"/>
    <x v="12"/>
    <x v="2"/>
    <s v="Kochi"/>
    <x v="0"/>
    <s v="Cash"/>
    <x v="2"/>
    <s v="Red"/>
    <x v="8"/>
    <n v="1"/>
    <n v="135585"/>
    <n v="0.11899999999999999"/>
    <n v="0.11899999999999999"/>
    <n v="135585"/>
    <n v="16134.61"/>
    <n v="119450.39"/>
    <n v="4"/>
    <n v="166"/>
    <x v="5"/>
    <n v="10"/>
    <n v="10"/>
    <n v="5"/>
    <n v="119450.39"/>
    <x v="2"/>
    <x v="2"/>
    <x v="0"/>
  </r>
  <r>
    <x v="516"/>
    <d v="2025-08-05T00:00:00"/>
    <x v="0"/>
    <x v="11"/>
    <x v="2"/>
    <s v="Unknown"/>
    <x v="1"/>
    <s v="Finance"/>
    <x v="0"/>
    <s v="Green"/>
    <x v="17"/>
    <n v="1"/>
    <n v="142930"/>
    <n v="0.11600000000000001"/>
    <n v="0.11600000000000001"/>
    <n v="142930"/>
    <n v="16579.88"/>
    <n v="126350.12"/>
    <n v="4"/>
    <n v="184"/>
    <x v="5"/>
    <n v="7"/>
    <n v="7"/>
    <n v="3"/>
    <n v="126350.12"/>
    <x v="5"/>
    <x v="5"/>
    <x v="1"/>
  </r>
  <r>
    <x v="517"/>
    <d v="2025-06-05T00:00:00"/>
    <x v="1"/>
    <x v="1"/>
    <x v="1"/>
    <s v="Bengaluru"/>
    <x v="3"/>
    <s v="Finance"/>
    <x v="0"/>
    <s v="Red"/>
    <x v="22"/>
    <n v="1"/>
    <n v="103550"/>
    <n v="2.8000000000000001E-2"/>
    <n v="2.8000000000000001E-2"/>
    <n v="103550"/>
    <n v="2899.4"/>
    <n v="100650.6"/>
    <n v="4"/>
    <n v="181"/>
    <x v="14"/>
    <n v="12"/>
    <n v="12"/>
    <n v="2"/>
    <n v="100650.6"/>
    <x v="9"/>
    <x v="9"/>
    <x v="3"/>
  </r>
  <r>
    <x v="518"/>
    <d v="2025-11-06T00:00:00"/>
    <x v="6"/>
    <x v="8"/>
    <x v="2"/>
    <s v="Bengaluru"/>
    <x v="1"/>
    <s v="Emi"/>
    <x v="1"/>
    <s v="Green"/>
    <x v="13"/>
    <n v="1"/>
    <n v="143423"/>
    <n v="0.1"/>
    <n v="0.1"/>
    <n v="143423"/>
    <n v="14342.3"/>
    <n v="129080.7"/>
    <n v="4"/>
    <n v="206"/>
    <x v="8"/>
    <n v="9"/>
    <n v="9"/>
    <n v="5"/>
    <n v="129080.7"/>
    <x v="2"/>
    <x v="2"/>
    <x v="0"/>
  </r>
  <r>
    <x v="519"/>
    <d v="2025-05-22T00:00:00"/>
    <x v="3"/>
    <x v="3"/>
    <x v="0"/>
    <s v="Chennai"/>
    <x v="1"/>
    <s v="Emi"/>
    <x v="1"/>
    <s v="Grey"/>
    <x v="16"/>
    <n v="4"/>
    <n v="151144"/>
    <n v="6.2E-2"/>
    <n v="6.2E-2"/>
    <n v="604576"/>
    <n v="37483.71"/>
    <n v="567092.29"/>
    <n v="5"/>
    <n v="192"/>
    <x v="5"/>
    <n v="12"/>
    <n v="12"/>
    <n v="5"/>
    <n v="141773.07250000001"/>
    <x v="6"/>
    <x v="6"/>
    <x v="3"/>
  </r>
  <r>
    <x v="520"/>
    <d v="2025-03-18T00:00:00"/>
    <x v="5"/>
    <x v="7"/>
    <x v="0"/>
    <s v="Kochi"/>
    <x v="0"/>
    <s v="Finance"/>
    <x v="0"/>
    <s v="Grey"/>
    <x v="24"/>
    <n v="2"/>
    <n v="153796"/>
    <n v="8.5000000000000006E-2"/>
    <n v="8.5000000000000006E-2"/>
    <n v="307592"/>
    <n v="26145.32"/>
    <n v="281446.68"/>
    <n v="4"/>
    <n v="174"/>
    <x v="16"/>
    <n v="13"/>
    <n v="13"/>
    <n v="2"/>
    <n v="140723.34"/>
    <x v="10"/>
    <x v="10"/>
    <x v="2"/>
  </r>
  <r>
    <x v="521"/>
    <d v="2025-05-22T00:00:00"/>
    <x v="5"/>
    <x v="7"/>
    <x v="0"/>
    <s v="Delhi"/>
    <x v="1"/>
    <s v="Emi"/>
    <x v="1"/>
    <s v="Red"/>
    <x v="7"/>
    <n v="2"/>
    <n v="137253"/>
    <n v="7.6999999999999999E-2"/>
    <n v="7.6999999999999999E-2"/>
    <n v="274506"/>
    <n v="21136.959999999999"/>
    <n v="253369.04"/>
    <n v="4"/>
    <n v="177"/>
    <x v="7"/>
    <n v="12"/>
    <n v="12"/>
    <n v="5"/>
    <n v="126684.52"/>
    <x v="6"/>
    <x v="6"/>
    <x v="3"/>
  </r>
  <r>
    <x v="522"/>
    <d v="2025-03-25T00:00:00"/>
    <x v="4"/>
    <x v="5"/>
    <x v="2"/>
    <s v="Mumbai"/>
    <x v="2"/>
    <s v="Finance"/>
    <x v="0"/>
    <s v="Green"/>
    <x v="3"/>
    <n v="1"/>
    <n v="116806"/>
    <n v="8.7999999999999995E-2"/>
    <n v="8.7999999999999995E-2"/>
    <n v="116806"/>
    <n v="10278.93"/>
    <n v="106527.07"/>
    <n v="4"/>
    <n v="182"/>
    <x v="1"/>
    <n v="2"/>
    <n v="2"/>
    <n v="3"/>
    <n v="106527.07"/>
    <x v="10"/>
    <x v="10"/>
    <x v="2"/>
  </r>
  <r>
    <x v="523"/>
    <d v="2025-11-14T00:00:00"/>
    <x v="5"/>
    <x v="7"/>
    <x v="1"/>
    <s v="Jaipur"/>
    <x v="1"/>
    <s v="Finance"/>
    <x v="0"/>
    <s v="Black"/>
    <x v="19"/>
    <n v="1"/>
    <n v="138581"/>
    <n v="2.8000000000000001E-2"/>
    <n v="2.8000000000000001E-2"/>
    <n v="138581"/>
    <n v="3880.27"/>
    <n v="134700.73000000001"/>
    <n v="4"/>
    <n v="193"/>
    <x v="15"/>
    <n v="13"/>
    <n v="13"/>
    <n v="5"/>
    <n v="134700.73000000001"/>
    <x v="2"/>
    <x v="2"/>
    <x v="0"/>
  </r>
  <r>
    <x v="524"/>
    <d v="2025-01-20T00:00:00"/>
    <x v="7"/>
    <x v="10"/>
    <x v="2"/>
    <s v="Delhi"/>
    <x v="0"/>
    <s v="Emi"/>
    <x v="1"/>
    <s v="Green"/>
    <x v="17"/>
    <n v="2"/>
    <n v="113778"/>
    <n v="5.2999999999999999E-2"/>
    <n v="5.2999999999999999E-2"/>
    <n v="227556"/>
    <n v="12060.47"/>
    <n v="215495.53"/>
    <n v="3"/>
    <n v="157"/>
    <x v="2"/>
    <n v="14"/>
    <n v="14"/>
    <n v="2"/>
    <n v="107747.765"/>
    <x v="11"/>
    <x v="11"/>
    <x v="2"/>
  </r>
  <r>
    <x v="525"/>
    <d v="2025-07-29T00:00:00"/>
    <x v="6"/>
    <x v="8"/>
    <x v="1"/>
    <s v="Kolkata"/>
    <x v="2"/>
    <s v="Cash"/>
    <x v="2"/>
    <s v="Grey"/>
    <x v="22"/>
    <n v="1"/>
    <n v="150568"/>
    <n v="9.0999999999999998E-2"/>
    <n v="9.0999999999999998E-2"/>
    <n v="150568"/>
    <n v="13701.69"/>
    <n v="136866.31"/>
    <n v="4"/>
    <n v="190"/>
    <x v="17"/>
    <n v="12"/>
    <n v="12"/>
    <n v="2"/>
    <n v="136866.31"/>
    <x v="8"/>
    <x v="8"/>
    <x v="1"/>
  </r>
  <r>
    <x v="526"/>
    <d v="2025-12-23T00:00:00"/>
    <x v="2"/>
    <x v="2"/>
    <x v="2"/>
    <s v="Chennai"/>
    <x v="1"/>
    <s v="Cash"/>
    <x v="2"/>
    <s v="Grey"/>
    <x v="4"/>
    <n v="1"/>
    <n v="129328"/>
    <n v="4.4999999999999998E-2"/>
    <n v="4.4999999999999998E-2"/>
    <n v="129328"/>
    <n v="5819.76"/>
    <n v="123508.24"/>
    <n v="2"/>
    <n v="150"/>
    <x v="17"/>
    <n v="8"/>
    <n v="8"/>
    <n v="5"/>
    <n v="123508.24"/>
    <x v="0"/>
    <x v="0"/>
    <x v="0"/>
  </r>
  <r>
    <x v="527"/>
    <d v="2025-11-16T00:00:00"/>
    <x v="2"/>
    <x v="2"/>
    <x v="2"/>
    <s v="Hyderabad"/>
    <x v="3"/>
    <s v="Emi"/>
    <x v="1"/>
    <s v="Black"/>
    <x v="10"/>
    <n v="2"/>
    <n v="127137"/>
    <m/>
    <s v="missing"/>
    <n v="254274"/>
    <n v="25935.95"/>
    <n v="228338.05"/>
    <n v="5"/>
    <n v="205"/>
    <x v="14"/>
    <n v="14"/>
    <n v="14"/>
    <n v="5"/>
    <n v="114169.02499999999"/>
    <x v="2"/>
    <x v="2"/>
    <x v="0"/>
  </r>
  <r>
    <x v="528"/>
    <d v="2025-12-31T00:00:00"/>
    <x v="3"/>
    <x v="4"/>
    <x v="1"/>
    <s v="Jaipur"/>
    <x v="0"/>
    <s v="Finance"/>
    <x v="0"/>
    <s v="Green"/>
    <x v="1"/>
    <n v="1"/>
    <n v="126846"/>
    <n v="4.5999999999999999E-2"/>
    <n v="4.5999999999999999E-2"/>
    <n v="126846"/>
    <n v="5834.92"/>
    <n v="121011.08"/>
    <n v="3"/>
    <n v="188"/>
    <x v="15"/>
    <n v="13"/>
    <n v="13"/>
    <n v="2"/>
    <n v="121011.08"/>
    <x v="0"/>
    <x v="0"/>
    <x v="0"/>
  </r>
  <r>
    <x v="529"/>
    <d v="2025-12-18T00:00:00"/>
    <x v="2"/>
    <x v="17"/>
    <x v="0"/>
    <s v="Mumbai"/>
    <x v="1"/>
    <s v="Cash"/>
    <x v="2"/>
    <s v="White"/>
    <x v="18"/>
    <n v="1"/>
    <n v="174370"/>
    <n v="6.9000000000000006E-2"/>
    <n v="6.9000000000000006E-2"/>
    <n v="174370"/>
    <n v="12031.53"/>
    <n v="162338.47"/>
    <n v="5"/>
    <n v="209"/>
    <x v="16"/>
    <n v="8"/>
    <n v="8"/>
    <n v="2"/>
    <n v="162338.47"/>
    <x v="0"/>
    <x v="0"/>
    <x v="0"/>
  </r>
  <r>
    <x v="530"/>
    <d v="2025-12-12T00:00:00"/>
    <x v="6"/>
    <x v="15"/>
    <x v="2"/>
    <s v="Ahmedabad"/>
    <x v="0"/>
    <s v="Finance"/>
    <x v="0"/>
    <s v="Blue"/>
    <x v="10"/>
    <n v="4"/>
    <n v="117926"/>
    <n v="7.1999999999999995E-2"/>
    <n v="7.1999999999999995E-2"/>
    <n v="471704"/>
    <n v="33962.69"/>
    <n v="437741.31"/>
    <n v="4"/>
    <n v="176"/>
    <x v="15"/>
    <n v="8"/>
    <n v="8"/>
    <n v="5"/>
    <n v="109435.3275"/>
    <x v="0"/>
    <x v="0"/>
    <x v="0"/>
  </r>
  <r>
    <x v="531"/>
    <d v="2025-11-24T00:00:00"/>
    <x v="2"/>
    <x v="2"/>
    <x v="0"/>
    <s v="Delhi"/>
    <x v="2"/>
    <s v="Emi"/>
    <x v="1"/>
    <s v="Red"/>
    <x v="22"/>
    <n v="1"/>
    <n v="128405"/>
    <n v="2.7E-2"/>
    <n v="2.7E-2"/>
    <n v="128405"/>
    <n v="3466.93"/>
    <n v="124938.07"/>
    <n v="4"/>
    <n v="185"/>
    <x v="19"/>
    <n v="2"/>
    <n v="2"/>
    <n v="2"/>
    <n v="124938.07"/>
    <x v="2"/>
    <x v="2"/>
    <x v="0"/>
  </r>
  <r>
    <x v="532"/>
    <d v="2025-07-13T00:00:00"/>
    <x v="4"/>
    <x v="5"/>
    <x v="1"/>
    <s v="Delhi"/>
    <x v="2"/>
    <s v=" Emi "/>
    <x v="3"/>
    <s v="Grey"/>
    <x v="3"/>
    <n v="2"/>
    <n v="108395"/>
    <n v="8.5000000000000006E-2"/>
    <n v="8.5000000000000006E-2"/>
    <n v="216790"/>
    <n v="18427.150000000001"/>
    <n v="198362.85"/>
    <n v="4"/>
    <n v="175"/>
    <x v="8"/>
    <n v="13"/>
    <n v="13"/>
    <n v="2"/>
    <n v="99181.425000000003"/>
    <x v="8"/>
    <x v="8"/>
    <x v="1"/>
  </r>
  <r>
    <x v="533"/>
    <d v="2025-10-21T00:00:00"/>
    <x v="4"/>
    <x v="5"/>
    <x v="0"/>
    <s v="Kolkata"/>
    <x v="1"/>
    <s v="Finance"/>
    <x v="0"/>
    <s v="Grey"/>
    <x v="8"/>
    <n v="1"/>
    <n v="123680"/>
    <n v="5.1999999999999998E-2"/>
    <n v="5.1999999999999998E-2"/>
    <n v="123680"/>
    <n v="6431.36"/>
    <n v="117248.64"/>
    <n v="5"/>
    <n v="198"/>
    <x v="3"/>
    <n v="10"/>
    <n v="10"/>
    <n v="3"/>
    <n v="117248.64"/>
    <x v="1"/>
    <x v="1"/>
    <x v="0"/>
  </r>
  <r>
    <x v="534"/>
    <d v="2025-10-26T00:00:00"/>
    <x v="2"/>
    <x v="17"/>
    <x v="2"/>
    <s v="Ahmedabad"/>
    <x v="1"/>
    <s v="Finance"/>
    <x v="0"/>
    <s v="Blue"/>
    <x v="24"/>
    <n v="1"/>
    <n v="182231"/>
    <n v="0.111"/>
    <n v="0.111"/>
    <n v="182231"/>
    <n v="20227.64"/>
    <n v="162003.35999999999"/>
    <n v="4"/>
    <n v="184"/>
    <x v="7"/>
    <n v="13"/>
    <n v="13"/>
    <n v="5"/>
    <n v="162003.35999999999"/>
    <x v="1"/>
    <x v="1"/>
    <x v="0"/>
  </r>
  <r>
    <x v="535"/>
    <d v="2025-06-10T00:00:00"/>
    <x v="7"/>
    <x v="10"/>
    <x v="2"/>
    <s v="Kolkata"/>
    <x v="1"/>
    <s v="Finance"/>
    <x v="0"/>
    <s v="White"/>
    <x v="21"/>
    <n v="1"/>
    <n v="112578"/>
    <n v="5.1999999999999998E-2"/>
    <n v="5.1999999999999998E-2"/>
    <n v="112578"/>
    <n v="5854.06"/>
    <n v="106723.94"/>
    <n v="5"/>
    <n v="196"/>
    <x v="12"/>
    <n v="7"/>
    <n v="7"/>
    <n v="3"/>
    <n v="106723.94"/>
    <x v="9"/>
    <x v="9"/>
    <x v="3"/>
  </r>
  <r>
    <x v="536"/>
    <d v="2025-09-22T00:00:00"/>
    <x v="5"/>
    <x v="7"/>
    <x v="2"/>
    <s v="Ahmedabad"/>
    <x v="1"/>
    <s v="Finance"/>
    <x v="0"/>
    <s v="Green"/>
    <x v="15"/>
    <n v="5"/>
    <n v="151245"/>
    <n v="9.7000000000000003E-2"/>
    <n v="9.7000000000000003E-2"/>
    <n v="756225"/>
    <n v="73353.820000000007"/>
    <n v="682871.18"/>
    <n v="4"/>
    <n v="212"/>
    <x v="17"/>
    <n v="3"/>
    <n v="3"/>
    <n v="2"/>
    <n v="136574.236"/>
    <x v="3"/>
    <x v="3"/>
    <x v="1"/>
  </r>
  <r>
    <x v="537"/>
    <d v="2025-10-15T00:00:00"/>
    <x v="4"/>
    <x v="6"/>
    <x v="2"/>
    <s v="Pune"/>
    <x v="1"/>
    <s v="Cash"/>
    <x v="2"/>
    <s v="Grey"/>
    <x v="9"/>
    <n v="3"/>
    <n v="100228"/>
    <n v="0.11600000000000001"/>
    <n v="0.11600000000000001"/>
    <n v="300684"/>
    <n v="34879.339999999997"/>
    <n v="265804.65999999997"/>
    <n v="5"/>
    <n v="209"/>
    <x v="5"/>
    <n v="12"/>
    <n v="12"/>
    <n v="3"/>
    <n v="88601.55333333333"/>
    <x v="1"/>
    <x v="1"/>
    <x v="0"/>
  </r>
  <r>
    <x v="538"/>
    <d v="2025-01-26T00:00:00"/>
    <x v="7"/>
    <x v="10"/>
    <x v="1"/>
    <s v="Bengaluru"/>
    <x v="2"/>
    <s v="Cash"/>
    <x v="2"/>
    <s v="Blue"/>
    <x v="24"/>
    <n v="4"/>
    <n v="116143"/>
    <n v="6.4000000000000001E-2"/>
    <n v="6.4000000000000001E-2"/>
    <n v="464572"/>
    <n v="29732.61"/>
    <n v="434839.39"/>
    <n v="4"/>
    <n v="170"/>
    <x v="9"/>
    <n v="13"/>
    <n v="13"/>
    <n v="3"/>
    <n v="108709.8475"/>
    <x v="11"/>
    <x v="11"/>
    <x v="2"/>
  </r>
  <r>
    <x v="539"/>
    <d v="2025-01-26T00:00:00"/>
    <x v="2"/>
    <x v="17"/>
    <x v="1"/>
    <s v="Bengaluru"/>
    <x v="2"/>
    <s v="Finance"/>
    <x v="0"/>
    <s v="Black"/>
    <x v="1"/>
    <n v="5"/>
    <n v="185645"/>
    <n v="6.6000000000000003E-2"/>
    <n v="6.6000000000000003E-2"/>
    <n v="928225"/>
    <n v="61262.85"/>
    <n v="866962.15"/>
    <n v="3"/>
    <n v="159"/>
    <x v="0"/>
    <n v="5"/>
    <n v="5"/>
    <n v="3"/>
    <n v="173392.43"/>
    <x v="11"/>
    <x v="11"/>
    <x v="2"/>
  </r>
  <r>
    <x v="540"/>
    <d v="2025-10-09T00:00:00"/>
    <x v="5"/>
    <x v="12"/>
    <x v="1"/>
    <s v="Bengaluru"/>
    <x v="2"/>
    <s v="Finance"/>
    <x v="0"/>
    <s v="White"/>
    <x v="19"/>
    <n v="4"/>
    <n v="124257"/>
    <n v="9.6000000000000002E-2"/>
    <n v="9.6000000000000002E-2"/>
    <n v="497028"/>
    <n v="47714.69"/>
    <n v="449313.31"/>
    <n v="4"/>
    <n v="183"/>
    <x v="9"/>
    <n v="5"/>
    <n v="5"/>
    <n v="2"/>
    <n v="112328.3275"/>
    <x v="1"/>
    <x v="1"/>
    <x v="0"/>
  </r>
  <r>
    <x v="541"/>
    <d v="2025-12-25T00:00:00"/>
    <x v="1"/>
    <x v="9"/>
    <x v="2"/>
    <s v="Ahmedabad"/>
    <x v="0"/>
    <s v="Cash"/>
    <x v="2"/>
    <s v="Grey"/>
    <x v="26"/>
    <n v="2"/>
    <n v="124249"/>
    <n v="0.113"/>
    <n v="0.113"/>
    <n v="248498"/>
    <n v="28080.27"/>
    <n v="220417.73"/>
    <n v="3"/>
    <n v="157"/>
    <x v="4"/>
    <n v="5"/>
    <n v="5"/>
    <n v="3"/>
    <n v="110208.86500000001"/>
    <x v="0"/>
    <x v="0"/>
    <x v="0"/>
  </r>
  <r>
    <x v="542"/>
    <d v="2025-06-18T00:00:00"/>
    <x v="6"/>
    <x v="8"/>
    <x v="0"/>
    <s v="Ahmedabad"/>
    <x v="3"/>
    <s v="Cash"/>
    <x v="2"/>
    <s v="White"/>
    <x v="27"/>
    <n v="2"/>
    <n v="152880"/>
    <n v="9.0999999999999998E-2"/>
    <n v="9.0999999999999998E-2"/>
    <n v="305760"/>
    <n v="27824.16"/>
    <n v="277935.84000000003"/>
    <n v="5"/>
    <n v="193"/>
    <x v="7"/>
    <n v="14"/>
    <n v="14"/>
    <n v="3"/>
    <n v="138967.92000000001"/>
    <x v="9"/>
    <x v="9"/>
    <x v="3"/>
  </r>
  <r>
    <x v="543"/>
    <d v="2025-10-01T00:00:00"/>
    <x v="5"/>
    <x v="12"/>
    <x v="0"/>
    <s v="Kolkata"/>
    <x v="0"/>
    <s v="Finance"/>
    <x v="0"/>
    <s v="Black"/>
    <x v="22"/>
    <n v="2"/>
    <n v="123531"/>
    <n v="9.6000000000000002E-2"/>
    <n v="9.6000000000000002E-2"/>
    <n v="247062"/>
    <n v="23717.95"/>
    <n v="223344.05"/>
    <n v="3"/>
    <n v="160"/>
    <x v="6"/>
    <n v="10"/>
    <n v="10"/>
    <n v="5"/>
    <n v="111672.02499999999"/>
    <x v="1"/>
    <x v="1"/>
    <x v="0"/>
  </r>
  <r>
    <x v="544"/>
    <d v="2025-11-16T00:00:00"/>
    <x v="7"/>
    <x v="10"/>
    <x v="1"/>
    <s v="Jaipur"/>
    <x v="3"/>
    <s v="Emi"/>
    <x v="1"/>
    <s v="White"/>
    <x v="18"/>
    <n v="1"/>
    <n v="117758"/>
    <n v="0.09"/>
    <n v="0.09"/>
    <n v="117758"/>
    <n v="10598.22"/>
    <n v="107159.78"/>
    <n v="4"/>
    <n v="181"/>
    <x v="5"/>
    <n v="11"/>
    <n v="11"/>
    <n v="2"/>
    <n v="107159.78"/>
    <x v="2"/>
    <x v="2"/>
    <x v="0"/>
  </r>
  <r>
    <x v="545"/>
    <d v="2025-03-15T00:00:00"/>
    <x v="6"/>
    <x v="15"/>
    <x v="0"/>
    <s v="Ahmedabad"/>
    <x v="2"/>
    <s v="Finance"/>
    <x v="0"/>
    <s v="Grey"/>
    <x v="22"/>
    <n v="1"/>
    <n v="107312"/>
    <n v="0.11799999999999999"/>
    <n v="0.11799999999999999"/>
    <n v="107312"/>
    <n v="12662.82"/>
    <n v="94649.18"/>
    <n v="5"/>
    <n v="211"/>
    <x v="7"/>
    <n v="7"/>
    <n v="7"/>
    <n v="2"/>
    <n v="94649.18"/>
    <x v="10"/>
    <x v="10"/>
    <x v="2"/>
  </r>
  <r>
    <x v="546"/>
    <d v="2025-05-08T00:00:00"/>
    <x v="2"/>
    <x v="17"/>
    <x v="0"/>
    <s v="Chennai"/>
    <x v="1"/>
    <s v="Cash"/>
    <x v="2"/>
    <s v="Black"/>
    <x v="6"/>
    <n v="1"/>
    <n v="177281"/>
    <m/>
    <s v="missing"/>
    <n v="177281"/>
    <n v="20564.599999999999"/>
    <n v="156716.4"/>
    <n v="4"/>
    <n v="181"/>
    <x v="7"/>
    <n v="3"/>
    <n v="3"/>
    <n v="2"/>
    <n v="156716.4"/>
    <x v="6"/>
    <x v="6"/>
    <x v="3"/>
  </r>
  <r>
    <x v="547"/>
    <d v="2025-02-07T00:00:00"/>
    <x v="0"/>
    <x v="11"/>
    <x v="2"/>
    <s v="Ahmedabad"/>
    <x v="3"/>
    <s v="Cash"/>
    <x v="2"/>
    <s v="Green"/>
    <x v="1"/>
    <n v="1"/>
    <n v="133649"/>
    <n v="0.108"/>
    <n v="0.108"/>
    <n v="133649"/>
    <n v="14434.09"/>
    <n v="119214.91"/>
    <n v="4"/>
    <n v="185"/>
    <x v="9"/>
    <n v="9"/>
    <n v="9"/>
    <n v="2"/>
    <n v="119214.91"/>
    <x v="4"/>
    <x v="4"/>
    <x v="2"/>
  </r>
  <r>
    <x v="548"/>
    <d v="2025-09-14T00:00:00"/>
    <x v="5"/>
    <x v="7"/>
    <x v="0"/>
    <s v="Hyderabad"/>
    <x v="3"/>
    <s v="Cash"/>
    <x v="2"/>
    <s v="Black"/>
    <x v="25"/>
    <n v="1"/>
    <n v="156158"/>
    <n v="3.5999999999999997E-2"/>
    <n v="3.5999999999999997E-2"/>
    <n v="156158"/>
    <n v="5621.69"/>
    <n v="150536.31"/>
    <n v="3"/>
    <n v="180"/>
    <x v="19"/>
    <n v="9"/>
    <n v="9"/>
    <n v="2"/>
    <n v="150536.31"/>
    <x v="3"/>
    <x v="3"/>
    <x v="1"/>
  </r>
  <r>
    <x v="549"/>
    <d v="2025-05-11T00:00:00"/>
    <x v="3"/>
    <x v="4"/>
    <x v="0"/>
    <s v="Ahmedabad"/>
    <x v="3"/>
    <s v="Finance"/>
    <x v="0"/>
    <s v="Green"/>
    <x v="0"/>
    <n v="2"/>
    <n v="120864"/>
    <n v="0.06"/>
    <n v="0.06"/>
    <n v="241728"/>
    <n v="14503.68"/>
    <n v="227224.32000000001"/>
    <n v="3"/>
    <n v="182"/>
    <x v="8"/>
    <n v="12"/>
    <n v="12"/>
    <n v="5"/>
    <n v="113612.16"/>
    <x v="6"/>
    <x v="6"/>
    <x v="3"/>
  </r>
  <r>
    <x v="550"/>
    <d v="2025-08-02T00:00:00"/>
    <x v="5"/>
    <x v="7"/>
    <x v="2"/>
    <s v="Jaipur"/>
    <x v="2"/>
    <s v="Cash"/>
    <x v="2"/>
    <s v="Blue"/>
    <x v="14"/>
    <n v="1"/>
    <n v="148636"/>
    <n v="0.06"/>
    <n v="0.06"/>
    <n v="148636"/>
    <n v="8918.16"/>
    <n v="139717.84"/>
    <n v="3"/>
    <n v="171"/>
    <x v="1"/>
    <n v="14"/>
    <n v="14"/>
    <n v="3"/>
    <n v="139717.84"/>
    <x v="5"/>
    <x v="5"/>
    <x v="1"/>
  </r>
  <r>
    <x v="551"/>
    <d v="2025-12-07T00:00:00"/>
    <x v="4"/>
    <x v="5"/>
    <x v="0"/>
    <s v="Kolkata"/>
    <x v="2"/>
    <s v="Cash"/>
    <x v="2"/>
    <s v="Grey"/>
    <x v="21"/>
    <n v="1"/>
    <n v="108901"/>
    <n v="4.7E-2"/>
    <n v="4.7E-2"/>
    <n v="108901"/>
    <n v="5118.3500000000004"/>
    <n v="103782.65"/>
    <n v="4"/>
    <n v="190"/>
    <x v="16"/>
    <n v="5"/>
    <n v="5"/>
    <n v="3"/>
    <n v="103782.65"/>
    <x v="0"/>
    <x v="0"/>
    <x v="0"/>
  </r>
  <r>
    <x v="552"/>
    <d v="2025-12-27T00:00:00"/>
    <x v="6"/>
    <x v="15"/>
    <x v="0"/>
    <s v="Pune"/>
    <x v="2"/>
    <s v="Finance"/>
    <x v="0"/>
    <s v="Red"/>
    <x v="6"/>
    <n v="2"/>
    <n v="113803"/>
    <n v="9.8000000000000004E-2"/>
    <n v="9.8000000000000004E-2"/>
    <n v="227606"/>
    <n v="22305.39"/>
    <n v="205300.61"/>
    <n v="4"/>
    <n v="184"/>
    <x v="7"/>
    <n v="2"/>
    <n v="2"/>
    <n v="2"/>
    <n v="102650.30499999999"/>
    <x v="0"/>
    <x v="0"/>
    <x v="0"/>
  </r>
  <r>
    <x v="553"/>
    <d v="2025-11-18T00:00:00"/>
    <x v="3"/>
    <x v="4"/>
    <x v="0"/>
    <s v="Jaipur"/>
    <x v="3"/>
    <s v="Emi"/>
    <x v="1"/>
    <s v="Blue"/>
    <x v="3"/>
    <n v="1"/>
    <n v="119069"/>
    <m/>
    <s v="missing"/>
    <n v="119069"/>
    <n v="8215.76"/>
    <n v="110853.24"/>
    <n v="4"/>
    <n v="195"/>
    <x v="14"/>
    <n v="12"/>
    <n v="12"/>
    <n v="3"/>
    <n v="110853.24"/>
    <x v="2"/>
    <x v="2"/>
    <x v="0"/>
  </r>
  <r>
    <x v="554"/>
    <d v="2025-10-02T00:00:00"/>
    <x v="3"/>
    <x v="3"/>
    <x v="2"/>
    <s v="Delhi"/>
    <x v="0"/>
    <s v="Emi"/>
    <x v="1"/>
    <s v="Black"/>
    <x v="3"/>
    <n v="2"/>
    <n v="155361"/>
    <n v="7.0000000000000007E-2"/>
    <n v="7.0000000000000007E-2"/>
    <n v="310722"/>
    <n v="21750.54"/>
    <n v="288971.46000000002"/>
    <n v="4"/>
    <n v="185"/>
    <x v="2"/>
    <n v="3"/>
    <n v="3"/>
    <n v="5"/>
    <n v="144485.73000000001"/>
    <x v="1"/>
    <x v="1"/>
    <x v="0"/>
  </r>
  <r>
    <x v="555"/>
    <d v="2025-10-14T00:00:00"/>
    <x v="1"/>
    <x v="9"/>
    <x v="0"/>
    <s v="Delhi"/>
    <x v="2"/>
    <s v="Emi"/>
    <x v="1"/>
    <s v="Green"/>
    <x v="17"/>
    <n v="1"/>
    <n v="136946"/>
    <n v="7.3999999999999996E-2"/>
    <n v="7.3999999999999996E-2"/>
    <n v="136946"/>
    <n v="10134"/>
    <n v="126812"/>
    <n v="3"/>
    <n v="167"/>
    <x v="1"/>
    <n v="2"/>
    <n v="2"/>
    <n v="2"/>
    <n v="126812"/>
    <x v="1"/>
    <x v="1"/>
    <x v="0"/>
  </r>
  <r>
    <x v="556"/>
    <d v="2025-08-23T00:00:00"/>
    <x v="6"/>
    <x v="15"/>
    <x v="1"/>
    <s v="Chennai"/>
    <x v="2"/>
    <s v="Cash"/>
    <x v="2"/>
    <s v="Red"/>
    <x v="28"/>
    <n v="1"/>
    <n v="113712"/>
    <n v="0.11700000000000001"/>
    <n v="0.11700000000000001"/>
    <n v="113712"/>
    <n v="13304.3"/>
    <n v="100407.7"/>
    <n v="3"/>
    <n v="146"/>
    <x v="11"/>
    <n v="8"/>
    <n v="8"/>
    <n v="2"/>
    <n v="100407.7"/>
    <x v="5"/>
    <x v="5"/>
    <x v="1"/>
  </r>
  <r>
    <x v="557"/>
    <d v="2025-03-08T00:00:00"/>
    <x v="2"/>
    <x v="17"/>
    <x v="1"/>
    <s v="Hyderabad"/>
    <x v="2"/>
    <s v="Cash"/>
    <x v="2"/>
    <s v="Red"/>
    <x v="7"/>
    <n v="1"/>
    <n v="171364"/>
    <n v="9.0999999999999998E-2"/>
    <n v="9.0999999999999998E-2"/>
    <n v="171364"/>
    <n v="15594.12"/>
    <n v="155769.88"/>
    <n v="3"/>
    <n v="153"/>
    <x v="10"/>
    <n v="6"/>
    <n v="6"/>
    <n v="5"/>
    <n v="155769.88"/>
    <x v="10"/>
    <x v="10"/>
    <x v="2"/>
  </r>
  <r>
    <x v="558"/>
    <d v="2025-07-03T00:00:00"/>
    <x v="7"/>
    <x v="14"/>
    <x v="2"/>
    <s v="Jaipur"/>
    <x v="3"/>
    <s v="Cash"/>
    <x v="2"/>
    <s v="Grey"/>
    <x v="24"/>
    <n v="2"/>
    <n v="101877"/>
    <n v="3.7999999999999999E-2"/>
    <n v="3.7999999999999999E-2"/>
    <n v="203754"/>
    <n v="7742.65"/>
    <n v="196011.35"/>
    <n v="3"/>
    <n v="168"/>
    <x v="15"/>
    <n v="4"/>
    <n v="4"/>
    <n v="2"/>
    <n v="98005.675000000003"/>
    <x v="8"/>
    <x v="8"/>
    <x v="1"/>
  </r>
  <r>
    <x v="559"/>
    <d v="2025-09-27T00:00:00"/>
    <x v="7"/>
    <x v="16"/>
    <x v="2"/>
    <s v="Chennai"/>
    <x v="0"/>
    <s v="Cash"/>
    <x v="2"/>
    <s v="White"/>
    <x v="7"/>
    <n v="3"/>
    <n v="150330"/>
    <n v="9.7000000000000003E-2"/>
    <n v="9.7000000000000003E-2"/>
    <n v="450990"/>
    <n v="43746.03"/>
    <n v="407243.97"/>
    <n v="5"/>
    <n v="192"/>
    <x v="15"/>
    <n v="6"/>
    <n v="6"/>
    <n v="5"/>
    <n v="135747.99"/>
    <x v="3"/>
    <x v="3"/>
    <x v="1"/>
  </r>
  <r>
    <x v="560"/>
    <d v="2025-09-24T00:00:00"/>
    <x v="6"/>
    <x v="8"/>
    <x v="0"/>
    <s v="Delhi"/>
    <x v="3"/>
    <s v="Emi"/>
    <x v="1"/>
    <s v="Green"/>
    <x v="25"/>
    <n v="4"/>
    <n v="161976"/>
    <n v="8.1000000000000003E-2"/>
    <n v="8.1000000000000003E-2"/>
    <n v="647904"/>
    <n v="52480.22"/>
    <n v="595423.78"/>
    <n v="3"/>
    <n v="155"/>
    <x v="0"/>
    <n v="2"/>
    <n v="2"/>
    <n v="3"/>
    <n v="148855.94500000001"/>
    <x v="3"/>
    <x v="3"/>
    <x v="1"/>
  </r>
  <r>
    <x v="561"/>
    <d v="2025-11-29T00:00:00"/>
    <x v="1"/>
    <x v="9"/>
    <x v="1"/>
    <s v="Hyderabad"/>
    <x v="0"/>
    <s v="Finance"/>
    <x v="0"/>
    <s v="Black"/>
    <x v="15"/>
    <n v="4"/>
    <n v="137386"/>
    <n v="0.10299999999999999"/>
    <n v="0.10299999999999999"/>
    <n v="549544"/>
    <n v="56603.03"/>
    <n v="492940.97"/>
    <n v="4"/>
    <n v="170"/>
    <x v="19"/>
    <n v="10"/>
    <n v="10"/>
    <n v="3"/>
    <n v="123235.24249999999"/>
    <x v="2"/>
    <x v="2"/>
    <x v="0"/>
  </r>
  <r>
    <x v="562"/>
    <d v="2025-02-21T00:00:00"/>
    <x v="2"/>
    <x v="2"/>
    <x v="1"/>
    <s v="Kolkata"/>
    <x v="1"/>
    <s v="Emi"/>
    <x v="1"/>
    <s v="Green"/>
    <x v="15"/>
    <n v="1"/>
    <n v="125190"/>
    <n v="7.0000000000000007E-2"/>
    <n v="7.0000000000000007E-2"/>
    <n v="125190"/>
    <n v="8763.2999999999993"/>
    <n v="116426.7"/>
    <n v="3"/>
    <n v="154"/>
    <x v="11"/>
    <n v="6"/>
    <n v="6"/>
    <n v="5"/>
    <n v="116426.7"/>
    <x v="4"/>
    <x v="4"/>
    <x v="2"/>
  </r>
  <r>
    <x v="563"/>
    <d v="2025-10-13T00:00:00"/>
    <x v="4"/>
    <x v="6"/>
    <x v="1"/>
    <s v="Chennai"/>
    <x v="0"/>
    <s v="Finance"/>
    <x v="0"/>
    <s v="White"/>
    <x v="24"/>
    <n v="1"/>
    <n v="101827"/>
    <n v="0.08"/>
    <n v="0.08"/>
    <n v="101827"/>
    <n v="8146.16"/>
    <n v="93680.84"/>
    <n v="4"/>
    <n v="184"/>
    <x v="21"/>
    <n v="6"/>
    <n v="6"/>
    <n v="2"/>
    <n v="93680.84"/>
    <x v="1"/>
    <x v="1"/>
    <x v="0"/>
  </r>
  <r>
    <x v="564"/>
    <d v="2025-02-23T00:00:00"/>
    <x v="5"/>
    <x v="13"/>
    <x v="0"/>
    <s v="Hyderabad"/>
    <x v="0"/>
    <s v="Cash"/>
    <x v="2"/>
    <s v="White"/>
    <x v="23"/>
    <n v="4"/>
    <n v="137511"/>
    <n v="3.9E-2"/>
    <n v="3.9E-2"/>
    <n v="550044"/>
    <n v="21451.72"/>
    <n v="528592.28"/>
    <n v="3"/>
    <n v="170"/>
    <x v="16"/>
    <n v="11"/>
    <n v="11"/>
    <n v="5"/>
    <n v="132148.07"/>
    <x v="4"/>
    <x v="4"/>
    <x v="2"/>
  </r>
  <r>
    <x v="565"/>
    <d v="2025-04-25T00:00:00"/>
    <x v="2"/>
    <x v="17"/>
    <x v="1"/>
    <s v="Mumbai"/>
    <x v="2"/>
    <s v="Emi"/>
    <x v="1"/>
    <s v="Grey"/>
    <x v="19"/>
    <n v="2"/>
    <n v="185776"/>
    <n v="0.11600000000000001"/>
    <n v="0.11600000000000001"/>
    <n v="371552"/>
    <n v="43100.03"/>
    <n v="328451.96999999997"/>
    <n v="5"/>
    <n v="208"/>
    <x v="6"/>
    <n v="3"/>
    <n v="3"/>
    <n v="2"/>
    <n v="164225.98499999999"/>
    <x v="7"/>
    <x v="7"/>
    <x v="3"/>
  </r>
  <r>
    <x v="566"/>
    <d v="2025-07-22T00:00:00"/>
    <x v="5"/>
    <x v="13"/>
    <x v="1"/>
    <s v="Mumbai"/>
    <x v="2"/>
    <s v="Finance"/>
    <x v="0"/>
    <s v="Red"/>
    <x v="10"/>
    <n v="1"/>
    <n v="136205"/>
    <n v="2.4E-2"/>
    <n v="2.4E-2"/>
    <n v="136205"/>
    <n v="3268.92"/>
    <n v="132936.07999999999"/>
    <n v="3"/>
    <n v="168"/>
    <x v="15"/>
    <n v="10"/>
    <n v="10"/>
    <n v="2"/>
    <n v="132936.07999999999"/>
    <x v="8"/>
    <x v="8"/>
    <x v="1"/>
  </r>
  <r>
    <x v="567"/>
    <d v="2025-08-09T00:00:00"/>
    <x v="5"/>
    <x v="12"/>
    <x v="2"/>
    <s v="Chennai"/>
    <x v="3"/>
    <s v="Cash"/>
    <x v="2"/>
    <s v="Black"/>
    <x v="5"/>
    <n v="1"/>
    <n v="136387"/>
    <n v="4.4999999999999998E-2"/>
    <n v="4.4999999999999998E-2"/>
    <n v="136387"/>
    <n v="6137.41"/>
    <n v="130249.59"/>
    <n v="4"/>
    <n v="185"/>
    <x v="9"/>
    <n v="11"/>
    <n v="11"/>
    <n v="2"/>
    <n v="130249.59"/>
    <x v="5"/>
    <x v="5"/>
    <x v="1"/>
  </r>
  <r>
    <x v="568"/>
    <d v="2025-12-08T00:00:00"/>
    <x v="4"/>
    <x v="5"/>
    <x v="1"/>
    <s v="Pune"/>
    <x v="1"/>
    <s v="Finance"/>
    <x v="0"/>
    <s v="White"/>
    <x v="19"/>
    <n v="2"/>
    <n v="121326"/>
    <n v="2.3E-2"/>
    <n v="2.3E-2"/>
    <n v="242652"/>
    <n v="5581"/>
    <n v="237071"/>
    <n v="4"/>
    <n v="166"/>
    <x v="0"/>
    <n v="14"/>
    <n v="14"/>
    <n v="5"/>
    <n v="118535.5"/>
    <x v="0"/>
    <x v="0"/>
    <x v="0"/>
  </r>
  <r>
    <x v="569"/>
    <d v="2025-07-03T00:00:00"/>
    <x v="3"/>
    <x v="4"/>
    <x v="2"/>
    <s v="Chennai"/>
    <x v="0"/>
    <s v="Cash"/>
    <x v="2"/>
    <s v="Black"/>
    <x v="23"/>
    <n v="1"/>
    <n v="125338"/>
    <n v="2.1000000000000001E-2"/>
    <n v="2.1000000000000001E-2"/>
    <n v="125338"/>
    <n v="2632.1"/>
    <n v="122705.9"/>
    <n v="3"/>
    <n v="183"/>
    <x v="1"/>
    <n v="12"/>
    <n v="12"/>
    <n v="2"/>
    <n v="122705.9"/>
    <x v="8"/>
    <x v="8"/>
    <x v="1"/>
  </r>
  <r>
    <x v="570"/>
    <d v="2025-10-28T00:00:00"/>
    <x v="2"/>
    <x v="2"/>
    <x v="1"/>
    <s v="Mumbai"/>
    <x v="3"/>
    <s v="Emi"/>
    <x v="1"/>
    <s v="Green"/>
    <x v="16"/>
    <n v="1"/>
    <n v="130286"/>
    <n v="7.1999999999999995E-2"/>
    <n v="7.1999999999999995E-2"/>
    <n v="130286"/>
    <n v="9380.59"/>
    <n v="120905.41"/>
    <n v="2"/>
    <n v="151"/>
    <x v="7"/>
    <n v="12"/>
    <n v="12"/>
    <n v="3"/>
    <n v="120905.41"/>
    <x v="1"/>
    <x v="1"/>
    <x v="0"/>
  </r>
  <r>
    <x v="571"/>
    <d v="2025-01-25T00:00:00"/>
    <x v="1"/>
    <x v="9"/>
    <x v="2"/>
    <s v="Pune"/>
    <x v="3"/>
    <s v="Emi"/>
    <x v="1"/>
    <s v="Green"/>
    <x v="21"/>
    <n v="2"/>
    <n v="127743"/>
    <n v="3.7999999999999999E-2"/>
    <n v="3.7999999999999999E-2"/>
    <n v="255486"/>
    <n v="9708.4699999999993"/>
    <n v="245777.53"/>
    <n v="4"/>
    <n v="188"/>
    <x v="8"/>
    <n v="14"/>
    <n v="14"/>
    <n v="2"/>
    <n v="122888.765"/>
    <x v="11"/>
    <x v="11"/>
    <x v="2"/>
  </r>
  <r>
    <x v="572"/>
    <d v="2025-12-11T00:00:00"/>
    <x v="4"/>
    <x v="6"/>
    <x v="1"/>
    <s v="Jaipur"/>
    <x v="0"/>
    <s v="Finance"/>
    <x v="0"/>
    <s v="Red"/>
    <x v="23"/>
    <n v="3"/>
    <n v="105651"/>
    <n v="2.4E-2"/>
    <n v="2.4E-2"/>
    <n v="316953"/>
    <n v="7606.87"/>
    <n v="309346.13"/>
    <n v="4"/>
    <n v="174"/>
    <x v="9"/>
    <n v="4"/>
    <n v="4"/>
    <n v="5"/>
    <n v="103115.37666666666"/>
    <x v="0"/>
    <x v="0"/>
    <x v="0"/>
  </r>
  <r>
    <x v="573"/>
    <d v="2025-01-29T00:00:00"/>
    <x v="5"/>
    <x v="12"/>
    <x v="2"/>
    <s v="Pune"/>
    <x v="0"/>
    <s v="Cash"/>
    <x v="2"/>
    <s v="Grey"/>
    <x v="12"/>
    <n v="3"/>
    <n v="131092"/>
    <n v="0.08"/>
    <n v="0.08"/>
    <n v="393276"/>
    <n v="31462.080000000002"/>
    <n v="361813.92"/>
    <n v="3"/>
    <n v="162"/>
    <x v="8"/>
    <n v="14"/>
    <n v="14"/>
    <n v="2"/>
    <n v="120604.64"/>
    <x v="11"/>
    <x v="11"/>
    <x v="2"/>
  </r>
  <r>
    <x v="574"/>
    <d v="2025-07-02T00:00:00"/>
    <x v="5"/>
    <x v="12"/>
    <x v="1"/>
    <s v="Pune"/>
    <x v="2"/>
    <s v="Cash"/>
    <x v="2"/>
    <s v="Blue"/>
    <x v="6"/>
    <n v="1"/>
    <n v="125197"/>
    <n v="8.8999999999999996E-2"/>
    <n v="8.8999999999999996E-2"/>
    <n v="125197"/>
    <n v="11142.53"/>
    <n v="114054.47"/>
    <n v="4"/>
    <n v="174"/>
    <x v="17"/>
    <n v="3"/>
    <n v="3"/>
    <n v="3"/>
    <n v="114054.47"/>
    <x v="8"/>
    <x v="8"/>
    <x v="1"/>
  </r>
  <r>
    <x v="575"/>
    <d v="2025-04-05T00:00:00"/>
    <x v="5"/>
    <x v="7"/>
    <x v="1"/>
    <s v="Bengaluru"/>
    <x v="1"/>
    <s v="Cash"/>
    <x v="2"/>
    <s v="White"/>
    <x v="10"/>
    <n v="1"/>
    <n v="149338"/>
    <n v="2.4E-2"/>
    <n v="2.4E-2"/>
    <n v="149338"/>
    <n v="3584.11"/>
    <n v="145753.89000000001"/>
    <n v="4"/>
    <n v="182"/>
    <x v="10"/>
    <n v="10"/>
    <n v="10"/>
    <n v="3"/>
    <n v="145753.89000000001"/>
    <x v="7"/>
    <x v="7"/>
    <x v="3"/>
  </r>
  <r>
    <x v="576"/>
    <d v="2025-07-26T00:00:00"/>
    <x v="1"/>
    <x v="9"/>
    <x v="1"/>
    <s v="Chennai"/>
    <x v="3"/>
    <s v="Cash"/>
    <x v="2"/>
    <s v="Blue"/>
    <x v="7"/>
    <n v="3"/>
    <n v="125377"/>
    <n v="5.1999999999999998E-2"/>
    <n v="5.1999999999999998E-2"/>
    <n v="376131"/>
    <n v="19558.810000000001"/>
    <n v="356572.19"/>
    <n v="5"/>
    <n v="200"/>
    <x v="9"/>
    <n v="11"/>
    <n v="11"/>
    <n v="5"/>
    <n v="118857.39666666667"/>
    <x v="8"/>
    <x v="8"/>
    <x v="1"/>
  </r>
  <r>
    <x v="577"/>
    <d v="2025-06-12T00:00:00"/>
    <x v="0"/>
    <x v="0"/>
    <x v="1"/>
    <s v="Kochi"/>
    <x v="1"/>
    <s v="Cash"/>
    <x v="2"/>
    <s v="Blue"/>
    <x v="7"/>
    <n v="2"/>
    <n v="125225"/>
    <n v="7.0000000000000007E-2"/>
    <n v="7.0000000000000007E-2"/>
    <n v="250450"/>
    <n v="17531.5"/>
    <n v="232918.5"/>
    <n v="3"/>
    <n v="168"/>
    <x v="17"/>
    <n v="9"/>
    <n v="9"/>
    <n v="2"/>
    <n v="116459.25"/>
    <x v="9"/>
    <x v="9"/>
    <x v="3"/>
  </r>
  <r>
    <x v="578"/>
    <d v="2025-05-23T00:00:00"/>
    <x v="3"/>
    <x v="3"/>
    <x v="0"/>
    <s v="Kolkata"/>
    <x v="0"/>
    <s v="Emi"/>
    <x v="1"/>
    <s v="Red"/>
    <x v="19"/>
    <n v="1"/>
    <n v="150700"/>
    <n v="0.104"/>
    <n v="0.104"/>
    <n v="150700"/>
    <n v="15672.8"/>
    <n v="135027.20000000001"/>
    <n v="5"/>
    <n v="210"/>
    <x v="17"/>
    <n v="6"/>
    <n v="6"/>
    <n v="2"/>
    <n v="135027.20000000001"/>
    <x v="6"/>
    <x v="6"/>
    <x v="3"/>
  </r>
  <r>
    <x v="579"/>
    <d v="2025-07-30T00:00:00"/>
    <x v="0"/>
    <x v="0"/>
    <x v="2"/>
    <s v="Pune"/>
    <x v="0"/>
    <s v="Finance"/>
    <x v="0"/>
    <s v="Grey"/>
    <x v="16"/>
    <n v="1"/>
    <n v="114345"/>
    <n v="5.2999999999999999E-2"/>
    <n v="5.2999999999999999E-2"/>
    <n v="114345"/>
    <n v="6060.28"/>
    <n v="108284.72"/>
    <n v="3"/>
    <n v="171"/>
    <x v="4"/>
    <n v="6"/>
    <n v="6"/>
    <n v="5"/>
    <n v="108284.72"/>
    <x v="8"/>
    <x v="8"/>
    <x v="1"/>
  </r>
  <r>
    <x v="580"/>
    <d v="2025-11-02T00:00:00"/>
    <x v="4"/>
    <x v="6"/>
    <x v="0"/>
    <s v="Hyderabad"/>
    <x v="2"/>
    <s v="Cash"/>
    <x v="2"/>
    <s v="White"/>
    <x v="0"/>
    <n v="1"/>
    <n v="101307"/>
    <n v="3.1E-2"/>
    <n v="3.1E-2"/>
    <n v="101307"/>
    <n v="3140.52"/>
    <n v="98166.48"/>
    <n v="4"/>
    <n v="202"/>
    <x v="5"/>
    <n v="4"/>
    <n v="4"/>
    <n v="5"/>
    <n v="98166.48"/>
    <x v="2"/>
    <x v="2"/>
    <x v="0"/>
  </r>
  <r>
    <x v="581"/>
    <d v="2025-11-22T00:00:00"/>
    <x v="1"/>
    <x v="9"/>
    <x v="2"/>
    <s v="Ahmedabad"/>
    <x v="2"/>
    <s v="Finance"/>
    <x v="0"/>
    <s v="Black"/>
    <x v="0"/>
    <n v="2"/>
    <n v="131599"/>
    <n v="9.2999999999999999E-2"/>
    <n v="9.2999999999999999E-2"/>
    <n v="263198"/>
    <n v="24477.41"/>
    <n v="238720.59"/>
    <n v="4"/>
    <n v="187"/>
    <x v="0"/>
    <n v="9"/>
    <n v="9"/>
    <n v="3"/>
    <n v="119360.295"/>
    <x v="2"/>
    <x v="2"/>
    <x v="0"/>
  </r>
  <r>
    <x v="582"/>
    <d v="2025-03-07T00:00:00"/>
    <x v="5"/>
    <x v="7"/>
    <x v="0"/>
    <s v="Pune"/>
    <x v="3"/>
    <s v="Cash"/>
    <x v="2"/>
    <s v="White"/>
    <x v="29"/>
    <n v="4"/>
    <n v="138911"/>
    <n v="6.5000000000000002E-2"/>
    <n v="6.5000000000000002E-2"/>
    <n v="555644"/>
    <n v="36116.86"/>
    <n v="519527.14"/>
    <n v="4"/>
    <n v="182"/>
    <x v="6"/>
    <n v="11"/>
    <n v="11"/>
    <n v="2"/>
    <n v="129881.785"/>
    <x v="10"/>
    <x v="10"/>
    <x v="2"/>
  </r>
  <r>
    <x v="583"/>
    <d v="2025-06-25T00:00:00"/>
    <x v="7"/>
    <x v="14"/>
    <x v="1"/>
    <s v="Kolkata"/>
    <x v="0"/>
    <s v="Finance"/>
    <x v="0"/>
    <s v="Grey"/>
    <x v="17"/>
    <n v="1"/>
    <n v="104455"/>
    <n v="9.0999999999999998E-2"/>
    <n v="9.0999999999999998E-2"/>
    <n v="104455"/>
    <n v="9505.4"/>
    <n v="94949.6"/>
    <n v="4"/>
    <n v="164"/>
    <x v="6"/>
    <n v="8"/>
    <n v="8"/>
    <n v="5"/>
    <n v="94949.6"/>
    <x v="9"/>
    <x v="9"/>
    <x v="3"/>
  </r>
  <r>
    <x v="584"/>
    <d v="2025-02-17T00:00:00"/>
    <x v="5"/>
    <x v="7"/>
    <x v="0"/>
    <s v="Ahmedabad"/>
    <x v="1"/>
    <s v="Cash"/>
    <x v="2"/>
    <s v="Red"/>
    <x v="4"/>
    <n v="4"/>
    <n v="140965"/>
    <n v="9.5000000000000001E-2"/>
    <n v="9.5000000000000001E-2"/>
    <n v="563860"/>
    <n v="53566.7"/>
    <n v="510293.3"/>
    <n v="4"/>
    <n v="177"/>
    <x v="10"/>
    <n v="11"/>
    <n v="11"/>
    <n v="3"/>
    <n v="127573.325"/>
    <x v="4"/>
    <x v="4"/>
    <x v="2"/>
  </r>
  <r>
    <x v="585"/>
    <d v="2025-01-07T00:00:00"/>
    <x v="0"/>
    <x v="0"/>
    <x v="0"/>
    <s v="Bengaluru"/>
    <x v="2"/>
    <s v="Cash"/>
    <x v="2"/>
    <s v="Blue"/>
    <x v="4"/>
    <n v="1"/>
    <n v="118544"/>
    <n v="0.112"/>
    <n v="0.112"/>
    <n v="118544"/>
    <n v="13276.93"/>
    <n v="105267.07"/>
    <n v="2"/>
    <n v="161"/>
    <x v="18"/>
    <n v="13"/>
    <n v="13"/>
    <n v="2"/>
    <n v="105267.07"/>
    <x v="11"/>
    <x v="11"/>
    <x v="2"/>
  </r>
  <r>
    <x v="586"/>
    <d v="2025-11-09T00:00:00"/>
    <x v="6"/>
    <x v="8"/>
    <x v="2"/>
    <s v="Kochi"/>
    <x v="3"/>
    <s v="Emi"/>
    <x v="1"/>
    <s v="Black"/>
    <x v="19"/>
    <n v="1"/>
    <n v="146532"/>
    <n v="2.4E-2"/>
    <n v="2.4E-2"/>
    <n v="146532"/>
    <n v="3516.77"/>
    <n v="143015.23000000001"/>
    <n v="3"/>
    <n v="172"/>
    <x v="15"/>
    <n v="13"/>
    <n v="13"/>
    <n v="5"/>
    <n v="143015.23000000001"/>
    <x v="2"/>
    <x v="2"/>
    <x v="0"/>
  </r>
  <r>
    <x v="587"/>
    <d v="2025-08-13T00:00:00"/>
    <x v="3"/>
    <x v="4"/>
    <x v="0"/>
    <s v="Kolkata"/>
    <x v="2"/>
    <s v="Finance"/>
    <x v="0"/>
    <s v="Green"/>
    <x v="14"/>
    <n v="1"/>
    <n v="118890"/>
    <n v="7.9000000000000001E-2"/>
    <n v="7.9000000000000001E-2"/>
    <n v="118890"/>
    <n v="9392.31"/>
    <n v="109497.69"/>
    <n v="4"/>
    <n v="175"/>
    <x v="9"/>
    <n v="3"/>
    <n v="3"/>
    <n v="2"/>
    <n v="109497.69"/>
    <x v="5"/>
    <x v="5"/>
    <x v="1"/>
  </r>
  <r>
    <x v="588"/>
    <d v="2025-03-17T00:00:00"/>
    <x v="2"/>
    <x v="17"/>
    <x v="0"/>
    <s v="Chennai"/>
    <x v="2"/>
    <s v="Emi"/>
    <x v="1"/>
    <s v="Black"/>
    <x v="7"/>
    <n v="5"/>
    <n v="177665"/>
    <n v="7.5999999999999998E-2"/>
    <n v="7.5999999999999998E-2"/>
    <n v="888325"/>
    <n v="67512.7"/>
    <n v="820812.3"/>
    <n v="2"/>
    <n v="141"/>
    <x v="19"/>
    <n v="5"/>
    <n v="5"/>
    <n v="3"/>
    <n v="164162.46000000002"/>
    <x v="10"/>
    <x v="10"/>
    <x v="2"/>
  </r>
  <r>
    <x v="589"/>
    <d v="2025-03-03T00:00:00"/>
    <x v="4"/>
    <x v="5"/>
    <x v="1"/>
    <s v="Bengaluru"/>
    <x v="0"/>
    <s v="Finance"/>
    <x v="0"/>
    <s v="Grey"/>
    <x v="27"/>
    <n v="3"/>
    <n v="115684"/>
    <n v="6.0999999999999999E-2"/>
    <n v="6.0999999999999999E-2"/>
    <n v="347052"/>
    <n v="21170.17"/>
    <n v="325881.83"/>
    <n v="3"/>
    <n v="156"/>
    <x v="15"/>
    <n v="9"/>
    <n v="9"/>
    <n v="5"/>
    <n v="108627.27666666667"/>
    <x v="10"/>
    <x v="10"/>
    <x v="2"/>
  </r>
  <r>
    <x v="590"/>
    <d v="2025-10-25T00:00:00"/>
    <x v="5"/>
    <x v="12"/>
    <x v="2"/>
    <s v="Kolkata"/>
    <x v="0"/>
    <s v="Emi"/>
    <x v="1"/>
    <s v="White"/>
    <x v="16"/>
    <n v="2"/>
    <n v="136582"/>
    <n v="0.05"/>
    <n v="0.05"/>
    <n v="273164"/>
    <n v="13658.2"/>
    <n v="259505.8"/>
    <n v="3"/>
    <n v="142"/>
    <x v="4"/>
    <n v="14"/>
    <n v="14"/>
    <n v="2"/>
    <n v="129752.9"/>
    <x v="1"/>
    <x v="1"/>
    <x v="0"/>
  </r>
  <r>
    <x v="591"/>
    <d v="2025-07-04T00:00:00"/>
    <x v="1"/>
    <x v="1"/>
    <x v="1"/>
    <s v="Hyderabad"/>
    <x v="0"/>
    <s v="Finance"/>
    <x v="0"/>
    <s v="White"/>
    <x v="21"/>
    <n v="1"/>
    <n v="118386"/>
    <n v="3.9E-2"/>
    <n v="3.9E-2"/>
    <n v="118386"/>
    <n v="4617.05"/>
    <n v="113768.95"/>
    <n v="3"/>
    <n v="191"/>
    <x v="11"/>
    <n v="3"/>
    <n v="3"/>
    <n v="3"/>
    <n v="113768.95"/>
    <x v="8"/>
    <x v="8"/>
    <x v="1"/>
  </r>
  <r>
    <x v="592"/>
    <d v="2025-08-04T00:00:00"/>
    <x v="7"/>
    <x v="16"/>
    <x v="2"/>
    <s v="Kolkata"/>
    <x v="2"/>
    <s v="Cash"/>
    <x v="2"/>
    <s v="Green"/>
    <x v="7"/>
    <n v="4"/>
    <n v="133651"/>
    <n v="0.10199999999999999"/>
    <n v="0.10199999999999999"/>
    <n v="534604"/>
    <n v="54529.61"/>
    <n v="480074.39"/>
    <n v="3"/>
    <n v="144"/>
    <x v="0"/>
    <n v="2"/>
    <n v="2"/>
    <n v="2"/>
    <n v="120018.5975"/>
    <x v="5"/>
    <x v="5"/>
    <x v="1"/>
  </r>
  <r>
    <x v="593"/>
    <d v="2025-12-24T00:00:00"/>
    <x v="3"/>
    <x v="3"/>
    <x v="1"/>
    <s v="Bengaluru"/>
    <x v="3"/>
    <s v="Cash"/>
    <x v="2"/>
    <s v="Red"/>
    <x v="22"/>
    <n v="1"/>
    <n v="146411"/>
    <n v="0.108"/>
    <n v="0.108"/>
    <n v="146411"/>
    <n v="15812.39"/>
    <n v="130598.61"/>
    <n v="4"/>
    <n v="173"/>
    <x v="0"/>
    <n v="14"/>
    <n v="14"/>
    <n v="5"/>
    <n v="130598.61"/>
    <x v="0"/>
    <x v="0"/>
    <x v="0"/>
  </r>
  <r>
    <x v="594"/>
    <d v="2025-07-03T00:00:00"/>
    <x v="1"/>
    <x v="9"/>
    <x v="2"/>
    <s v="Hyderabad"/>
    <x v="0"/>
    <s v=" Emi "/>
    <x v="3"/>
    <s v="Red"/>
    <x v="17"/>
    <n v="1"/>
    <n v="131982"/>
    <n v="2.5000000000000001E-2"/>
    <n v="2.5000000000000001E-2"/>
    <n v="131982"/>
    <n v="3299.55"/>
    <n v="128682.45"/>
    <n v="2"/>
    <n v="155"/>
    <x v="17"/>
    <n v="8"/>
    <n v="8"/>
    <n v="2"/>
    <n v="128682.45"/>
    <x v="8"/>
    <x v="8"/>
    <x v="1"/>
  </r>
  <r>
    <x v="595"/>
    <d v="2025-02-20T00:00:00"/>
    <x v="3"/>
    <x v="3"/>
    <x v="0"/>
    <s v="Delhi"/>
    <x v="2"/>
    <s v="Emi"/>
    <x v="1"/>
    <s v="Grey"/>
    <x v="16"/>
    <n v="1"/>
    <n v="154302"/>
    <n v="3.1E-2"/>
    <n v="3.1E-2"/>
    <n v="154302"/>
    <n v="4783.3599999999997"/>
    <n v="149518.64000000001"/>
    <n v="4"/>
    <n v="171"/>
    <x v="2"/>
    <n v="13"/>
    <n v="13"/>
    <n v="5"/>
    <n v="149518.64000000001"/>
    <x v="4"/>
    <x v="4"/>
    <x v="2"/>
  </r>
  <r>
    <x v="596"/>
    <d v="2025-07-26T00:00:00"/>
    <x v="4"/>
    <x v="5"/>
    <x v="0"/>
    <s v="Kochi"/>
    <x v="2"/>
    <s v="Emi"/>
    <x v="1"/>
    <s v="Grey"/>
    <x v="0"/>
    <n v="1"/>
    <n v="113952"/>
    <n v="8.4000000000000005E-2"/>
    <n v="8.4000000000000005E-2"/>
    <n v="113952"/>
    <n v="9571.9699999999993"/>
    <n v="104380.03"/>
    <n v="5"/>
    <n v="195"/>
    <x v="17"/>
    <n v="13"/>
    <n v="13"/>
    <n v="2"/>
    <n v="104380.03"/>
    <x v="8"/>
    <x v="8"/>
    <x v="1"/>
  </r>
  <r>
    <x v="597"/>
    <d v="2025-06-03T00:00:00"/>
    <x v="3"/>
    <x v="3"/>
    <x v="0"/>
    <s v="Kolkata"/>
    <x v="1"/>
    <s v="Cash"/>
    <x v="2"/>
    <s v="Red"/>
    <x v="2"/>
    <n v="2"/>
    <n v="142199"/>
    <n v="0.109"/>
    <n v="0.109"/>
    <n v="284398"/>
    <n v="30999.38"/>
    <n v="253398.62"/>
    <n v="4"/>
    <n v="193"/>
    <x v="15"/>
    <n v="12"/>
    <n v="12"/>
    <n v="3"/>
    <n v="126699.31"/>
    <x v="9"/>
    <x v="9"/>
    <x v="3"/>
  </r>
  <r>
    <x v="598"/>
    <d v="2025-04-03T00:00:00"/>
    <x v="3"/>
    <x v="4"/>
    <x v="0"/>
    <s v="Kolkata"/>
    <x v="3"/>
    <s v="Cash"/>
    <x v="2"/>
    <s v="Black"/>
    <x v="23"/>
    <n v="1"/>
    <n v="113239"/>
    <n v="8.8999999999999996E-2"/>
    <n v="8.8999999999999996E-2"/>
    <n v="113239"/>
    <n v="10078.27"/>
    <n v="103160.73"/>
    <n v="4"/>
    <n v="179"/>
    <x v="7"/>
    <n v="4"/>
    <n v="4"/>
    <n v="5"/>
    <n v="103160.73"/>
    <x v="7"/>
    <x v="7"/>
    <x v="3"/>
  </r>
  <r>
    <x v="599"/>
    <d v="2025-12-28T00:00:00"/>
    <x v="4"/>
    <x v="6"/>
    <x v="2"/>
    <s v="Bengaluru"/>
    <x v="3"/>
    <s v="Finance"/>
    <x v="0"/>
    <s v="Grey"/>
    <x v="23"/>
    <n v="1"/>
    <n v="110529"/>
    <n v="8.2000000000000003E-2"/>
    <n v="8.2000000000000003E-2"/>
    <n v="110529"/>
    <n v="9063.3799999999992"/>
    <n v="101465.62"/>
    <n v="4"/>
    <n v="159"/>
    <x v="7"/>
    <n v="11"/>
    <n v="11"/>
    <n v="2"/>
    <n v="101465.62"/>
    <x v="0"/>
    <x v="0"/>
    <x v="0"/>
  </r>
  <r>
    <x v="600"/>
    <d v="2025-05-29T00:00:00"/>
    <x v="6"/>
    <x v="8"/>
    <x v="1"/>
    <s v="Mumbai"/>
    <x v="0"/>
    <s v="Emi"/>
    <x v="1"/>
    <s v="Grey"/>
    <x v="13"/>
    <n v="1"/>
    <n v="147611"/>
    <n v="3.2000000000000001E-2"/>
    <n v="3.2000000000000001E-2"/>
    <n v="147611"/>
    <n v="4723.55"/>
    <n v="142887.45000000001"/>
    <n v="3"/>
    <n v="161"/>
    <x v="19"/>
    <n v="10"/>
    <n v="10"/>
    <n v="3"/>
    <n v="142887.45000000001"/>
    <x v="6"/>
    <x v="6"/>
    <x v="3"/>
  </r>
  <r>
    <x v="601"/>
    <d v="2025-10-06T00:00:00"/>
    <x v="7"/>
    <x v="16"/>
    <x v="2"/>
    <s v="Ahmedabad"/>
    <x v="0"/>
    <s v="Finance"/>
    <x v="0"/>
    <s v="Green"/>
    <x v="10"/>
    <n v="1"/>
    <n v="146428"/>
    <n v="4.5999999999999999E-2"/>
    <n v="4.5999999999999999E-2"/>
    <n v="146428"/>
    <n v="6735.69"/>
    <n v="139692.31"/>
    <n v="4"/>
    <n v="206"/>
    <x v="0"/>
    <n v="4"/>
    <n v="4"/>
    <n v="3"/>
    <n v="139692.31"/>
    <x v="1"/>
    <x v="1"/>
    <x v="0"/>
  </r>
  <r>
    <x v="602"/>
    <d v="2025-08-22T00:00:00"/>
    <x v="3"/>
    <x v="3"/>
    <x v="1"/>
    <s v="Ahmedabad"/>
    <x v="2"/>
    <s v="Finance"/>
    <x v="0"/>
    <s v="Blue"/>
    <x v="25"/>
    <n v="1"/>
    <n v="158677"/>
    <n v="0.1"/>
    <n v="0.1"/>
    <n v="158677"/>
    <n v="15867.7"/>
    <n v="142809.29999999999"/>
    <n v="3"/>
    <n v="158"/>
    <x v="19"/>
    <n v="6"/>
    <n v="6"/>
    <n v="2"/>
    <n v="142809.29999999999"/>
    <x v="5"/>
    <x v="5"/>
    <x v="1"/>
  </r>
  <r>
    <x v="603"/>
    <d v="2025-09-06T00:00:00"/>
    <x v="7"/>
    <x v="14"/>
    <x v="1"/>
    <s v="Delhi"/>
    <x v="1"/>
    <s v="Finance"/>
    <x v="0"/>
    <s v="White"/>
    <x v="24"/>
    <n v="1"/>
    <n v="110377"/>
    <n v="0.03"/>
    <n v="0.03"/>
    <n v="110377"/>
    <n v="3311.31"/>
    <n v="107065.69"/>
    <n v="3"/>
    <n v="159"/>
    <x v="6"/>
    <n v="13"/>
    <n v="13"/>
    <n v="5"/>
    <n v="107065.69"/>
    <x v="3"/>
    <x v="3"/>
    <x v="1"/>
  </r>
  <r>
    <x v="604"/>
    <d v="2025-02-02T00:00:00"/>
    <x v="0"/>
    <x v="11"/>
    <x v="0"/>
    <s v="Ahmedabad"/>
    <x v="1"/>
    <s v="Cash"/>
    <x v="2"/>
    <s v="Black"/>
    <x v="17"/>
    <n v="1"/>
    <n v="145467"/>
    <n v="2.3E-2"/>
    <n v="2.3E-2"/>
    <n v="145467"/>
    <n v="3345.74"/>
    <n v="142121.26"/>
    <n v="5"/>
    <n v="211"/>
    <x v="1"/>
    <n v="2"/>
    <n v="2"/>
    <n v="5"/>
    <n v="142121.26"/>
    <x v="4"/>
    <x v="4"/>
    <x v="2"/>
  </r>
  <r>
    <x v="605"/>
    <d v="2025-10-06T00:00:00"/>
    <x v="3"/>
    <x v="3"/>
    <x v="2"/>
    <s v="Mumbai"/>
    <x v="2"/>
    <s v="Finance"/>
    <x v="0"/>
    <s v="Black"/>
    <x v="24"/>
    <n v="1"/>
    <n v="150102"/>
    <n v="0.06"/>
    <n v="0.06"/>
    <n v="150102"/>
    <n v="9006.1200000000008"/>
    <n v="141095.88"/>
    <n v="5"/>
    <n v="208"/>
    <x v="7"/>
    <n v="5"/>
    <n v="5"/>
    <n v="3"/>
    <n v="141095.88"/>
    <x v="1"/>
    <x v="1"/>
    <x v="0"/>
  </r>
  <r>
    <x v="606"/>
    <d v="2025-11-15T00:00:00"/>
    <x v="7"/>
    <x v="16"/>
    <x v="1"/>
    <s v="Jaipur"/>
    <x v="0"/>
    <s v="Cash"/>
    <x v="2"/>
    <s v="Red"/>
    <x v="12"/>
    <n v="3"/>
    <n v="136499"/>
    <n v="8.1000000000000003E-2"/>
    <n v="8.1000000000000003E-2"/>
    <n v="409497"/>
    <n v="33169.26"/>
    <n v="376327.74"/>
    <n v="4"/>
    <n v="179"/>
    <x v="20"/>
    <n v="8"/>
    <n v="8"/>
    <n v="5"/>
    <n v="125442.58"/>
    <x v="2"/>
    <x v="2"/>
    <x v="0"/>
  </r>
  <r>
    <x v="607"/>
    <d v="2025-04-05T00:00:00"/>
    <x v="2"/>
    <x v="2"/>
    <x v="1"/>
    <s v="Bengaluru"/>
    <x v="1"/>
    <s v="Finance"/>
    <x v="0"/>
    <s v="Grey"/>
    <x v="4"/>
    <n v="4"/>
    <n v="121519"/>
    <n v="4.3999999999999997E-2"/>
    <n v="4.3999999999999997E-2"/>
    <n v="486076"/>
    <n v="21387.34"/>
    <n v="464688.66"/>
    <n v="3"/>
    <n v="168"/>
    <x v="4"/>
    <n v="11"/>
    <n v="11"/>
    <n v="5"/>
    <n v="116172.16499999999"/>
    <x v="7"/>
    <x v="7"/>
    <x v="3"/>
  </r>
  <r>
    <x v="608"/>
    <d v="2025-11-17T00:00:00"/>
    <x v="6"/>
    <x v="15"/>
    <x v="0"/>
    <s v="Chennai"/>
    <x v="0"/>
    <s v="Finance"/>
    <x v="0"/>
    <s v="White"/>
    <x v="12"/>
    <n v="1"/>
    <n v="115833"/>
    <n v="9.6000000000000002E-2"/>
    <n v="9.6000000000000002E-2"/>
    <n v="115833"/>
    <n v="11119.97"/>
    <n v="104713.03"/>
    <n v="3"/>
    <n v="163"/>
    <x v="15"/>
    <n v="5"/>
    <n v="5"/>
    <n v="3"/>
    <n v="104713.03"/>
    <x v="2"/>
    <x v="2"/>
    <x v="0"/>
  </r>
  <r>
    <x v="609"/>
    <d v="2025-02-11T00:00:00"/>
    <x v="6"/>
    <x v="15"/>
    <x v="2"/>
    <s v="Chennai"/>
    <x v="3"/>
    <s v="Emi"/>
    <x v="1"/>
    <s v="Black"/>
    <x v="27"/>
    <n v="2"/>
    <n v="109686"/>
    <n v="4.8000000000000001E-2"/>
    <n v="4.8000000000000001E-2"/>
    <n v="219372"/>
    <n v="10529.86"/>
    <n v="208842.14"/>
    <n v="4"/>
    <n v="173"/>
    <x v="7"/>
    <n v="-10"/>
    <s v="Review"/>
    <n v="3"/>
    <n v="104421.07"/>
    <x v="4"/>
    <x v="4"/>
    <x v="2"/>
  </r>
  <r>
    <x v="610"/>
    <d v="2025-05-03T00:00:00"/>
    <x v="5"/>
    <x v="13"/>
    <x v="1"/>
    <s v="Hyderabad"/>
    <x v="3"/>
    <s v="Cash"/>
    <x v="2"/>
    <s v="Grey"/>
    <x v="17"/>
    <n v="5"/>
    <n v="143293"/>
    <n v="4.2999999999999997E-2"/>
    <n v="4.2999999999999997E-2"/>
    <n v="716465"/>
    <n v="30807.99"/>
    <n v="685657.01"/>
    <n v="4"/>
    <n v="186"/>
    <x v="16"/>
    <n v="6"/>
    <n v="6"/>
    <n v="3"/>
    <n v="137131.402"/>
    <x v="6"/>
    <x v="6"/>
    <x v="3"/>
  </r>
  <r>
    <x v="611"/>
    <d v="2025-07-27T00:00:00"/>
    <x v="2"/>
    <x v="17"/>
    <x v="2"/>
    <s v="Mumbai"/>
    <x v="3"/>
    <s v="Emi"/>
    <x v="1"/>
    <s v="Blue"/>
    <x v="9"/>
    <n v="1"/>
    <n v="186928"/>
    <n v="8.4000000000000005E-2"/>
    <n v="8.4000000000000005E-2"/>
    <n v="186928"/>
    <n v="15701.95"/>
    <n v="171226.05"/>
    <n v="3"/>
    <n v="169"/>
    <x v="8"/>
    <n v="10"/>
    <n v="10"/>
    <n v="5"/>
    <n v="171226.05"/>
    <x v="8"/>
    <x v="8"/>
    <x v="1"/>
  </r>
  <r>
    <x v="612"/>
    <d v="2025-02-03T00:00:00"/>
    <x v="2"/>
    <x v="17"/>
    <x v="2"/>
    <s v="Kolkata"/>
    <x v="0"/>
    <s v="Emi"/>
    <x v="1"/>
    <s v="Blue"/>
    <x v="3"/>
    <n v="1"/>
    <n v="179337"/>
    <n v="9.8000000000000004E-2"/>
    <n v="9.8000000000000004E-2"/>
    <n v="179337"/>
    <n v="17575.03"/>
    <n v="161761.97"/>
    <n v="5"/>
    <n v="197"/>
    <x v="17"/>
    <n v="10"/>
    <n v="10"/>
    <n v="2"/>
    <n v="161761.97"/>
    <x v="4"/>
    <x v="4"/>
    <x v="2"/>
  </r>
  <r>
    <x v="613"/>
    <d v="2025-11-17T00:00:00"/>
    <x v="2"/>
    <x v="2"/>
    <x v="2"/>
    <s v="Chennai"/>
    <x v="1"/>
    <s v="Cash"/>
    <x v="2"/>
    <s v="Black"/>
    <x v="21"/>
    <n v="3"/>
    <n v="131544"/>
    <n v="6.9000000000000006E-2"/>
    <n v="6.9000000000000006E-2"/>
    <n v="394632"/>
    <n v="27229.61"/>
    <n v="367402.39"/>
    <n v="3"/>
    <n v="147"/>
    <x v="6"/>
    <n v="9"/>
    <n v="9"/>
    <n v="2"/>
    <n v="122467.46333333333"/>
    <x v="2"/>
    <x v="2"/>
    <x v="0"/>
  </r>
  <r>
    <x v="614"/>
    <d v="2025-11-08T00:00:00"/>
    <x v="2"/>
    <x v="2"/>
    <x v="0"/>
    <s v="Delhi"/>
    <x v="0"/>
    <s v="Cash"/>
    <x v="2"/>
    <s v="Grey"/>
    <x v="11"/>
    <n v="5"/>
    <n v="126661"/>
    <n v="0.04"/>
    <n v="0.04"/>
    <n v="633305"/>
    <n v="25332.2"/>
    <n v="607972.80000000005"/>
    <n v="3"/>
    <n v="168"/>
    <x v="5"/>
    <n v="3"/>
    <n v="3"/>
    <n v="3"/>
    <n v="121594.56000000001"/>
    <x v="2"/>
    <x v="2"/>
    <x v="0"/>
  </r>
  <r>
    <x v="615"/>
    <d v="2025-02-04T00:00:00"/>
    <x v="1"/>
    <x v="9"/>
    <x v="2"/>
    <s v="Kochi"/>
    <x v="1"/>
    <s v="Emi"/>
    <x v="1"/>
    <s v="Grey"/>
    <x v="16"/>
    <n v="5"/>
    <n v="124218"/>
    <n v="6.0999999999999999E-2"/>
    <n v="6.0999999999999999E-2"/>
    <n v="621090"/>
    <n v="37886.49"/>
    <n v="583203.51"/>
    <n v="4"/>
    <n v="189"/>
    <x v="16"/>
    <n v="10"/>
    <n v="10"/>
    <n v="3"/>
    <n v="116640.702"/>
    <x v="4"/>
    <x v="4"/>
    <x v="2"/>
  </r>
  <r>
    <x v="616"/>
    <d v="2025-10-31T00:00:00"/>
    <x v="3"/>
    <x v="4"/>
    <x v="2"/>
    <s v="Bengaluru"/>
    <x v="2"/>
    <s v="Cash"/>
    <x v="2"/>
    <s v="White"/>
    <x v="7"/>
    <n v="1"/>
    <n v="122255"/>
    <n v="5.0999999999999997E-2"/>
    <n v="5.0999999999999997E-2"/>
    <n v="122255"/>
    <n v="6235"/>
    <n v="116020"/>
    <n v="3"/>
    <n v="171"/>
    <x v="15"/>
    <n v="7"/>
    <n v="7"/>
    <n v="3"/>
    <n v="116020"/>
    <x v="1"/>
    <x v="1"/>
    <x v="0"/>
  </r>
  <r>
    <x v="617"/>
    <d v="2025-02-28T00:00:00"/>
    <x v="5"/>
    <x v="12"/>
    <x v="1"/>
    <s v="Unknown"/>
    <x v="0"/>
    <s v="Finance"/>
    <x v="0"/>
    <s v="White"/>
    <x v="7"/>
    <n v="1"/>
    <n v="132925"/>
    <n v="7.2999999999999995E-2"/>
    <n v="7.2999999999999995E-2"/>
    <n v="132925"/>
    <n v="9703.52"/>
    <n v="123221.48"/>
    <n v="3"/>
    <n v="180"/>
    <x v="8"/>
    <n v="14"/>
    <n v="14"/>
    <n v="3"/>
    <n v="123221.48"/>
    <x v="4"/>
    <x v="4"/>
    <x v="2"/>
  </r>
  <r>
    <x v="618"/>
    <d v="2025-04-24T00:00:00"/>
    <x v="5"/>
    <x v="12"/>
    <x v="2"/>
    <s v="Hyderabad"/>
    <x v="2"/>
    <s v="Finance"/>
    <x v="0"/>
    <s v="White"/>
    <x v="24"/>
    <n v="2"/>
    <n v="135493"/>
    <n v="6.5000000000000002E-2"/>
    <n v="6.5000000000000002E-2"/>
    <n v="270986"/>
    <n v="17614.09"/>
    <n v="253371.91"/>
    <n v="4"/>
    <n v="198"/>
    <x v="17"/>
    <n v="4"/>
    <n v="4"/>
    <n v="5"/>
    <n v="126685.955"/>
    <x v="7"/>
    <x v="7"/>
    <x v="3"/>
  </r>
  <r>
    <x v="619"/>
    <d v="2025-06-03T00:00:00"/>
    <x v="3"/>
    <x v="4"/>
    <x v="2"/>
    <s v="Bengaluru"/>
    <x v="2"/>
    <s v="Finance"/>
    <x v="0"/>
    <s v="Red"/>
    <x v="9"/>
    <n v="1"/>
    <n v="115835"/>
    <n v="3.3000000000000002E-2"/>
    <n v="3.3000000000000002E-2"/>
    <n v="115835"/>
    <n v="3822.56"/>
    <n v="112012.44"/>
    <n v="3"/>
    <n v="163"/>
    <x v="4"/>
    <n v="12"/>
    <n v="12"/>
    <n v="3"/>
    <n v="112012.44"/>
    <x v="9"/>
    <x v="9"/>
    <x v="3"/>
  </r>
  <r>
    <x v="620"/>
    <d v="2025-08-21T00:00:00"/>
    <x v="4"/>
    <x v="5"/>
    <x v="2"/>
    <s v="Delhi"/>
    <x v="3"/>
    <s v="Cash"/>
    <x v="2"/>
    <s v="Black"/>
    <x v="0"/>
    <n v="2"/>
    <n v="113613"/>
    <n v="3.1E-2"/>
    <n v="3.1E-2"/>
    <n v="227226"/>
    <n v="7044.01"/>
    <n v="220181.99"/>
    <n v="2"/>
    <n v="153"/>
    <x v="18"/>
    <n v="11"/>
    <n v="11"/>
    <n v="5"/>
    <n v="110090.995"/>
    <x v="5"/>
    <x v="5"/>
    <x v="1"/>
  </r>
  <r>
    <x v="621"/>
    <d v="2025-09-22T00:00:00"/>
    <x v="4"/>
    <x v="5"/>
    <x v="0"/>
    <s v="Hyderabad"/>
    <x v="1"/>
    <s v="Cash"/>
    <x v="2"/>
    <s v="Grey"/>
    <x v="16"/>
    <n v="1"/>
    <n v="119739"/>
    <n v="0.10100000000000001"/>
    <n v="0.10100000000000001"/>
    <n v="119739"/>
    <n v="12093.64"/>
    <n v="107645.36"/>
    <n v="4"/>
    <n v="190"/>
    <x v="9"/>
    <n v="6"/>
    <n v="6"/>
    <n v="3"/>
    <n v="107645.36"/>
    <x v="3"/>
    <x v="3"/>
    <x v="1"/>
  </r>
  <r>
    <x v="622"/>
    <d v="2025-12-21T00:00:00"/>
    <x v="3"/>
    <x v="4"/>
    <x v="1"/>
    <s v="Delhi"/>
    <x v="1"/>
    <s v="Finance"/>
    <x v="0"/>
    <s v="Green"/>
    <x v="19"/>
    <n v="5"/>
    <n v="124530"/>
    <n v="4.1000000000000002E-2"/>
    <n v="4.1000000000000002E-2"/>
    <n v="622650"/>
    <n v="25528.65"/>
    <n v="597121.35"/>
    <n v="2"/>
    <n v="169"/>
    <x v="21"/>
    <n v="7"/>
    <n v="7"/>
    <n v="5"/>
    <n v="119424.26999999999"/>
    <x v="0"/>
    <x v="0"/>
    <x v="0"/>
  </r>
  <r>
    <x v="623"/>
    <d v="2025-04-25T00:00:00"/>
    <x v="2"/>
    <x v="17"/>
    <x v="2"/>
    <s v="Jaipur"/>
    <x v="2"/>
    <s v="Finance"/>
    <x v="0"/>
    <s v="Red"/>
    <x v="5"/>
    <n v="1"/>
    <n v="181214"/>
    <n v="4.7E-2"/>
    <n v="4.7E-2"/>
    <n v="181214"/>
    <n v="8517.06"/>
    <n v="172696.94"/>
    <n v="2"/>
    <n v="127"/>
    <x v="10"/>
    <n v="8"/>
    <n v="8"/>
    <n v="5"/>
    <n v="172696.94"/>
    <x v="7"/>
    <x v="7"/>
    <x v="3"/>
  </r>
  <r>
    <x v="624"/>
    <d v="2025-10-07T00:00:00"/>
    <x v="3"/>
    <x v="3"/>
    <x v="0"/>
    <s v="Chennai"/>
    <x v="3"/>
    <s v="Finance"/>
    <x v="0"/>
    <s v="White"/>
    <x v="16"/>
    <n v="1"/>
    <n v="150265"/>
    <n v="2.7E-2"/>
    <n v="2.7E-2"/>
    <n v="150265"/>
    <n v="4057.15"/>
    <n v="146207.85"/>
    <n v="4"/>
    <n v="180"/>
    <x v="2"/>
    <n v="7"/>
    <n v="7"/>
    <n v="2"/>
    <n v="146207.85"/>
    <x v="1"/>
    <x v="1"/>
    <x v="0"/>
  </r>
  <r>
    <x v="625"/>
    <d v="2025-03-13T00:00:00"/>
    <x v="0"/>
    <x v="0"/>
    <x v="0"/>
    <s v="Hyderabad"/>
    <x v="3"/>
    <s v="Finance"/>
    <x v="0"/>
    <s v="Black"/>
    <x v="25"/>
    <n v="1"/>
    <n v="118433"/>
    <n v="8.1000000000000003E-2"/>
    <n v="8.1000000000000003E-2"/>
    <n v="118433"/>
    <n v="9593.07"/>
    <n v="108839.93"/>
    <n v="4"/>
    <n v="189"/>
    <x v="15"/>
    <n v="3"/>
    <n v="3"/>
    <n v="2"/>
    <n v="108839.93"/>
    <x v="10"/>
    <x v="10"/>
    <x v="2"/>
  </r>
  <r>
    <x v="626"/>
    <d v="2025-08-23T00:00:00"/>
    <x v="1"/>
    <x v="1"/>
    <x v="1"/>
    <s v="Hyderabad"/>
    <x v="0"/>
    <s v="Finance"/>
    <x v="0"/>
    <s v="Black"/>
    <x v="4"/>
    <n v="4"/>
    <n v="110645"/>
    <n v="7.2999999999999995E-2"/>
    <n v="7.2999999999999995E-2"/>
    <n v="442580"/>
    <n v="32308.34"/>
    <n v="410271.66"/>
    <n v="5"/>
    <n v="195"/>
    <x v="2"/>
    <n v="7"/>
    <n v="7"/>
    <n v="2"/>
    <n v="102567.91499999999"/>
    <x v="5"/>
    <x v="5"/>
    <x v="1"/>
  </r>
  <r>
    <x v="627"/>
    <d v="2025-03-12T00:00:00"/>
    <x v="5"/>
    <x v="12"/>
    <x v="2"/>
    <s v="Ahmedabad"/>
    <x v="2"/>
    <s v="Emi"/>
    <x v="1"/>
    <s v="Blue"/>
    <x v="28"/>
    <n v="1"/>
    <n v="125045"/>
    <n v="6.4000000000000001E-2"/>
    <n v="6.4000000000000001E-2"/>
    <n v="125045"/>
    <n v="8002.88"/>
    <n v="117042.12"/>
    <n v="3"/>
    <n v="170"/>
    <x v="10"/>
    <n v="3"/>
    <n v="3"/>
    <n v="3"/>
    <n v="117042.12"/>
    <x v="10"/>
    <x v="10"/>
    <x v="2"/>
  </r>
  <r>
    <x v="628"/>
    <d v="2025-12-09T00:00:00"/>
    <x v="4"/>
    <x v="6"/>
    <x v="2"/>
    <s v="Pune"/>
    <x v="1"/>
    <s v="Emi"/>
    <x v="1"/>
    <s v="Blue"/>
    <x v="27"/>
    <n v="4"/>
    <n v="102491"/>
    <n v="6.9000000000000006E-2"/>
    <n v="6.9000000000000006E-2"/>
    <n v="409964"/>
    <n v="28287.52"/>
    <n v="381676.48"/>
    <n v="5"/>
    <n v="211"/>
    <x v="12"/>
    <n v="4"/>
    <n v="4"/>
    <n v="3"/>
    <n v="95419.12"/>
    <x v="0"/>
    <x v="0"/>
    <x v="0"/>
  </r>
  <r>
    <x v="629"/>
    <d v="2025-04-22T00:00:00"/>
    <x v="2"/>
    <x v="2"/>
    <x v="1"/>
    <s v="Kochi"/>
    <x v="0"/>
    <s v="Emi"/>
    <x v="1"/>
    <s v="Grey"/>
    <x v="9"/>
    <n v="2"/>
    <n v="127820"/>
    <n v="6.5000000000000002E-2"/>
    <n v="6.5000000000000002E-2"/>
    <n v="255640"/>
    <n v="16616.599999999999"/>
    <n v="239023.4"/>
    <n v="5"/>
    <n v="199"/>
    <x v="1"/>
    <n v="11"/>
    <n v="11"/>
    <n v="5"/>
    <n v="119511.7"/>
    <x v="7"/>
    <x v="7"/>
    <x v="3"/>
  </r>
  <r>
    <x v="630"/>
    <d v="2025-02-06T00:00:00"/>
    <x v="6"/>
    <x v="15"/>
    <x v="2"/>
    <s v="Jaipur"/>
    <x v="2"/>
    <s v="Cash"/>
    <x v="2"/>
    <s v="Red"/>
    <x v="18"/>
    <n v="1"/>
    <n v="111249"/>
    <n v="5.8000000000000003E-2"/>
    <n v="5.8000000000000003E-2"/>
    <n v="111249"/>
    <n v="6452.44"/>
    <n v="104796.56"/>
    <n v="3"/>
    <n v="150"/>
    <x v="8"/>
    <n v="5"/>
    <n v="5"/>
    <n v="5"/>
    <n v="104796.56"/>
    <x v="4"/>
    <x v="4"/>
    <x v="2"/>
  </r>
  <r>
    <x v="631"/>
    <d v="2025-01-26T00:00:00"/>
    <x v="3"/>
    <x v="4"/>
    <x v="1"/>
    <s v="Ahmedabad"/>
    <x v="1"/>
    <s v="Finance"/>
    <x v="0"/>
    <s v="Grey"/>
    <x v="7"/>
    <n v="1"/>
    <n v="114989"/>
    <n v="5.0999999999999997E-2"/>
    <n v="5.0999999999999997E-2"/>
    <n v="114989"/>
    <n v="5864.44"/>
    <n v="109124.56"/>
    <n v="2"/>
    <n v="142"/>
    <x v="7"/>
    <n v="12"/>
    <n v="12"/>
    <n v="2"/>
    <n v="109124.56"/>
    <x v="11"/>
    <x v="11"/>
    <x v="2"/>
  </r>
  <r>
    <x v="632"/>
    <d v="2025-09-12T00:00:00"/>
    <x v="3"/>
    <x v="4"/>
    <x v="1"/>
    <s v="Ahmedabad"/>
    <x v="1"/>
    <s v="Finance"/>
    <x v="0"/>
    <s v="Black"/>
    <x v="12"/>
    <n v="2"/>
    <n v="119753"/>
    <n v="4.7E-2"/>
    <n v="4.7E-2"/>
    <n v="239506"/>
    <n v="11256.78"/>
    <n v="228249.22"/>
    <n v="3"/>
    <n v="152"/>
    <x v="11"/>
    <n v="14"/>
    <n v="14"/>
    <n v="3"/>
    <n v="114124.61"/>
    <x v="3"/>
    <x v="3"/>
    <x v="1"/>
  </r>
  <r>
    <x v="633"/>
    <d v="2025-07-26T00:00:00"/>
    <x v="7"/>
    <x v="14"/>
    <x v="1"/>
    <s v="Kolkata"/>
    <x v="3"/>
    <s v="Emi"/>
    <x v="1"/>
    <s v="Black"/>
    <x v="17"/>
    <n v="1"/>
    <n v="108913"/>
    <n v="6.4000000000000001E-2"/>
    <n v="6.4000000000000001E-2"/>
    <n v="108913"/>
    <n v="6970.43"/>
    <n v="101942.57"/>
    <n v="5"/>
    <n v="204"/>
    <x v="0"/>
    <n v="4"/>
    <n v="4"/>
    <n v="2"/>
    <n v="101942.57"/>
    <x v="8"/>
    <x v="8"/>
    <x v="1"/>
  </r>
  <r>
    <x v="634"/>
    <d v="2025-07-06T00:00:00"/>
    <x v="0"/>
    <x v="0"/>
    <x v="0"/>
    <s v="Chennai"/>
    <x v="2"/>
    <s v="Emi"/>
    <x v="1"/>
    <s v="Grey"/>
    <x v="17"/>
    <n v="5"/>
    <n v="114498"/>
    <n v="5.0999999999999997E-2"/>
    <n v="5.0999999999999997E-2"/>
    <n v="572490"/>
    <n v="29196.99"/>
    <n v="543293.01"/>
    <n v="4"/>
    <n v="193"/>
    <x v="2"/>
    <n v="7"/>
    <n v="7"/>
    <n v="2"/>
    <n v="108658.602"/>
    <x v="8"/>
    <x v="8"/>
    <x v="1"/>
  </r>
  <r>
    <x v="635"/>
    <d v="2025-01-09T00:00:00"/>
    <x v="4"/>
    <x v="6"/>
    <x v="0"/>
    <s v="Delhi"/>
    <x v="1"/>
    <s v="Finance"/>
    <x v="0"/>
    <s v="Red"/>
    <x v="11"/>
    <n v="1"/>
    <n v="103352"/>
    <n v="2.4E-2"/>
    <n v="2.4E-2"/>
    <n v="103352"/>
    <n v="2480.4499999999998"/>
    <n v="100871.55"/>
    <n v="3"/>
    <n v="165"/>
    <x v="16"/>
    <n v="6"/>
    <n v="6"/>
    <n v="2"/>
    <n v="100871.55"/>
    <x v="11"/>
    <x v="11"/>
    <x v="2"/>
  </r>
  <r>
    <x v="636"/>
    <d v="2025-09-16T00:00:00"/>
    <x v="4"/>
    <x v="6"/>
    <x v="1"/>
    <s v="Pune"/>
    <x v="1"/>
    <s v="Cash"/>
    <x v="2"/>
    <s v="Black"/>
    <x v="14"/>
    <n v="1"/>
    <n v="103247"/>
    <n v="4.8000000000000001E-2"/>
    <n v="4.8000000000000001E-2"/>
    <n v="103247"/>
    <n v="4955.8599999999997"/>
    <n v="98291.14"/>
    <n v="5"/>
    <n v="205"/>
    <x v="5"/>
    <n v="14"/>
    <n v="14"/>
    <n v="2"/>
    <n v="98291.14"/>
    <x v="3"/>
    <x v="3"/>
    <x v="1"/>
  </r>
  <r>
    <x v="637"/>
    <d v="2025-05-19T00:00:00"/>
    <x v="2"/>
    <x v="17"/>
    <x v="2"/>
    <s v="Chennai"/>
    <x v="3"/>
    <s v="Finance"/>
    <x v="0"/>
    <s v="White"/>
    <x v="10"/>
    <n v="2"/>
    <n v="186538"/>
    <n v="5.1999999999999998E-2"/>
    <n v="5.1999999999999998E-2"/>
    <n v="373076"/>
    <n v="19399.95"/>
    <n v="353676.05"/>
    <n v="3"/>
    <n v="178"/>
    <x v="8"/>
    <n v="4"/>
    <n v="4"/>
    <n v="3"/>
    <n v="176838.02499999999"/>
    <x v="6"/>
    <x v="6"/>
    <x v="3"/>
  </r>
  <r>
    <x v="638"/>
    <d v="2025-01-04T00:00:00"/>
    <x v="1"/>
    <x v="1"/>
    <x v="0"/>
    <s v="Hyderabad"/>
    <x v="3"/>
    <s v="Finance"/>
    <x v="0"/>
    <s v="Red"/>
    <x v="6"/>
    <n v="1"/>
    <n v="112977"/>
    <n v="0.11700000000000001"/>
    <n v="0.11700000000000001"/>
    <n v="112977"/>
    <n v="13218.31"/>
    <n v="99758.69"/>
    <n v="2"/>
    <n v="128"/>
    <x v="12"/>
    <n v="6"/>
    <n v="6"/>
    <n v="2"/>
    <n v="99758.69"/>
    <x v="11"/>
    <x v="11"/>
    <x v="2"/>
  </r>
  <r>
    <x v="639"/>
    <d v="2025-07-16T00:00:00"/>
    <x v="1"/>
    <x v="1"/>
    <x v="2"/>
    <s v="Delhi"/>
    <x v="3"/>
    <s v="Emi"/>
    <x v="1"/>
    <s v="Green"/>
    <x v="10"/>
    <n v="1"/>
    <n v="116633"/>
    <n v="7.9000000000000001E-2"/>
    <n v="7.9000000000000001E-2"/>
    <n v="116633"/>
    <n v="9214.01"/>
    <n v="107418.99"/>
    <n v="3"/>
    <n v="170"/>
    <x v="15"/>
    <n v="8"/>
    <n v="8"/>
    <n v="2"/>
    <n v="107418.99"/>
    <x v="8"/>
    <x v="8"/>
    <x v="1"/>
  </r>
  <r>
    <x v="640"/>
    <d v="2025-01-15T00:00:00"/>
    <x v="3"/>
    <x v="4"/>
    <x v="2"/>
    <s v="Kolkata"/>
    <x v="3"/>
    <s v="Finance"/>
    <x v="0"/>
    <s v="Red"/>
    <x v="20"/>
    <n v="1"/>
    <n v="117641"/>
    <n v="4.5999999999999999E-2"/>
    <n v="4.5999999999999999E-2"/>
    <n v="117641"/>
    <n v="5411.49"/>
    <n v="112229.51"/>
    <n v="4"/>
    <n v="187"/>
    <x v="16"/>
    <n v="10"/>
    <n v="10"/>
    <n v="5"/>
    <n v="112229.51"/>
    <x v="11"/>
    <x v="11"/>
    <x v="2"/>
  </r>
  <r>
    <x v="641"/>
    <d v="2025-09-12T00:00:00"/>
    <x v="4"/>
    <x v="6"/>
    <x v="2"/>
    <s v="Chennai"/>
    <x v="0"/>
    <s v="Cash"/>
    <x v="2"/>
    <s v="Black"/>
    <x v="9"/>
    <n v="1"/>
    <n v="104479"/>
    <n v="5.8999999999999997E-2"/>
    <n v="5.8999999999999997E-2"/>
    <n v="104479"/>
    <n v="6164.26"/>
    <n v="98314.74"/>
    <n v="3"/>
    <n v="171"/>
    <x v="7"/>
    <n v="6"/>
    <n v="6"/>
    <n v="3"/>
    <n v="98314.74"/>
    <x v="3"/>
    <x v="3"/>
    <x v="1"/>
  </r>
  <r>
    <x v="642"/>
    <d v="2025-03-23T00:00:00"/>
    <x v="3"/>
    <x v="4"/>
    <x v="1"/>
    <s v="Bengaluru"/>
    <x v="2"/>
    <s v="Emi"/>
    <x v="1"/>
    <s v="Green"/>
    <x v="27"/>
    <n v="3"/>
    <n v="127668"/>
    <n v="4.2000000000000003E-2"/>
    <n v="4.2000000000000003E-2"/>
    <n v="383004"/>
    <n v="16086.17"/>
    <n v="366917.83"/>
    <n v="3"/>
    <n v="176"/>
    <x v="16"/>
    <n v="10"/>
    <n v="10"/>
    <n v="2"/>
    <n v="122305.94333333334"/>
    <x v="10"/>
    <x v="10"/>
    <x v="2"/>
  </r>
  <r>
    <x v="643"/>
    <d v="2025-02-14T00:00:00"/>
    <x v="1"/>
    <x v="9"/>
    <x v="2"/>
    <s v="Kochi"/>
    <x v="2"/>
    <s v="Finance"/>
    <x v="0"/>
    <s v="White"/>
    <x v="26"/>
    <n v="2"/>
    <n v="132079"/>
    <n v="7.2999999999999995E-2"/>
    <n v="7.2999999999999995E-2"/>
    <n v="264158"/>
    <n v="19283.53"/>
    <n v="244874.47"/>
    <n v="3"/>
    <n v="189"/>
    <x v="9"/>
    <n v="11"/>
    <n v="11"/>
    <n v="2"/>
    <n v="122437.235"/>
    <x v="4"/>
    <x v="4"/>
    <x v="2"/>
  </r>
  <r>
    <x v="644"/>
    <d v="2025-11-16T00:00:00"/>
    <x v="3"/>
    <x v="3"/>
    <x v="0"/>
    <s v="Kochi"/>
    <x v="2"/>
    <s v="Finance"/>
    <x v="0"/>
    <s v="Green"/>
    <x v="26"/>
    <n v="2"/>
    <n v="142669"/>
    <n v="6.9000000000000006E-2"/>
    <n v="6.9000000000000006E-2"/>
    <n v="285338"/>
    <n v="19688.32"/>
    <n v="265649.68"/>
    <n v="3"/>
    <n v="146"/>
    <x v="17"/>
    <n v="6"/>
    <n v="6"/>
    <n v="2"/>
    <n v="132824.84"/>
    <x v="2"/>
    <x v="2"/>
    <x v="0"/>
  </r>
  <r>
    <x v="645"/>
    <d v="2025-01-27T00:00:00"/>
    <x v="6"/>
    <x v="8"/>
    <x v="1"/>
    <s v="Jaipur"/>
    <x v="1"/>
    <s v="Finance"/>
    <x v="0"/>
    <s v="Blue"/>
    <x v="17"/>
    <n v="2"/>
    <n v="154524"/>
    <n v="0.03"/>
    <n v="0.03"/>
    <n v="309048"/>
    <n v="9271.44"/>
    <n v="299776.56"/>
    <n v="5"/>
    <n v="202"/>
    <x v="16"/>
    <n v="3"/>
    <n v="3"/>
    <n v="3"/>
    <n v="149888.28"/>
    <x v="11"/>
    <x v="11"/>
    <x v="2"/>
  </r>
  <r>
    <x v="646"/>
    <d v="2025-10-05T00:00:00"/>
    <x v="0"/>
    <x v="0"/>
    <x v="2"/>
    <s v="Kochi"/>
    <x v="2"/>
    <s v="Cash"/>
    <x v="2"/>
    <s v="Grey"/>
    <x v="27"/>
    <n v="4"/>
    <n v="121914"/>
    <n v="0.11799999999999999"/>
    <n v="0.11799999999999999"/>
    <n v="487656"/>
    <n v="57543.41"/>
    <n v="430112.59"/>
    <n v="4"/>
    <n v="189"/>
    <x v="16"/>
    <n v="12"/>
    <n v="12"/>
    <n v="5"/>
    <n v="107528.14750000001"/>
    <x v="1"/>
    <x v="1"/>
    <x v="0"/>
  </r>
  <r>
    <x v="647"/>
    <d v="2025-04-08T00:00:00"/>
    <x v="4"/>
    <x v="6"/>
    <x v="0"/>
    <s v="Unknown"/>
    <x v="3"/>
    <s v="Cash"/>
    <x v="2"/>
    <s v="Red"/>
    <x v="9"/>
    <n v="1"/>
    <n v="112329"/>
    <n v="7.9000000000000001E-2"/>
    <n v="7.9000000000000001E-2"/>
    <n v="112329"/>
    <n v="8873.99"/>
    <n v="103455.01"/>
    <n v="3"/>
    <n v="178"/>
    <x v="1"/>
    <n v="11"/>
    <n v="11"/>
    <n v="3"/>
    <n v="103455.01"/>
    <x v="7"/>
    <x v="7"/>
    <x v="3"/>
  </r>
  <r>
    <x v="648"/>
    <d v="2025-05-24T00:00:00"/>
    <x v="0"/>
    <x v="0"/>
    <x v="2"/>
    <s v="Kochi"/>
    <x v="0"/>
    <s v="Emi"/>
    <x v="1"/>
    <s v="Red"/>
    <x v="8"/>
    <n v="5"/>
    <n v="120950"/>
    <n v="0.11700000000000001"/>
    <n v="0.11700000000000001"/>
    <n v="604750"/>
    <n v="70755.75"/>
    <n v="533994.25"/>
    <n v="2"/>
    <n v="151"/>
    <x v="17"/>
    <n v="3"/>
    <n v="3"/>
    <n v="3"/>
    <n v="106798.85"/>
    <x v="6"/>
    <x v="6"/>
    <x v="3"/>
  </r>
  <r>
    <x v="649"/>
    <d v="2025-05-15T00:00:00"/>
    <x v="7"/>
    <x v="14"/>
    <x v="2"/>
    <s v="Delhi"/>
    <x v="0"/>
    <s v="Finance"/>
    <x v="0"/>
    <s v="Red"/>
    <x v="19"/>
    <n v="1"/>
    <n v="106045"/>
    <n v="7.9000000000000001E-2"/>
    <n v="7.9000000000000001E-2"/>
    <n v="106045"/>
    <n v="8377.56"/>
    <n v="97667.44"/>
    <n v="3"/>
    <n v="173"/>
    <x v="8"/>
    <n v="14"/>
    <n v="14"/>
    <n v="2"/>
    <n v="97667.44"/>
    <x v="6"/>
    <x v="6"/>
    <x v="3"/>
  </r>
  <r>
    <x v="650"/>
    <d v="2025-04-11T00:00:00"/>
    <x v="3"/>
    <x v="4"/>
    <x v="0"/>
    <s v="Pune"/>
    <x v="3"/>
    <s v="Cash"/>
    <x v="2"/>
    <s v="Green"/>
    <x v="25"/>
    <n v="2"/>
    <n v="121599"/>
    <n v="2.1999999999999999E-2"/>
    <n v="2.1999999999999999E-2"/>
    <n v="243198"/>
    <n v="5350.36"/>
    <n v="237847.64"/>
    <n v="4"/>
    <n v="168"/>
    <x v="21"/>
    <n v="10"/>
    <n v="10"/>
    <n v="3"/>
    <n v="118923.82"/>
    <x v="7"/>
    <x v="7"/>
    <x v="3"/>
  </r>
  <r>
    <x v="651"/>
    <d v="2025-04-01T00:00:00"/>
    <x v="4"/>
    <x v="6"/>
    <x v="0"/>
    <s v="Bengaluru"/>
    <x v="1"/>
    <s v="Emi"/>
    <x v="1"/>
    <s v="Black"/>
    <x v="25"/>
    <n v="4"/>
    <n v="108608"/>
    <n v="4.1000000000000002E-2"/>
    <n v="4.1000000000000002E-2"/>
    <n v="434432"/>
    <n v="17811.71"/>
    <n v="416620.29"/>
    <n v="4"/>
    <n v="203"/>
    <x v="16"/>
    <n v="6"/>
    <n v="6"/>
    <n v="5"/>
    <n v="104155.07249999999"/>
    <x v="7"/>
    <x v="7"/>
    <x v="3"/>
  </r>
  <r>
    <x v="652"/>
    <d v="2025-06-14T00:00:00"/>
    <x v="4"/>
    <x v="5"/>
    <x v="1"/>
    <s v="Delhi"/>
    <x v="1"/>
    <s v="Finance"/>
    <x v="0"/>
    <s v="Red"/>
    <x v="21"/>
    <n v="4"/>
    <n v="121360"/>
    <n v="8.7999999999999995E-2"/>
    <n v="8.7999999999999995E-2"/>
    <n v="485440"/>
    <n v="42718.720000000001"/>
    <n v="442721.28000000003"/>
    <n v="4"/>
    <n v="183"/>
    <x v="16"/>
    <n v="13"/>
    <n v="13"/>
    <n v="5"/>
    <n v="110680.32000000001"/>
    <x v="9"/>
    <x v="9"/>
    <x v="3"/>
  </r>
  <r>
    <x v="653"/>
    <d v="2025-07-19T00:00:00"/>
    <x v="4"/>
    <x v="6"/>
    <x v="1"/>
    <s v="Bengaluru"/>
    <x v="2"/>
    <s v="Finance"/>
    <x v="0"/>
    <s v="Green"/>
    <x v="22"/>
    <n v="3"/>
    <n v="106200"/>
    <n v="0.11799999999999999"/>
    <n v="0.11799999999999999"/>
    <n v="318600"/>
    <n v="37594.800000000003"/>
    <n v="281005.2"/>
    <n v="3"/>
    <n v="130"/>
    <x v="17"/>
    <n v="12"/>
    <n v="12"/>
    <n v="2"/>
    <n v="93668.400000000009"/>
    <x v="8"/>
    <x v="8"/>
    <x v="1"/>
  </r>
  <r>
    <x v="654"/>
    <d v="2025-04-25T00:00:00"/>
    <x v="7"/>
    <x v="16"/>
    <x v="0"/>
    <s v="Delhi"/>
    <x v="0"/>
    <s v="Emi"/>
    <x v="1"/>
    <s v="Green"/>
    <x v="10"/>
    <n v="1"/>
    <n v="143702"/>
    <n v="9.6000000000000002E-2"/>
    <n v="9.6000000000000002E-2"/>
    <n v="143702"/>
    <n v="13795.39"/>
    <n v="129906.61"/>
    <n v="3"/>
    <n v="166"/>
    <x v="15"/>
    <n v="13"/>
    <n v="13"/>
    <n v="2"/>
    <n v="129906.61"/>
    <x v="7"/>
    <x v="7"/>
    <x v="3"/>
  </r>
  <r>
    <x v="655"/>
    <d v="2025-04-12T00:00:00"/>
    <x v="2"/>
    <x v="17"/>
    <x v="2"/>
    <s v="Pune"/>
    <x v="3"/>
    <s v="Cash"/>
    <x v="2"/>
    <s v="Grey"/>
    <x v="15"/>
    <n v="1"/>
    <n v="174489"/>
    <n v="6.9000000000000006E-2"/>
    <n v="6.9000000000000006E-2"/>
    <n v="174489"/>
    <n v="12039.74"/>
    <n v="162449.26"/>
    <n v="2"/>
    <n v="149"/>
    <x v="18"/>
    <n v="10"/>
    <n v="10"/>
    <n v="3"/>
    <n v="162449.26"/>
    <x v="7"/>
    <x v="7"/>
    <x v="3"/>
  </r>
  <r>
    <x v="656"/>
    <d v="2025-02-16T00:00:00"/>
    <x v="4"/>
    <x v="5"/>
    <x v="0"/>
    <s v="Chennai"/>
    <x v="3"/>
    <s v="Cash"/>
    <x v="2"/>
    <s v="Blue"/>
    <x v="22"/>
    <n v="1"/>
    <n v="112338"/>
    <n v="7.5999999999999998E-2"/>
    <n v="7.5999999999999998E-2"/>
    <n v="112338"/>
    <n v="8537.69"/>
    <n v="103800.31"/>
    <n v="3"/>
    <n v="155"/>
    <x v="2"/>
    <n v="11"/>
    <n v="11"/>
    <n v="3"/>
    <n v="103800.31"/>
    <x v="4"/>
    <x v="4"/>
    <x v="2"/>
  </r>
  <r>
    <x v="657"/>
    <d v="2025-04-27T00:00:00"/>
    <x v="1"/>
    <x v="9"/>
    <x v="2"/>
    <s v="Mumbai"/>
    <x v="3"/>
    <s v="Finance"/>
    <x v="0"/>
    <s v="Grey"/>
    <x v="16"/>
    <n v="1"/>
    <n v="125565"/>
    <n v="3.1E-2"/>
    <n v="3.1E-2"/>
    <n v="125565"/>
    <n v="3892.51"/>
    <n v="121672.49"/>
    <n v="3"/>
    <n v="164"/>
    <x v="15"/>
    <n v="11"/>
    <n v="11"/>
    <n v="3"/>
    <n v="121672.49"/>
    <x v="7"/>
    <x v="7"/>
    <x v="3"/>
  </r>
  <r>
    <x v="658"/>
    <d v="2025-08-20T00:00:00"/>
    <x v="2"/>
    <x v="17"/>
    <x v="1"/>
    <s v="Kolkata"/>
    <x v="1"/>
    <s v=" Emi "/>
    <x v="3"/>
    <s v="Blue"/>
    <x v="18"/>
    <n v="1"/>
    <n v="172902"/>
    <n v="7.4999999999999997E-2"/>
    <n v="7.4999999999999997E-2"/>
    <n v="172902"/>
    <n v="12967.65"/>
    <n v="159934.35"/>
    <n v="4"/>
    <n v="170"/>
    <x v="5"/>
    <n v="10"/>
    <n v="10"/>
    <n v="3"/>
    <n v="159934.35"/>
    <x v="5"/>
    <x v="5"/>
    <x v="1"/>
  </r>
  <r>
    <x v="659"/>
    <d v="2025-10-16T00:00:00"/>
    <x v="6"/>
    <x v="8"/>
    <x v="0"/>
    <s v="Ahmedabad"/>
    <x v="1"/>
    <s v="Emi"/>
    <x v="1"/>
    <s v="Green"/>
    <x v="29"/>
    <n v="1"/>
    <n v="142815"/>
    <n v="9.6000000000000002E-2"/>
    <n v="9.6000000000000002E-2"/>
    <n v="142815"/>
    <n v="13710.24"/>
    <n v="129104.76"/>
    <n v="3"/>
    <n v="145"/>
    <x v="8"/>
    <n v="9"/>
    <n v="9"/>
    <n v="3"/>
    <n v="129104.76"/>
    <x v="1"/>
    <x v="1"/>
    <x v="0"/>
  </r>
  <r>
    <x v="660"/>
    <d v="2025-10-15T00:00:00"/>
    <x v="7"/>
    <x v="14"/>
    <x v="1"/>
    <s v="Kolkata"/>
    <x v="1"/>
    <s v="Emi"/>
    <x v="1"/>
    <s v="Grey"/>
    <x v="14"/>
    <n v="1"/>
    <n v="104454"/>
    <n v="4.5999999999999999E-2"/>
    <n v="4.5999999999999999E-2"/>
    <n v="104454"/>
    <n v="4804.88"/>
    <n v="99649.12"/>
    <n v="3"/>
    <n v="183"/>
    <x v="5"/>
    <n v="3"/>
    <n v="3"/>
    <n v="5"/>
    <n v="99649.12"/>
    <x v="1"/>
    <x v="1"/>
    <x v="0"/>
  </r>
  <r>
    <x v="661"/>
    <d v="2025-09-02T00:00:00"/>
    <x v="1"/>
    <x v="1"/>
    <x v="1"/>
    <s v="Chennai"/>
    <x v="0"/>
    <s v="Cash"/>
    <x v="2"/>
    <s v="Black"/>
    <x v="17"/>
    <n v="1"/>
    <n v="112231"/>
    <n v="0.105"/>
    <n v="0.105"/>
    <n v="112231"/>
    <n v="11784.25"/>
    <n v="100446.75"/>
    <n v="3"/>
    <n v="166"/>
    <x v="9"/>
    <n v="3"/>
    <n v="3"/>
    <n v="3"/>
    <n v="100446.75"/>
    <x v="3"/>
    <x v="3"/>
    <x v="1"/>
  </r>
  <r>
    <x v="662"/>
    <d v="2025-05-25T00:00:00"/>
    <x v="4"/>
    <x v="6"/>
    <x v="2"/>
    <s v="Kochi"/>
    <x v="0"/>
    <s v="Finance"/>
    <x v="0"/>
    <s v="Green"/>
    <x v="4"/>
    <n v="2"/>
    <n v="105783"/>
    <n v="3.2000000000000001E-2"/>
    <n v="3.2000000000000001E-2"/>
    <n v="211566"/>
    <n v="6770.11"/>
    <n v="204795.89"/>
    <n v="3"/>
    <n v="165"/>
    <x v="5"/>
    <n v="10"/>
    <n v="10"/>
    <n v="3"/>
    <n v="102397.94500000001"/>
    <x v="6"/>
    <x v="6"/>
    <x v="3"/>
  </r>
  <r>
    <x v="663"/>
    <d v="2025-01-14T00:00:00"/>
    <x v="6"/>
    <x v="15"/>
    <x v="0"/>
    <s v="Chennai"/>
    <x v="2"/>
    <s v="Emi"/>
    <x v="1"/>
    <s v="White"/>
    <x v="5"/>
    <n v="3"/>
    <n v="106492"/>
    <n v="6.5000000000000002E-2"/>
    <n v="6.5000000000000002E-2"/>
    <n v="319476"/>
    <n v="20765.939999999999"/>
    <n v="298710.06"/>
    <n v="4"/>
    <n v="198"/>
    <x v="6"/>
    <n v="13"/>
    <n v="13"/>
    <n v="5"/>
    <n v="99570.02"/>
    <x v="11"/>
    <x v="11"/>
    <x v="2"/>
  </r>
  <r>
    <x v="664"/>
    <d v="2025-08-27T00:00:00"/>
    <x v="2"/>
    <x v="2"/>
    <x v="0"/>
    <s v="Pune"/>
    <x v="1"/>
    <s v="Cash"/>
    <x v="2"/>
    <s v="Red"/>
    <x v="11"/>
    <n v="1"/>
    <n v="124037"/>
    <n v="4.1000000000000002E-2"/>
    <n v="4.1000000000000002E-2"/>
    <n v="124037"/>
    <n v="5085.5200000000004"/>
    <n v="118951.48"/>
    <n v="4"/>
    <n v="176"/>
    <x v="16"/>
    <n v="13"/>
    <n v="13"/>
    <n v="3"/>
    <n v="118951.48"/>
    <x v="5"/>
    <x v="5"/>
    <x v="1"/>
  </r>
  <r>
    <x v="665"/>
    <d v="2025-04-05T00:00:00"/>
    <x v="1"/>
    <x v="1"/>
    <x v="0"/>
    <s v="Hyderabad"/>
    <x v="1"/>
    <s v="Finance"/>
    <x v="0"/>
    <s v="Blue"/>
    <x v="12"/>
    <n v="3"/>
    <n v="107992"/>
    <n v="0.08"/>
    <n v="0.08"/>
    <n v="323976"/>
    <n v="25918.080000000002"/>
    <n v="298057.92"/>
    <n v="4"/>
    <n v="157"/>
    <x v="9"/>
    <n v="3"/>
    <n v="3"/>
    <n v="2"/>
    <n v="99352.639999999999"/>
    <x v="7"/>
    <x v="7"/>
    <x v="3"/>
  </r>
  <r>
    <x v="666"/>
    <d v="2025-01-30T00:00:00"/>
    <x v="2"/>
    <x v="17"/>
    <x v="1"/>
    <s v="Bengaluru"/>
    <x v="1"/>
    <s v="Cash"/>
    <x v="2"/>
    <s v="Blue"/>
    <x v="20"/>
    <n v="2"/>
    <n v="172011"/>
    <n v="3.5000000000000003E-2"/>
    <n v="3.5000000000000003E-2"/>
    <n v="344022"/>
    <n v="12040.77"/>
    <n v="331981.23"/>
    <n v="3"/>
    <n v="161"/>
    <x v="9"/>
    <n v="14"/>
    <n v="14"/>
    <n v="2"/>
    <n v="165990.61499999999"/>
    <x v="11"/>
    <x v="11"/>
    <x v="2"/>
  </r>
  <r>
    <x v="667"/>
    <d v="2025-06-15T00:00:00"/>
    <x v="5"/>
    <x v="7"/>
    <x v="0"/>
    <s v="Pune"/>
    <x v="2"/>
    <s v="Finance"/>
    <x v="0"/>
    <s v="White"/>
    <x v="3"/>
    <n v="2"/>
    <n v="136420"/>
    <n v="7.9000000000000001E-2"/>
    <n v="7.9000000000000001E-2"/>
    <n v="272840"/>
    <n v="21554.36"/>
    <n v="251285.64"/>
    <n v="5"/>
    <n v="190"/>
    <x v="8"/>
    <n v="14"/>
    <n v="14"/>
    <n v="5"/>
    <n v="125642.82"/>
    <x v="9"/>
    <x v="9"/>
    <x v="3"/>
  </r>
  <r>
    <x v="668"/>
    <d v="2025-09-21T00:00:00"/>
    <x v="3"/>
    <x v="4"/>
    <x v="1"/>
    <s v="Kolkata"/>
    <x v="2"/>
    <s v="Finance"/>
    <x v="0"/>
    <s v="Grey"/>
    <x v="15"/>
    <n v="4"/>
    <n v="119339"/>
    <n v="5.0999999999999997E-2"/>
    <n v="5.0999999999999997E-2"/>
    <n v="477356"/>
    <n v="24345.16"/>
    <n v="453010.84"/>
    <n v="3"/>
    <n v="176"/>
    <x v="8"/>
    <n v="7"/>
    <n v="7"/>
    <n v="5"/>
    <n v="113252.71"/>
    <x v="3"/>
    <x v="3"/>
    <x v="1"/>
  </r>
  <r>
    <x v="669"/>
    <d v="2025-03-25T00:00:00"/>
    <x v="3"/>
    <x v="4"/>
    <x v="0"/>
    <s v="Chennai"/>
    <x v="1"/>
    <s v="Finance"/>
    <x v="0"/>
    <s v="White"/>
    <x v="8"/>
    <n v="1"/>
    <n v="119495"/>
    <n v="3.6999999999999998E-2"/>
    <n v="3.6999999999999998E-2"/>
    <n v="119495"/>
    <n v="4421.3100000000004"/>
    <n v="115073.69"/>
    <n v="4"/>
    <n v="187"/>
    <x v="13"/>
    <n v="3"/>
    <n v="3"/>
    <n v="3"/>
    <n v="115073.69"/>
    <x v="10"/>
    <x v="10"/>
    <x v="2"/>
  </r>
  <r>
    <x v="670"/>
    <d v="2025-01-15T00:00:00"/>
    <x v="6"/>
    <x v="8"/>
    <x v="0"/>
    <s v="Kolkata"/>
    <x v="3"/>
    <s v="Cash"/>
    <x v="2"/>
    <s v="Black"/>
    <x v="17"/>
    <n v="2"/>
    <n v="150461"/>
    <n v="2.1000000000000001E-2"/>
    <n v="2.1000000000000001E-2"/>
    <n v="300922"/>
    <n v="6319.36"/>
    <n v="294602.64"/>
    <n v="4"/>
    <n v="193"/>
    <x v="11"/>
    <n v="8"/>
    <n v="8"/>
    <n v="3"/>
    <n v="147301.32"/>
    <x v="11"/>
    <x v="11"/>
    <x v="2"/>
  </r>
  <r>
    <x v="671"/>
    <d v="2025-01-20T00:00:00"/>
    <x v="6"/>
    <x v="15"/>
    <x v="0"/>
    <s v="Bengaluru"/>
    <x v="1"/>
    <s v="Finance"/>
    <x v="0"/>
    <s v="Grey"/>
    <x v="13"/>
    <n v="1"/>
    <n v="114085"/>
    <n v="8.5000000000000006E-2"/>
    <n v="8.5000000000000006E-2"/>
    <n v="114085"/>
    <n v="9697.23"/>
    <n v="104387.77"/>
    <n v="4"/>
    <n v="165"/>
    <x v="5"/>
    <n v="10"/>
    <n v="10"/>
    <n v="2"/>
    <n v="104387.77"/>
    <x v="11"/>
    <x v="11"/>
    <x v="2"/>
  </r>
  <r>
    <x v="672"/>
    <d v="2025-06-28T00:00:00"/>
    <x v="2"/>
    <x v="2"/>
    <x v="2"/>
    <s v="Delhi"/>
    <x v="3"/>
    <s v="Emi"/>
    <x v="1"/>
    <s v="White"/>
    <x v="29"/>
    <n v="2"/>
    <n v="127277"/>
    <n v="8.2000000000000003E-2"/>
    <n v="8.2000000000000003E-2"/>
    <n v="254554"/>
    <n v="20873.43"/>
    <n v="233680.57"/>
    <n v="2"/>
    <n v="158"/>
    <x v="3"/>
    <n v="6"/>
    <n v="6"/>
    <n v="3"/>
    <n v="116840.285"/>
    <x v="9"/>
    <x v="9"/>
    <x v="3"/>
  </r>
  <r>
    <x v="673"/>
    <d v="2025-01-20T00:00:00"/>
    <x v="5"/>
    <x v="7"/>
    <x v="0"/>
    <s v="Pune"/>
    <x v="2"/>
    <s v="Finance"/>
    <x v="0"/>
    <s v="Black"/>
    <x v="3"/>
    <n v="1"/>
    <n v="138702"/>
    <n v="9.6000000000000002E-2"/>
    <n v="9.6000000000000002E-2"/>
    <n v="138702"/>
    <n v="13315.39"/>
    <n v="125386.61"/>
    <n v="5"/>
    <n v="224"/>
    <x v="7"/>
    <n v="2"/>
    <n v="2"/>
    <n v="2"/>
    <n v="125386.61"/>
    <x v="11"/>
    <x v="11"/>
    <x v="2"/>
  </r>
  <r>
    <x v="674"/>
    <d v="2025-05-18T00:00:00"/>
    <x v="6"/>
    <x v="15"/>
    <x v="0"/>
    <s v="Kolkata"/>
    <x v="1"/>
    <s v="Cash"/>
    <x v="2"/>
    <s v="White"/>
    <x v="9"/>
    <n v="1"/>
    <n v="116821"/>
    <n v="6.8000000000000005E-2"/>
    <n v="6.8000000000000005E-2"/>
    <n v="116821"/>
    <n v="7943.83"/>
    <n v="108877.17"/>
    <n v="3"/>
    <n v="135"/>
    <x v="15"/>
    <n v="5"/>
    <n v="5"/>
    <n v="3"/>
    <n v="108877.17"/>
    <x v="6"/>
    <x v="6"/>
    <x v="3"/>
  </r>
  <r>
    <x v="675"/>
    <d v="2025-09-03T00:00:00"/>
    <x v="7"/>
    <x v="10"/>
    <x v="1"/>
    <s v="Ahmedabad"/>
    <x v="3"/>
    <s v="Finance"/>
    <x v="0"/>
    <s v="White"/>
    <x v="0"/>
    <n v="2"/>
    <n v="108449"/>
    <n v="7.1999999999999995E-2"/>
    <n v="7.1999999999999995E-2"/>
    <n v="216898"/>
    <n v="15616.66"/>
    <n v="201281.34"/>
    <n v="3"/>
    <n v="184"/>
    <x v="1"/>
    <n v="13"/>
    <n v="13"/>
    <n v="3"/>
    <n v="100640.67"/>
    <x v="3"/>
    <x v="3"/>
    <x v="1"/>
  </r>
  <r>
    <x v="676"/>
    <d v="2025-09-22T00:00:00"/>
    <x v="1"/>
    <x v="1"/>
    <x v="0"/>
    <s v="Pune"/>
    <x v="0"/>
    <s v="Emi"/>
    <x v="1"/>
    <s v="Black"/>
    <x v="14"/>
    <n v="1"/>
    <n v="109517"/>
    <n v="7.6999999999999999E-2"/>
    <n v="7.6999999999999999E-2"/>
    <n v="109517"/>
    <n v="8432.81"/>
    <n v="101084.19"/>
    <n v="5"/>
    <n v="216"/>
    <x v="16"/>
    <n v="8"/>
    <n v="8"/>
    <n v="5"/>
    <n v="101084.19"/>
    <x v="3"/>
    <x v="3"/>
    <x v="1"/>
  </r>
  <r>
    <x v="677"/>
    <d v="2025-03-03T00:00:00"/>
    <x v="7"/>
    <x v="10"/>
    <x v="0"/>
    <s v="Mumbai"/>
    <x v="0"/>
    <s v="Cash"/>
    <x v="2"/>
    <s v="Red"/>
    <x v="22"/>
    <n v="1"/>
    <n v="117454"/>
    <n v="0.114"/>
    <n v="0.114"/>
    <n v="117454"/>
    <n v="13389.76"/>
    <n v="104064.24"/>
    <n v="4"/>
    <n v="192"/>
    <x v="6"/>
    <n v="9"/>
    <n v="9"/>
    <n v="5"/>
    <n v="104064.24"/>
    <x v="10"/>
    <x v="10"/>
    <x v="2"/>
  </r>
  <r>
    <x v="678"/>
    <d v="2025-10-17T00:00:00"/>
    <x v="2"/>
    <x v="2"/>
    <x v="2"/>
    <s v="Delhi"/>
    <x v="3"/>
    <s v="Cash"/>
    <x v="2"/>
    <s v="Green"/>
    <x v="15"/>
    <n v="1"/>
    <n v="126504"/>
    <n v="3.1E-2"/>
    <n v="3.1E-2"/>
    <n v="126504"/>
    <n v="3921.62"/>
    <n v="122582.38"/>
    <n v="4"/>
    <n v="188"/>
    <x v="6"/>
    <n v="13"/>
    <n v="13"/>
    <n v="5"/>
    <n v="122582.38"/>
    <x v="1"/>
    <x v="1"/>
    <x v="0"/>
  </r>
  <r>
    <x v="679"/>
    <d v="2025-07-12T00:00:00"/>
    <x v="7"/>
    <x v="14"/>
    <x v="0"/>
    <s v="Ahmedabad"/>
    <x v="1"/>
    <s v="Emi"/>
    <x v="1"/>
    <s v="Grey"/>
    <x v="1"/>
    <n v="1"/>
    <n v="109484"/>
    <n v="8.3000000000000004E-2"/>
    <n v="8.3000000000000004E-2"/>
    <n v="109484"/>
    <n v="9087.17"/>
    <n v="100396.83"/>
    <n v="5"/>
    <n v="195"/>
    <x v="16"/>
    <n v="6"/>
    <n v="6"/>
    <n v="3"/>
    <n v="100396.83"/>
    <x v="8"/>
    <x v="8"/>
    <x v="1"/>
  </r>
  <r>
    <x v="680"/>
    <d v="2025-02-26T00:00:00"/>
    <x v="3"/>
    <x v="4"/>
    <x v="0"/>
    <s v="Mumbai"/>
    <x v="1"/>
    <s v="Cash"/>
    <x v="2"/>
    <s v="Grey"/>
    <x v="6"/>
    <n v="1"/>
    <n v="128534"/>
    <n v="5.8000000000000003E-2"/>
    <n v="5.8000000000000003E-2"/>
    <n v="128534"/>
    <n v="7454.97"/>
    <n v="121079.03"/>
    <n v="4"/>
    <n v="174"/>
    <x v="2"/>
    <n v="11"/>
    <n v="11"/>
    <n v="5"/>
    <n v="121079.03"/>
    <x v="4"/>
    <x v="4"/>
    <x v="2"/>
  </r>
  <r>
    <x v="681"/>
    <d v="2025-05-01T00:00:00"/>
    <x v="6"/>
    <x v="15"/>
    <x v="2"/>
    <s v="Ahmedabad"/>
    <x v="2"/>
    <s v="Emi"/>
    <x v="1"/>
    <s v="White"/>
    <x v="16"/>
    <n v="2"/>
    <n v="117926"/>
    <n v="7.2999999999999995E-2"/>
    <n v="7.2999999999999995E-2"/>
    <n v="235852"/>
    <n v="17217.2"/>
    <n v="218634.8"/>
    <n v="4"/>
    <n v="158"/>
    <x v="7"/>
    <n v="9"/>
    <n v="9"/>
    <n v="3"/>
    <n v="109317.4"/>
    <x v="6"/>
    <x v="6"/>
    <x v="3"/>
  </r>
  <r>
    <x v="682"/>
    <d v="2025-06-16T00:00:00"/>
    <x v="6"/>
    <x v="8"/>
    <x v="1"/>
    <s v="Hyderabad"/>
    <x v="3"/>
    <s v="Emi"/>
    <x v="1"/>
    <s v="Green"/>
    <x v="9"/>
    <n v="4"/>
    <n v="149251"/>
    <n v="0.11600000000000001"/>
    <n v="0.11600000000000001"/>
    <n v="597004"/>
    <n v="69252.460000000006"/>
    <n v="527751.54"/>
    <n v="3"/>
    <n v="182"/>
    <x v="1"/>
    <n v="5"/>
    <n v="5"/>
    <n v="2"/>
    <n v="131937.88500000001"/>
    <x v="9"/>
    <x v="9"/>
    <x v="3"/>
  </r>
  <r>
    <x v="683"/>
    <d v="2025-04-07T00:00:00"/>
    <x v="7"/>
    <x v="10"/>
    <x v="0"/>
    <s v="Mumbai"/>
    <x v="3"/>
    <s v="Finance"/>
    <x v="0"/>
    <s v="Blue"/>
    <x v="26"/>
    <n v="3"/>
    <n v="115748"/>
    <n v="9.9000000000000005E-2"/>
    <n v="9.9000000000000005E-2"/>
    <n v="347244"/>
    <n v="34377.160000000003"/>
    <n v="312866.84000000003"/>
    <n v="3"/>
    <n v="164"/>
    <x v="1"/>
    <n v="11"/>
    <n v="11"/>
    <n v="2"/>
    <n v="104288.94666666667"/>
    <x v="7"/>
    <x v="7"/>
    <x v="3"/>
  </r>
  <r>
    <x v="684"/>
    <d v="2025-12-27T00:00:00"/>
    <x v="0"/>
    <x v="0"/>
    <x v="2"/>
    <s v="Kochi"/>
    <x v="2"/>
    <s v="Cash"/>
    <x v="2"/>
    <s v="Black"/>
    <x v="13"/>
    <n v="1"/>
    <n v="126813"/>
    <n v="9.8000000000000004E-2"/>
    <n v="9.8000000000000004E-2"/>
    <n v="126813"/>
    <n v="12427.67"/>
    <n v="114385.33"/>
    <n v="3"/>
    <n v="177"/>
    <x v="15"/>
    <n v="5"/>
    <n v="5"/>
    <n v="2"/>
    <n v="114385.33"/>
    <x v="0"/>
    <x v="0"/>
    <x v="0"/>
  </r>
  <r>
    <x v="685"/>
    <d v="2025-06-11T00:00:00"/>
    <x v="3"/>
    <x v="3"/>
    <x v="1"/>
    <s v="Hyderabad"/>
    <x v="2"/>
    <s v="Finance"/>
    <x v="0"/>
    <s v="Grey"/>
    <x v="11"/>
    <n v="4"/>
    <n v="154396"/>
    <n v="9.7000000000000003E-2"/>
    <n v="9.7000000000000003E-2"/>
    <n v="617584"/>
    <n v="59905.65"/>
    <n v="557678.35"/>
    <n v="3"/>
    <n v="160"/>
    <x v="9"/>
    <n v="2"/>
    <n v="2"/>
    <n v="2"/>
    <n v="139419.58749999999"/>
    <x v="9"/>
    <x v="9"/>
    <x v="3"/>
  </r>
  <r>
    <x v="686"/>
    <d v="2025-09-30T00:00:00"/>
    <x v="3"/>
    <x v="4"/>
    <x v="2"/>
    <s v="Unknown"/>
    <x v="0"/>
    <s v="Finance"/>
    <x v="0"/>
    <s v="Black"/>
    <x v="11"/>
    <n v="1"/>
    <n v="116157"/>
    <n v="4.2999999999999997E-2"/>
    <n v="4.2999999999999997E-2"/>
    <n v="116157"/>
    <n v="4994.75"/>
    <n v="111162.25"/>
    <n v="4"/>
    <n v="180"/>
    <x v="16"/>
    <n v="2"/>
    <n v="2"/>
    <n v="2"/>
    <n v="111162.25"/>
    <x v="3"/>
    <x v="3"/>
    <x v="1"/>
  </r>
  <r>
    <x v="687"/>
    <d v="2025-11-14T00:00:00"/>
    <x v="7"/>
    <x v="16"/>
    <x v="1"/>
    <s v="Pune"/>
    <x v="2"/>
    <s v="Finance"/>
    <x v="0"/>
    <s v="Red"/>
    <x v="12"/>
    <n v="5"/>
    <n v="136046"/>
    <n v="5.0999999999999997E-2"/>
    <n v="5.0999999999999997E-2"/>
    <n v="680230"/>
    <n v="34691.730000000003"/>
    <n v="645538.27"/>
    <n v="5"/>
    <n v="198"/>
    <x v="14"/>
    <n v="5"/>
    <n v="5"/>
    <n v="3"/>
    <n v="129107.65400000001"/>
    <x v="2"/>
    <x v="2"/>
    <x v="0"/>
  </r>
  <r>
    <x v="688"/>
    <d v="2025-03-15T00:00:00"/>
    <x v="2"/>
    <x v="17"/>
    <x v="0"/>
    <s v="Chennai"/>
    <x v="0"/>
    <s v="Cash"/>
    <x v="2"/>
    <s v="Black"/>
    <x v="15"/>
    <n v="5"/>
    <n v="180362"/>
    <n v="0.08"/>
    <n v="0.08"/>
    <n v="901810"/>
    <n v="72144.800000000003"/>
    <n v="829665.2"/>
    <n v="3"/>
    <n v="187"/>
    <x v="16"/>
    <n v="4"/>
    <n v="4"/>
    <n v="5"/>
    <n v="165933.03999999998"/>
    <x v="10"/>
    <x v="10"/>
    <x v="2"/>
  </r>
  <r>
    <x v="689"/>
    <d v="2025-10-15T00:00:00"/>
    <x v="1"/>
    <x v="9"/>
    <x v="1"/>
    <s v="Ahmedabad"/>
    <x v="1"/>
    <s v="Finance"/>
    <x v="0"/>
    <s v="Blue"/>
    <x v="19"/>
    <n v="2"/>
    <n v="127990"/>
    <n v="6.5000000000000002E-2"/>
    <n v="6.5000000000000002E-2"/>
    <n v="255980"/>
    <n v="16638.7"/>
    <n v="239341.3"/>
    <n v="3"/>
    <n v="170"/>
    <x v="2"/>
    <n v="11"/>
    <n v="11"/>
    <n v="5"/>
    <n v="119670.65"/>
    <x v="1"/>
    <x v="1"/>
    <x v="0"/>
  </r>
  <r>
    <x v="690"/>
    <d v="2025-01-11T00:00:00"/>
    <x v="2"/>
    <x v="17"/>
    <x v="2"/>
    <s v="Chennai"/>
    <x v="1"/>
    <s v="Finance"/>
    <x v="0"/>
    <s v="Grey"/>
    <x v="17"/>
    <n v="4"/>
    <n v="178875"/>
    <n v="9.4E-2"/>
    <n v="9.4E-2"/>
    <n v="715500"/>
    <n v="67257"/>
    <n v="648243"/>
    <n v="3"/>
    <n v="184"/>
    <x v="8"/>
    <n v="12"/>
    <n v="12"/>
    <n v="3"/>
    <n v="162060.75"/>
    <x v="11"/>
    <x v="11"/>
    <x v="2"/>
  </r>
  <r>
    <x v="691"/>
    <d v="2025-08-02T00:00:00"/>
    <x v="2"/>
    <x v="2"/>
    <x v="2"/>
    <s v="Bengaluru"/>
    <x v="0"/>
    <s v="Finance"/>
    <x v="0"/>
    <s v="Blue"/>
    <x v="5"/>
    <n v="1"/>
    <n v="121647"/>
    <n v="6.5000000000000002E-2"/>
    <n v="6.5000000000000002E-2"/>
    <n v="121647"/>
    <n v="7907.06"/>
    <n v="113739.94"/>
    <n v="3"/>
    <n v="167"/>
    <x v="12"/>
    <n v="12"/>
    <n v="12"/>
    <n v="5"/>
    <n v="113739.94"/>
    <x v="5"/>
    <x v="5"/>
    <x v="1"/>
  </r>
  <r>
    <x v="692"/>
    <d v="2025-08-03T00:00:00"/>
    <x v="5"/>
    <x v="12"/>
    <x v="0"/>
    <s v="Mumbai"/>
    <x v="0"/>
    <s v="Cash"/>
    <x v="2"/>
    <s v="Green"/>
    <x v="20"/>
    <n v="3"/>
    <n v="130110"/>
    <n v="5.2999999999999999E-2"/>
    <n v="5.2999999999999999E-2"/>
    <n v="390330"/>
    <n v="20687.490000000002"/>
    <n v="369642.51"/>
    <n v="3"/>
    <n v="172"/>
    <x v="1"/>
    <n v="6"/>
    <n v="6"/>
    <n v="2"/>
    <n v="123214.17"/>
    <x v="5"/>
    <x v="5"/>
    <x v="1"/>
  </r>
  <r>
    <x v="693"/>
    <d v="2025-05-12T00:00:00"/>
    <x v="1"/>
    <x v="9"/>
    <x v="1"/>
    <s v="Hyderabad"/>
    <x v="3"/>
    <s v="Finance"/>
    <x v="0"/>
    <s v="Red"/>
    <x v="25"/>
    <n v="1"/>
    <n v="132049"/>
    <n v="2.1999999999999999E-2"/>
    <n v="2.1999999999999999E-2"/>
    <n v="132049"/>
    <n v="2905.08"/>
    <n v="129143.92"/>
    <n v="2"/>
    <n v="153"/>
    <x v="8"/>
    <n v="10"/>
    <n v="10"/>
    <n v="3"/>
    <n v="129143.92"/>
    <x v="6"/>
    <x v="6"/>
    <x v="3"/>
  </r>
  <r>
    <x v="694"/>
    <d v="2025-09-12T00:00:00"/>
    <x v="1"/>
    <x v="1"/>
    <x v="1"/>
    <s v="Pune"/>
    <x v="0"/>
    <s v="Emi"/>
    <x v="1"/>
    <s v="Red"/>
    <x v="27"/>
    <n v="1"/>
    <n v="111285"/>
    <n v="7.4999999999999997E-2"/>
    <n v="7.4999999999999997E-2"/>
    <n v="111285"/>
    <n v="8346.3799999999992"/>
    <n v="102938.62"/>
    <n v="4"/>
    <n v="189"/>
    <x v="16"/>
    <n v="10"/>
    <n v="10"/>
    <n v="2"/>
    <n v="102938.62"/>
    <x v="3"/>
    <x v="3"/>
    <x v="1"/>
  </r>
  <r>
    <x v="695"/>
    <d v="2025-06-08T00:00:00"/>
    <x v="5"/>
    <x v="7"/>
    <x v="2"/>
    <s v="Hyderabad"/>
    <x v="1"/>
    <s v="Cash"/>
    <x v="2"/>
    <s v="Green"/>
    <x v="21"/>
    <n v="1"/>
    <n v="143215"/>
    <n v="2.5999999999999999E-2"/>
    <n v="2.5999999999999999E-2"/>
    <n v="143215"/>
    <n v="3723.59"/>
    <n v="139491.41"/>
    <n v="3"/>
    <n v="163"/>
    <x v="10"/>
    <n v="7"/>
    <n v="7"/>
    <n v="2"/>
    <n v="139491.41"/>
    <x v="9"/>
    <x v="9"/>
    <x v="3"/>
  </r>
  <r>
    <x v="696"/>
    <d v="2025-10-25T00:00:00"/>
    <x v="5"/>
    <x v="7"/>
    <x v="0"/>
    <s v="Mumbai"/>
    <x v="3"/>
    <s v="Finance"/>
    <x v="0"/>
    <s v="Blue"/>
    <x v="5"/>
    <n v="2"/>
    <n v="138328"/>
    <n v="0.10100000000000001"/>
    <n v="0.10100000000000001"/>
    <n v="276656"/>
    <n v="27942.26"/>
    <n v="248713.74"/>
    <n v="3"/>
    <n v="179"/>
    <x v="6"/>
    <n v="3"/>
    <n v="3"/>
    <n v="5"/>
    <n v="124356.87"/>
    <x v="1"/>
    <x v="1"/>
    <x v="0"/>
  </r>
  <r>
    <x v="697"/>
    <d v="2025-03-11T00:00:00"/>
    <x v="6"/>
    <x v="15"/>
    <x v="1"/>
    <s v="Chennai"/>
    <x v="3"/>
    <s v="Cash"/>
    <x v="2"/>
    <s v="Red"/>
    <x v="14"/>
    <n v="3"/>
    <n v="106145"/>
    <n v="0.11"/>
    <n v="0.11"/>
    <n v="318435"/>
    <n v="35027.85"/>
    <n v="283407.15000000002"/>
    <n v="3"/>
    <n v="173"/>
    <x v="8"/>
    <n v="12"/>
    <n v="12"/>
    <n v="2"/>
    <n v="94469.05"/>
    <x v="10"/>
    <x v="10"/>
    <x v="2"/>
  </r>
  <r>
    <x v="698"/>
    <d v="2025-03-11T00:00:00"/>
    <x v="6"/>
    <x v="8"/>
    <x v="0"/>
    <s v="Ahmedabad"/>
    <x v="2"/>
    <s v="Emi"/>
    <x v="1"/>
    <s v="Black"/>
    <x v="24"/>
    <n v="1"/>
    <n v="155154"/>
    <n v="7.3999999999999996E-2"/>
    <n v="7.3999999999999996E-2"/>
    <n v="155154"/>
    <n v="11481.4"/>
    <n v="143672.6"/>
    <n v="5"/>
    <n v="204"/>
    <x v="6"/>
    <n v="4"/>
    <n v="4"/>
    <n v="5"/>
    <n v="143672.6"/>
    <x v="10"/>
    <x v="10"/>
    <x v="2"/>
  </r>
  <r>
    <x v="699"/>
    <d v="2025-11-25T00:00:00"/>
    <x v="3"/>
    <x v="3"/>
    <x v="2"/>
    <s v="Mumbai"/>
    <x v="2"/>
    <s v="Finance"/>
    <x v="0"/>
    <s v="Green"/>
    <x v="14"/>
    <n v="3"/>
    <n v="144415"/>
    <n v="0.105"/>
    <n v="0.105"/>
    <n v="433245"/>
    <n v="45490.720000000001"/>
    <n v="387754.28"/>
    <n v="4"/>
    <n v="197"/>
    <x v="16"/>
    <n v="7"/>
    <n v="7"/>
    <n v="2"/>
    <n v="129251.42666666668"/>
    <x v="2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646097-56C9-499C-9E0A-D957164E1685}" name="PivotTable5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34" firstHeaderRow="0" firstDataRow="1" firstDataCol="1"/>
  <pivotFields count="2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1">
        <item x="6"/>
        <item x="0"/>
        <item x="7"/>
        <item x="27"/>
        <item x="20"/>
        <item x="29"/>
        <item x="2"/>
        <item x="26"/>
        <item x="23"/>
        <item x="10"/>
        <item x="21"/>
        <item x="25"/>
        <item x="15"/>
        <item x="18"/>
        <item x="22"/>
        <item x="12"/>
        <item x="13"/>
        <item x="28"/>
        <item x="19"/>
        <item x="9"/>
        <item x="14"/>
        <item x="17"/>
        <item x="8"/>
        <item x="11"/>
        <item x="1"/>
        <item x="24"/>
        <item x="5"/>
        <item x="4"/>
        <item x="16"/>
        <item x="3"/>
        <item t="default"/>
      </items>
    </pivotField>
    <pivotField dataField="1" showAll="0"/>
    <pivotField numFmtId="44" showAll="0"/>
    <pivotField showAll="0"/>
    <pivotField showAll="0"/>
    <pivotField numFmtId="170" showAll="0"/>
    <pivotField numFmtId="44" showAll="0"/>
    <pivotField dataField="1" numFmtId="44" showAll="0"/>
    <pivotField showAll="0"/>
    <pivotField showAll="0"/>
    <pivotField dataField="1" showAll="0">
      <items count="23">
        <item x="21"/>
        <item x="20"/>
        <item x="3"/>
        <item x="12"/>
        <item x="4"/>
        <item x="19"/>
        <item x="17"/>
        <item x="0"/>
        <item x="5"/>
        <item x="7"/>
        <item x="8"/>
        <item x="16"/>
        <item x="9"/>
        <item x="15"/>
        <item x="1"/>
        <item x="6"/>
        <item x="2"/>
        <item x="14"/>
        <item x="10"/>
        <item x="11"/>
        <item x="18"/>
        <item x="13"/>
        <item t="default"/>
      </items>
    </pivotField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10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Customer_Rating" fld="20" subtotal="average" baseField="10" baseItem="0"/>
    <dataField name="Sum of Units_Sold" fld="11" baseField="0" baseItem="0"/>
    <dataField name="Sum of Net_Sales" fld="17" baseField="10" baseItem="0" numFmtId="44"/>
  </dataFields>
  <formats count="1">
    <format dxfId="0">
      <pivotArea dataOnly="0" outline="0" fieldPosition="0">
        <references count="1">
          <reference field="4294967294" count="1">
            <x v="0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C677F-7EF9-438B-9C06-14A3DB25B93D}" name="PivotTable4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C8" firstHeaderRow="0" firstDataRow="1" firstDataCol="1"/>
  <pivotFields count="28">
    <pivotField showAll="0"/>
    <pivotField numFmtId="164"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numFmtId="44" showAll="0"/>
    <pivotField showAll="0"/>
    <pivotField showAll="0"/>
    <pivotField numFmtId="170"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7" baseField="0" baseItem="0" numFmtId="44"/>
    <dataField name="Sum of Units_Sold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8EA977-FDEB-4E34-8A49-DEDA2BDD0C53}" name="PivotTable3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4" firstHeaderRow="1" firstDataRow="1" firstDataCol="1"/>
  <pivotFields count="28">
    <pivotField showAll="0"/>
    <pivotField numFmtId="164" showAll="0"/>
    <pivotField axis="axisRow" showAll="0">
      <items count="9">
        <item x="6"/>
        <item x="5"/>
        <item x="3"/>
        <item x="4"/>
        <item x="7"/>
        <item x="0"/>
        <item x="2"/>
        <item x="1"/>
        <item t="default"/>
      </items>
    </pivotField>
    <pivotField axis="axisRow" showAll="0">
      <items count="19">
        <item x="12"/>
        <item x="7"/>
        <item x="3"/>
        <item x="4"/>
        <item x="2"/>
        <item x="15"/>
        <item x="6"/>
        <item x="5"/>
        <item x="8"/>
        <item x="13"/>
        <item x="0"/>
        <item x="11"/>
        <item x="10"/>
        <item x="16"/>
        <item x="14"/>
        <item x="9"/>
        <item x="1"/>
        <item x="17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numFmtId="44" showAll="0"/>
    <pivotField showAll="0"/>
    <pivotField showAll="0"/>
    <pivotField numFmtId="170" showAll="0"/>
    <pivotField numFmtId="44" showAll="0"/>
    <pivotField numFmtId="44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3">
    <field x="2"/>
    <field x="3"/>
    <field x="4"/>
  </rowFields>
  <rowItems count="81">
    <i>
      <x/>
    </i>
    <i r="1">
      <x v="5"/>
    </i>
    <i r="2">
      <x/>
    </i>
    <i r="2">
      <x v="1"/>
    </i>
    <i r="2">
      <x v="2"/>
    </i>
    <i r="1">
      <x v="8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9"/>
    </i>
    <i r="2">
      <x/>
    </i>
    <i r="2">
      <x v="1"/>
    </i>
    <i r="2">
      <x v="2"/>
    </i>
    <i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3"/>
    </i>
    <i r="1">
      <x v="6"/>
    </i>
    <i r="2">
      <x/>
    </i>
    <i r="2">
      <x v="1"/>
    </i>
    <i r="2">
      <x v="2"/>
    </i>
    <i r="1">
      <x v="7"/>
    </i>
    <i r="2">
      <x/>
    </i>
    <i r="2">
      <x v="1"/>
    </i>
    <i r="2">
      <x v="2"/>
    </i>
    <i>
      <x v="4"/>
    </i>
    <i r="1">
      <x v="12"/>
    </i>
    <i r="2">
      <x/>
    </i>
    <i r="2">
      <x v="1"/>
    </i>
    <i r="2">
      <x v="2"/>
    </i>
    <i r="1">
      <x v="13"/>
    </i>
    <i r="2">
      <x/>
    </i>
    <i r="2">
      <x v="1"/>
    </i>
    <i r="2">
      <x v="2"/>
    </i>
    <i r="1">
      <x v="14"/>
    </i>
    <i r="2">
      <x/>
    </i>
    <i r="2">
      <x v="1"/>
    </i>
    <i r="2">
      <x v="2"/>
    </i>
    <i>
      <x v="5"/>
    </i>
    <i r="1">
      <x v="10"/>
    </i>
    <i r="2">
      <x/>
    </i>
    <i r="2">
      <x v="1"/>
    </i>
    <i r="2">
      <x v="2"/>
    </i>
    <i r="1">
      <x v="11"/>
    </i>
    <i r="2">
      <x/>
    </i>
    <i r="2">
      <x v="1"/>
    </i>
    <i r="2">
      <x v="2"/>
    </i>
    <i>
      <x v="6"/>
    </i>
    <i r="1">
      <x v="4"/>
    </i>
    <i r="2">
      <x/>
    </i>
    <i r="2">
      <x v="1"/>
    </i>
    <i r="2">
      <x v="2"/>
    </i>
    <i r="1">
      <x v="17"/>
    </i>
    <i r="2">
      <x/>
    </i>
    <i r="2">
      <x v="1"/>
    </i>
    <i r="2">
      <x v="2"/>
    </i>
    <i>
      <x v="7"/>
    </i>
    <i r="1">
      <x v="15"/>
    </i>
    <i r="2">
      <x/>
    </i>
    <i r="2">
      <x v="1"/>
    </i>
    <i r="2">
      <x v="2"/>
    </i>
    <i r="1">
      <x v="16"/>
    </i>
    <i r="2">
      <x/>
    </i>
    <i r="2">
      <x v="1"/>
    </i>
    <i r="2">
      <x v="2"/>
    </i>
    <i t="grand">
      <x/>
    </i>
  </rowItems>
  <colItems count="1">
    <i/>
  </colItems>
  <dataFields count="1">
    <dataField name="Sum of Units_Sold" fld="1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44CEA-3945-4070-A450-9DBE75481C27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30" firstHeaderRow="0" firstDataRow="1" firstDataCol="1"/>
  <pivotFields count="28">
    <pivotField showAll="0"/>
    <pivotField numFmtId="164" showAll="0"/>
    <pivotField axis="axisRow" showAll="0">
      <items count="9">
        <item x="6"/>
        <item x="5"/>
        <item x="3"/>
        <item x="4"/>
        <item x="7"/>
        <item x="0"/>
        <item x="2"/>
        <item x="1"/>
        <item t="default"/>
      </items>
    </pivotField>
    <pivotField axis="axisRow" showAll="0">
      <items count="19">
        <item x="12"/>
        <item x="7"/>
        <item x="3"/>
        <item x="4"/>
        <item x="2"/>
        <item x="15"/>
        <item x="6"/>
        <item x="5"/>
        <item x="8"/>
        <item x="13"/>
        <item x="0"/>
        <item x="11"/>
        <item x="10"/>
        <item x="16"/>
        <item x="14"/>
        <item x="9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  <pivotField showAll="0"/>
    <pivotField showAll="0"/>
    <pivotField numFmtId="170"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</pivotFields>
  <rowFields count="2">
    <field x="2"/>
    <field x="3"/>
  </rowFields>
  <rowItems count="27">
    <i>
      <x/>
    </i>
    <i r="1">
      <x v="5"/>
    </i>
    <i r="1">
      <x v="8"/>
    </i>
    <i>
      <x v="1"/>
    </i>
    <i r="1">
      <x/>
    </i>
    <i r="1">
      <x v="1"/>
    </i>
    <i r="1">
      <x v="9"/>
    </i>
    <i>
      <x v="2"/>
    </i>
    <i r="1">
      <x v="2"/>
    </i>
    <i r="1">
      <x v="3"/>
    </i>
    <i>
      <x v="3"/>
    </i>
    <i r="1">
      <x v="6"/>
    </i>
    <i r="1">
      <x v="7"/>
    </i>
    <i>
      <x v="4"/>
    </i>
    <i r="1">
      <x v="12"/>
    </i>
    <i r="1">
      <x v="13"/>
    </i>
    <i r="1">
      <x v="14"/>
    </i>
    <i>
      <x v="5"/>
    </i>
    <i r="1">
      <x v="10"/>
    </i>
    <i r="1">
      <x v="11"/>
    </i>
    <i>
      <x v="6"/>
    </i>
    <i r="1">
      <x v="4"/>
    </i>
    <i r="1">
      <x v="17"/>
    </i>
    <i>
      <x v="7"/>
    </i>
    <i r="1">
      <x v="15"/>
    </i>
    <i r="1"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t_Sales" fld="17" baseField="0" baseItem="0" numFmtId="44"/>
    <dataField name="Sum of Units_Sold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F53F8-433D-428F-863C-900119050C69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C20" firstHeaderRow="0" firstDataRow="1" firstDataCol="1"/>
  <pivotFields count="28"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4" showAll="0"/>
    <pivotField showAll="0"/>
    <pivotField showAll="0"/>
    <pivotField numFmtId="170" showAll="0"/>
    <pivotField numFmtId="44" showAll="0"/>
    <pivotField dataField="1" numFmtId="44" showAll="0"/>
    <pivotField showAll="0"/>
    <pivotField showAll="0"/>
    <pivotField showAll="0"/>
    <pivotField showAll="0"/>
    <pivotField showAll="0"/>
    <pivotField showAll="0"/>
    <pivotField numFmtId="168" showAll="0"/>
    <pivotField axis="axisRow" showAll="0" nonAutoSortDefault="1">
      <items count="13">
        <item sd="0" x="7"/>
        <item sd="0" x="5"/>
        <item sd="0" x="0"/>
        <item sd="0" x="4"/>
        <item sd="0" x="11"/>
        <item sd="0" x="8"/>
        <item sd="0" x="9"/>
        <item sd="0" x="10"/>
        <item sd="0" x="6"/>
        <item sd="0" x="2"/>
        <item sd="0" x="1"/>
        <item sd="0" x="3"/>
        <item t="default"/>
      </items>
    </pivotField>
    <pivotField axis="axisRow" showAll="0" sortType="ascending">
      <items count="13">
        <item sd="0" x="11"/>
        <item sd="0" x="4"/>
        <item sd="0" x="10"/>
        <item sd="0" x="7"/>
        <item sd="0" x="6"/>
        <item sd="0" x="9"/>
        <item sd="0" x="8"/>
        <item sd="0" x="5"/>
        <item sd="0" x="3"/>
        <item sd="0" x="1"/>
        <item sd="0" x="2"/>
        <item sd="0" x="0"/>
        <item t="default" sd="0"/>
      </items>
    </pivotField>
    <pivotField axis="axisRow" showAll="0">
      <items count="5">
        <item x="2"/>
        <item x="3"/>
        <item x="1"/>
        <item x="0"/>
        <item t="default"/>
      </items>
    </pivotField>
  </pivotFields>
  <rowFields count="3">
    <field x="27"/>
    <field x="26"/>
    <field x="25"/>
  </rowFields>
  <rowItems count="17">
    <i>
      <x/>
    </i>
    <i r="1">
      <x/>
    </i>
    <i r="1">
      <x v="1"/>
    </i>
    <i r="1">
      <x v="2"/>
    </i>
    <i>
      <x v="1"/>
    </i>
    <i r="1">
      <x v="3"/>
    </i>
    <i r="1">
      <x v="4"/>
    </i>
    <i r="1">
      <x v="5"/>
    </i>
    <i>
      <x v="2"/>
    </i>
    <i r="1">
      <x v="6"/>
    </i>
    <i r="1">
      <x v="7"/>
    </i>
    <i r="1">
      <x v="8"/>
    </i>
    <i>
      <x v="3"/>
    </i>
    <i r="1">
      <x v="9"/>
    </i>
    <i r="1">
      <x v="10"/>
    </i>
    <i r="1"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_Sold" fld="11" baseField="0" baseItem="0"/>
    <dataField name="Sum of Net_Sales" fld="17" baseField="0" baseItem="0" numFmtId="44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D97BF-8971-4B02-913A-B683F0002452}" name="EV_Sales" displayName="EV_Sales" ref="A1:AB701" totalsRowShown="0" headerRowDxfId="10" headerRowBorderDxfId="14" tableBorderDxfId="15" headerRowCellStyle="Heading 4">
  <autoFilter ref="A1:AB701" xr:uid="{3ACD97BF-8971-4B02-913A-B683F0002452}"/>
  <tableColumns count="28">
    <tableColumn id="1" xr3:uid="{16B4148A-C9F2-488C-8477-08F49FFDEA38}" name="Order_ID"/>
    <tableColumn id="2" xr3:uid="{9B95D6C4-497F-43A6-8378-AD7964FFF077}" name="Order_Date" dataDxfId="13"/>
    <tableColumn id="3" xr3:uid="{1CB7662D-33F5-4BB8-9744-E85E919BEF33}" name="Brand" dataDxfId="9"/>
    <tableColumn id="4" xr3:uid="{6162AD81-2C27-4937-B35E-EB258EE0E86A}" name="Model"/>
    <tableColumn id="5" xr3:uid="{6032231E-EFCC-41AE-83E4-D6635752C4E3}" name="Segment"/>
    <tableColumn id="6" xr3:uid="{86F2EE0F-01CB-4245-AAA8-C8E71C2E4CA3}" name="City"/>
    <tableColumn id="7" xr3:uid="{367B1EF4-B86E-4D78-A676-B98C792AC162}" name="Sales_Channel"/>
    <tableColumn id="8" xr3:uid="{48FA8941-1A99-415C-8C59-A7D9DD2A7E29}" name="Payment_Method"/>
    <tableColumn id="30" xr3:uid="{8A5F00EB-D71B-4074-A424-FA316C8DAA4B}" name="Payment M" dataDxfId="7">
      <calculatedColumnFormula>IF('Cleaned Data'!H2="Emi","EMI",'Cleaned Data'!H2)</calculatedColumnFormula>
    </tableColumn>
    <tableColumn id="9" xr3:uid="{90E886AB-D780-43DD-B9B0-011704ADB84C}" name="Color"/>
    <tableColumn id="10" xr3:uid="{212590AD-A43D-4C47-8ABB-4282AC5C1882}" name="Salesperson_ID"/>
    <tableColumn id="11" xr3:uid="{B2D7E0B6-F8AD-4756-A3CD-3B596CAD0211}" name="Units_Sold"/>
    <tableColumn id="12" xr3:uid="{B0979268-53A9-443A-8D11-4DEA07F25FA1}" name="Unit_Price" dataDxfId="12" dataCellStyle="Currency"/>
    <tableColumn id="13" xr3:uid="{E5F71C06-4531-457A-B6CE-40E19E582595}" name="Discount_Pct" dataDxfId="11" dataCellStyle="Percent"/>
    <tableColumn id="29" xr3:uid="{2D2419BC-CCD2-4C68-A9CD-9E536A0F1B2C}" name="Cleaned Dis%" dataDxfId="8" dataCellStyle="Percent">
      <calculatedColumnFormula>IF(TRIM(N2&amp;"")="","missing",N2)</calculatedColumnFormula>
    </tableColumn>
    <tableColumn id="14" xr3:uid="{E0E31741-0FA7-4CB4-8AB8-5A3E0632CAE1}" name="Gross_Sales" dataDxfId="4" dataCellStyle="Currency"/>
    <tableColumn id="15" xr3:uid="{E3D142DC-B63F-404F-93E3-3C21BEE952EA}" name="Discount_Amount" dataCellStyle="Currency"/>
    <tableColumn id="16" xr3:uid="{6B8F19F5-5AD4-4E76-92EF-F786CE94037D}" name="Net_Sales" dataCellStyle="Currency"/>
    <tableColumn id="17" xr3:uid="{5F6363C4-8C5C-4463-836F-B7BE5A68EAC7}" name="Battery_kWh"/>
    <tableColumn id="18" xr3:uid="{AE041631-D700-44EF-913B-50A3B36A46B4}" name="Range_km"/>
    <tableColumn id="19" xr3:uid="{A1B3F978-3571-4B32-935E-8356C2C7F07A}" name="Customer_Rating"/>
    <tableColumn id="20" xr3:uid="{0847D49A-3A0C-4DE7-989F-D714A4C3F59C}" name="Delivery_Days"/>
    <tableColumn id="31" xr3:uid="{AF732489-F0A2-4A57-B751-B8135EA57B4C}" name="Cleaned Delivery Days" dataDxfId="6">
      <calculatedColumnFormula>IF('Cleaned Data'!V2&lt;0,"Review",'Cleaned Data'!V2)</calculatedColumnFormula>
    </tableColumn>
    <tableColumn id="21" xr3:uid="{3CF42136-763D-42C7-8589-B749E94DF707}" name="Warranty_Years"/>
    <tableColumn id="32" xr3:uid="{CA06628A-DE23-4A10-B42F-531B92FF0FB7}" name="ASP" dataDxfId="5">
      <calculatedColumnFormula>IFERROR('Cleaned Data'!R2/'Cleaned Data'!L2,0)</calculatedColumnFormula>
    </tableColumn>
    <tableColumn id="33" xr3:uid="{45BE66CE-5C86-4C70-B3F1-EF3E66987856}" name="Month-Year" dataDxfId="3">
      <calculatedColumnFormula>TEXT(EV_Sales[[#This Row],[Order_Date]],"mmm-yyyy")</calculatedColumnFormula>
    </tableColumn>
    <tableColumn id="34" xr3:uid="{B85C20D7-8C00-4D42-BDBC-1953E35578AA}" name="Month" dataDxfId="2">
      <calculatedColumnFormula>MONTH(EV_Sales[[#This Row],[Order_Date]])</calculatedColumnFormula>
    </tableColumn>
    <tableColumn id="35" xr3:uid="{F4929FF1-9311-4FB8-A3E9-87532E5E5E70}" name="Quarter" dataDxfId="1">
      <calculatedColumnFormula>"Q"&amp;ROUNDUP(MONTH(EV_Sales[[#This Row],[Order_Date]])/3,0)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21BCAFC-AC61-4728-BF81-67418AD5D2C1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hy8FAgKDx9WCM8EjKXuB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179D053D-AF84-4C5B-8B09-01D45E2CE0A6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6"/>
  <sheetViews>
    <sheetView workbookViewId="0">
      <selection sqref="A1:XFD1048576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s="2">
        <v>46006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</v>
      </c>
      <c r="L2">
        <v>125898</v>
      </c>
      <c r="M2">
        <v>0.08</v>
      </c>
      <c r="N2">
        <v>125898</v>
      </c>
      <c r="O2">
        <v>10071.84</v>
      </c>
      <c r="P2">
        <v>115826.16</v>
      </c>
      <c r="Q2">
        <v>3</v>
      </c>
      <c r="R2">
        <v>162</v>
      </c>
      <c r="S2">
        <v>3.7</v>
      </c>
      <c r="T2">
        <v>6</v>
      </c>
      <c r="U2">
        <v>5</v>
      </c>
    </row>
    <row r="3" spans="1:21" x14ac:dyDescent="0.3">
      <c r="A3" t="s">
        <v>30</v>
      </c>
      <c r="B3" s="2">
        <v>45934</v>
      </c>
      <c r="C3" t="s">
        <v>31</v>
      </c>
      <c r="D3" t="s">
        <v>32</v>
      </c>
      <c r="E3" t="s">
        <v>24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2</v>
      </c>
      <c r="L3">
        <v>112819</v>
      </c>
      <c r="M3">
        <v>2.1000000000000001E-2</v>
      </c>
      <c r="N3">
        <v>225638</v>
      </c>
      <c r="O3">
        <v>4738.3999999999996</v>
      </c>
      <c r="P3">
        <v>220899.6</v>
      </c>
      <c r="Q3">
        <v>2</v>
      </c>
      <c r="R3">
        <v>116</v>
      </c>
      <c r="S3">
        <v>4.4000000000000004</v>
      </c>
      <c r="T3">
        <v>13</v>
      </c>
      <c r="U3">
        <v>5</v>
      </c>
    </row>
    <row r="4" spans="1:21" x14ac:dyDescent="0.3">
      <c r="A4" t="s">
        <v>38</v>
      </c>
      <c r="B4" s="2">
        <v>45964</v>
      </c>
      <c r="C4" t="s">
        <v>39</v>
      </c>
      <c r="D4" t="s">
        <v>40</v>
      </c>
      <c r="E4" t="s">
        <v>24</v>
      </c>
      <c r="F4" t="s">
        <v>41</v>
      </c>
      <c r="G4" t="s">
        <v>34</v>
      </c>
      <c r="H4" t="s">
        <v>35</v>
      </c>
      <c r="I4" t="s">
        <v>36</v>
      </c>
      <c r="J4" t="s">
        <v>42</v>
      </c>
      <c r="K4">
        <v>2</v>
      </c>
      <c r="L4">
        <v>125383</v>
      </c>
      <c r="M4">
        <v>2.1000000000000001E-2</v>
      </c>
      <c r="N4">
        <v>250766</v>
      </c>
      <c r="O4">
        <v>5266.09</v>
      </c>
      <c r="P4">
        <v>245499.91</v>
      </c>
      <c r="Q4">
        <v>5</v>
      </c>
      <c r="R4">
        <v>175</v>
      </c>
      <c r="S4">
        <v>4.5999999999999996</v>
      </c>
      <c r="T4">
        <v>11</v>
      </c>
      <c r="U4">
        <v>2</v>
      </c>
    </row>
    <row r="5" spans="1:21" x14ac:dyDescent="0.3">
      <c r="A5" t="s">
        <v>43</v>
      </c>
      <c r="B5" s="2">
        <v>45921</v>
      </c>
      <c r="C5" t="s">
        <v>44</v>
      </c>
      <c r="D5" t="s">
        <v>45</v>
      </c>
      <c r="E5" t="s">
        <v>46</v>
      </c>
      <c r="F5" t="s">
        <v>47</v>
      </c>
      <c r="G5" t="s">
        <v>26</v>
      </c>
      <c r="H5" t="s">
        <v>27</v>
      </c>
      <c r="I5" t="s">
        <v>48</v>
      </c>
      <c r="J5" t="s">
        <v>49</v>
      </c>
      <c r="K5">
        <v>1</v>
      </c>
      <c r="L5">
        <v>160095</v>
      </c>
      <c r="M5">
        <v>4.5999999999999999E-2</v>
      </c>
      <c r="N5">
        <v>160095</v>
      </c>
      <c r="O5">
        <v>7364.37</v>
      </c>
      <c r="P5">
        <v>152730.63</v>
      </c>
      <c r="Q5">
        <v>4</v>
      </c>
      <c r="R5">
        <v>184</v>
      </c>
      <c r="S5">
        <v>3.2</v>
      </c>
      <c r="T5">
        <v>11</v>
      </c>
      <c r="U5">
        <v>3</v>
      </c>
    </row>
    <row r="6" spans="1:21" x14ac:dyDescent="0.3">
      <c r="A6" t="s">
        <v>50</v>
      </c>
      <c r="B6" s="2">
        <v>46008</v>
      </c>
      <c r="C6" t="s">
        <v>44</v>
      </c>
      <c r="D6" t="s">
        <v>51</v>
      </c>
      <c r="E6" t="s">
        <v>46</v>
      </c>
      <c r="F6" t="s">
        <v>52</v>
      </c>
      <c r="G6" t="s">
        <v>26</v>
      </c>
      <c r="H6" t="s">
        <v>53</v>
      </c>
      <c r="I6" t="s">
        <v>36</v>
      </c>
      <c r="J6" t="s">
        <v>54</v>
      </c>
      <c r="K6">
        <v>4</v>
      </c>
      <c r="L6">
        <v>114286</v>
      </c>
      <c r="M6">
        <v>0.04</v>
      </c>
      <c r="N6">
        <v>457144</v>
      </c>
      <c r="O6">
        <v>18285.759999999998</v>
      </c>
      <c r="P6">
        <v>438858.23999999999</v>
      </c>
      <c r="Q6">
        <v>2</v>
      </c>
      <c r="R6">
        <v>133</v>
      </c>
      <c r="S6">
        <v>3.4</v>
      </c>
      <c r="T6">
        <v>3</v>
      </c>
      <c r="U6">
        <v>5</v>
      </c>
    </row>
    <row r="7" spans="1:21" x14ac:dyDescent="0.3">
      <c r="A7" t="s">
        <v>55</v>
      </c>
      <c r="B7" s="2">
        <v>45698</v>
      </c>
      <c r="C7" t="s">
        <v>44</v>
      </c>
      <c r="D7" t="s">
        <v>45</v>
      </c>
      <c r="E7" t="s">
        <v>46</v>
      </c>
      <c r="F7" t="s">
        <v>52</v>
      </c>
      <c r="G7" t="s">
        <v>56</v>
      </c>
      <c r="H7" t="s">
        <v>35</v>
      </c>
      <c r="I7" t="s">
        <v>57</v>
      </c>
      <c r="J7" t="s">
        <v>58</v>
      </c>
      <c r="K7">
        <v>1</v>
      </c>
      <c r="L7">
        <v>144470</v>
      </c>
      <c r="M7">
        <v>2.1999999999999999E-2</v>
      </c>
      <c r="N7">
        <v>144470</v>
      </c>
      <c r="O7">
        <v>3178.34</v>
      </c>
      <c r="P7">
        <v>141291.66</v>
      </c>
      <c r="Q7">
        <v>3</v>
      </c>
      <c r="R7">
        <v>145</v>
      </c>
      <c r="S7">
        <v>3.7</v>
      </c>
      <c r="T7">
        <v>12</v>
      </c>
      <c r="U7">
        <v>5</v>
      </c>
    </row>
    <row r="8" spans="1:21" x14ac:dyDescent="0.3">
      <c r="A8" t="s">
        <v>59</v>
      </c>
      <c r="B8" s="2">
        <v>45888</v>
      </c>
      <c r="C8" t="s">
        <v>60</v>
      </c>
      <c r="D8" t="s">
        <v>61</v>
      </c>
      <c r="E8" t="s">
        <v>62</v>
      </c>
      <c r="F8" t="s">
        <v>52</v>
      </c>
      <c r="G8" t="s">
        <v>26</v>
      </c>
      <c r="H8" t="s">
        <v>35</v>
      </c>
      <c r="I8" t="s">
        <v>63</v>
      </c>
      <c r="J8" t="s">
        <v>64</v>
      </c>
      <c r="K8">
        <v>2</v>
      </c>
      <c r="L8">
        <v>122830</v>
      </c>
      <c r="M8">
        <v>0.105</v>
      </c>
      <c r="N8">
        <v>245660</v>
      </c>
      <c r="O8">
        <v>25794.3</v>
      </c>
      <c r="P8">
        <v>219865.7</v>
      </c>
      <c r="Q8">
        <v>3</v>
      </c>
      <c r="R8">
        <v>161</v>
      </c>
      <c r="S8">
        <v>3.8</v>
      </c>
      <c r="T8">
        <v>9</v>
      </c>
      <c r="U8">
        <v>2</v>
      </c>
    </row>
    <row r="9" spans="1:21" x14ac:dyDescent="0.3">
      <c r="A9" t="s">
        <v>65</v>
      </c>
      <c r="B9" s="2">
        <v>45788</v>
      </c>
      <c r="C9" t="s">
        <v>39</v>
      </c>
      <c r="D9" t="s">
        <v>40</v>
      </c>
      <c r="E9" t="s">
        <v>62</v>
      </c>
      <c r="F9" t="s">
        <v>66</v>
      </c>
      <c r="G9" t="s">
        <v>67</v>
      </c>
      <c r="H9" t="s">
        <v>53</v>
      </c>
      <c r="I9" t="s">
        <v>36</v>
      </c>
      <c r="J9" t="s">
        <v>49</v>
      </c>
      <c r="K9">
        <v>3</v>
      </c>
      <c r="L9">
        <v>127322</v>
      </c>
      <c r="M9">
        <v>9.7000000000000003E-2</v>
      </c>
      <c r="N9">
        <v>381966</v>
      </c>
      <c r="O9">
        <v>37050.699999999997</v>
      </c>
      <c r="P9">
        <v>344915.3</v>
      </c>
      <c r="Q9">
        <v>3</v>
      </c>
      <c r="R9">
        <v>132</v>
      </c>
      <c r="S9">
        <v>4.5</v>
      </c>
      <c r="T9">
        <v>11</v>
      </c>
      <c r="U9">
        <v>2</v>
      </c>
    </row>
    <row r="10" spans="1:21" x14ac:dyDescent="0.3">
      <c r="A10" t="s">
        <v>68</v>
      </c>
      <c r="B10" s="2">
        <v>45888</v>
      </c>
      <c r="C10" t="s">
        <v>60</v>
      </c>
      <c r="D10" t="s">
        <v>69</v>
      </c>
      <c r="E10" t="s">
        <v>46</v>
      </c>
      <c r="F10" t="s">
        <v>70</v>
      </c>
      <c r="G10" t="s">
        <v>67</v>
      </c>
      <c r="H10" t="s">
        <v>27</v>
      </c>
      <c r="I10" t="s">
        <v>36</v>
      </c>
      <c r="J10" t="s">
        <v>54</v>
      </c>
      <c r="K10">
        <v>1</v>
      </c>
      <c r="L10">
        <v>109806</v>
      </c>
      <c r="M10">
        <v>4.2999999999999997E-2</v>
      </c>
      <c r="N10">
        <v>109806</v>
      </c>
      <c r="O10">
        <v>4721.66</v>
      </c>
      <c r="P10">
        <v>105084.34</v>
      </c>
      <c r="Q10">
        <v>2</v>
      </c>
      <c r="R10">
        <v>136</v>
      </c>
      <c r="S10">
        <v>3.9</v>
      </c>
      <c r="T10">
        <v>3</v>
      </c>
      <c r="U10">
        <v>3</v>
      </c>
    </row>
    <row r="11" spans="1:21" x14ac:dyDescent="0.3">
      <c r="A11" t="s">
        <v>71</v>
      </c>
      <c r="B11" s="2">
        <v>45997</v>
      </c>
      <c r="C11" t="s">
        <v>44</v>
      </c>
      <c r="D11" t="s">
        <v>51</v>
      </c>
      <c r="E11" t="s">
        <v>24</v>
      </c>
      <c r="F11" t="s">
        <v>70</v>
      </c>
      <c r="G11" t="s">
        <v>34</v>
      </c>
      <c r="H11" t="s">
        <v>53</v>
      </c>
      <c r="I11" t="s">
        <v>57</v>
      </c>
      <c r="J11" t="s">
        <v>72</v>
      </c>
      <c r="K11">
        <v>4</v>
      </c>
      <c r="L11">
        <v>121860</v>
      </c>
      <c r="M11">
        <v>0.10100000000000001</v>
      </c>
      <c r="N11">
        <v>487440</v>
      </c>
      <c r="O11">
        <v>49231.44</v>
      </c>
      <c r="P11">
        <v>438208.56</v>
      </c>
      <c r="Q11">
        <v>5</v>
      </c>
      <c r="R11">
        <v>191</v>
      </c>
      <c r="S11">
        <v>4</v>
      </c>
      <c r="T11">
        <v>10</v>
      </c>
      <c r="U11">
        <v>5</v>
      </c>
    </row>
    <row r="12" spans="1:21" x14ac:dyDescent="0.3">
      <c r="A12" t="s">
        <v>73</v>
      </c>
      <c r="B12" s="2">
        <v>45794</v>
      </c>
      <c r="C12" t="s">
        <v>22</v>
      </c>
      <c r="D12" t="s">
        <v>23</v>
      </c>
      <c r="E12" t="s">
        <v>46</v>
      </c>
      <c r="F12" t="s">
        <v>74</v>
      </c>
      <c r="G12" t="s">
        <v>26</v>
      </c>
      <c r="H12" t="s">
        <v>27</v>
      </c>
      <c r="I12" t="s">
        <v>48</v>
      </c>
      <c r="J12" t="s">
        <v>72</v>
      </c>
      <c r="K12">
        <v>1</v>
      </c>
      <c r="L12">
        <v>124432</v>
      </c>
      <c r="M12">
        <v>4.7E-2</v>
      </c>
      <c r="N12">
        <v>124432</v>
      </c>
      <c r="O12">
        <v>5848.3</v>
      </c>
      <c r="P12">
        <v>118583.7</v>
      </c>
      <c r="Q12">
        <v>3</v>
      </c>
      <c r="R12">
        <v>158</v>
      </c>
      <c r="S12">
        <v>3.8</v>
      </c>
      <c r="T12">
        <v>9</v>
      </c>
      <c r="U12">
        <v>2</v>
      </c>
    </row>
    <row r="13" spans="1:21" x14ac:dyDescent="0.3">
      <c r="A13" t="s">
        <v>75</v>
      </c>
      <c r="B13" s="2">
        <v>45770</v>
      </c>
      <c r="C13" t="s">
        <v>76</v>
      </c>
      <c r="D13" t="s">
        <v>77</v>
      </c>
      <c r="E13" t="s">
        <v>24</v>
      </c>
      <c r="F13" t="s">
        <v>47</v>
      </c>
      <c r="G13" t="s">
        <v>67</v>
      </c>
      <c r="H13" t="s">
        <v>27</v>
      </c>
      <c r="I13" t="s">
        <v>28</v>
      </c>
      <c r="J13" t="s">
        <v>78</v>
      </c>
      <c r="K13">
        <v>5</v>
      </c>
      <c r="L13">
        <v>141715</v>
      </c>
      <c r="M13">
        <v>0.11799999999999999</v>
      </c>
      <c r="N13">
        <v>708575</v>
      </c>
      <c r="O13">
        <v>83611.850000000006</v>
      </c>
      <c r="P13">
        <v>624963.15</v>
      </c>
      <c r="Q13">
        <v>3</v>
      </c>
      <c r="R13">
        <v>163</v>
      </c>
      <c r="S13">
        <v>4</v>
      </c>
      <c r="T13">
        <v>2</v>
      </c>
      <c r="U13">
        <v>5</v>
      </c>
    </row>
    <row r="14" spans="1:21" x14ac:dyDescent="0.3">
      <c r="A14" t="s">
        <v>79</v>
      </c>
      <c r="B14" s="2">
        <v>45860</v>
      </c>
      <c r="C14" t="s">
        <v>44</v>
      </c>
      <c r="D14" t="s">
        <v>45</v>
      </c>
      <c r="E14" t="s">
        <v>62</v>
      </c>
      <c r="F14" t="s">
        <v>80</v>
      </c>
      <c r="G14" t="s">
        <v>34</v>
      </c>
      <c r="H14" t="s">
        <v>53</v>
      </c>
      <c r="I14" t="s">
        <v>63</v>
      </c>
      <c r="J14" t="s">
        <v>81</v>
      </c>
      <c r="K14">
        <v>1</v>
      </c>
      <c r="L14">
        <v>146085</v>
      </c>
      <c r="M14">
        <v>0.1</v>
      </c>
      <c r="N14">
        <v>146085</v>
      </c>
      <c r="O14">
        <v>14608.5</v>
      </c>
      <c r="P14">
        <v>131476.5</v>
      </c>
      <c r="Q14">
        <v>3</v>
      </c>
      <c r="R14">
        <v>163</v>
      </c>
      <c r="S14">
        <v>4.2</v>
      </c>
      <c r="T14">
        <v>2</v>
      </c>
      <c r="U14">
        <v>2</v>
      </c>
    </row>
    <row r="15" spans="1:21" x14ac:dyDescent="0.3">
      <c r="A15" t="s">
        <v>82</v>
      </c>
      <c r="B15" s="2">
        <v>46003</v>
      </c>
      <c r="C15" t="s">
        <v>44</v>
      </c>
      <c r="D15" t="s">
        <v>45</v>
      </c>
      <c r="E15" t="s">
        <v>62</v>
      </c>
      <c r="F15" t="s">
        <v>70</v>
      </c>
      <c r="G15" t="s">
        <v>67</v>
      </c>
      <c r="H15" t="s">
        <v>27</v>
      </c>
      <c r="I15" t="s">
        <v>28</v>
      </c>
      <c r="J15" t="s">
        <v>83</v>
      </c>
      <c r="K15">
        <v>2</v>
      </c>
      <c r="L15">
        <v>145756</v>
      </c>
      <c r="M15">
        <v>8.5000000000000006E-2</v>
      </c>
      <c r="N15">
        <v>291512</v>
      </c>
      <c r="O15">
        <v>24778.52</v>
      </c>
      <c r="P15">
        <v>266733.48</v>
      </c>
      <c r="Q15">
        <v>3</v>
      </c>
      <c r="R15">
        <v>152</v>
      </c>
      <c r="S15">
        <v>4.8</v>
      </c>
      <c r="T15">
        <v>3</v>
      </c>
      <c r="U15">
        <v>2</v>
      </c>
    </row>
    <row r="16" spans="1:21" x14ac:dyDescent="0.3">
      <c r="A16" t="s">
        <v>84</v>
      </c>
      <c r="B16" s="2">
        <v>45909</v>
      </c>
      <c r="C16" t="s">
        <v>39</v>
      </c>
      <c r="D16" t="s">
        <v>40</v>
      </c>
      <c r="E16" t="s">
        <v>46</v>
      </c>
      <c r="F16" t="s">
        <v>33</v>
      </c>
      <c r="G16" t="s">
        <v>56</v>
      </c>
      <c r="H16" t="s">
        <v>35</v>
      </c>
      <c r="I16" t="s">
        <v>36</v>
      </c>
      <c r="J16" t="s">
        <v>85</v>
      </c>
      <c r="K16">
        <v>1</v>
      </c>
      <c r="L16">
        <v>134687</v>
      </c>
      <c r="M16">
        <v>7.1999999999999995E-2</v>
      </c>
      <c r="N16">
        <v>134687</v>
      </c>
      <c r="O16">
        <v>9697.4599999999991</v>
      </c>
      <c r="P16">
        <v>124989.54</v>
      </c>
      <c r="Q16">
        <v>3</v>
      </c>
      <c r="R16">
        <v>176</v>
      </c>
      <c r="S16">
        <v>4.2</v>
      </c>
      <c r="T16">
        <v>8</v>
      </c>
      <c r="U16">
        <v>2</v>
      </c>
    </row>
    <row r="17" spans="1:21" x14ac:dyDescent="0.3">
      <c r="A17" t="s">
        <v>86</v>
      </c>
      <c r="B17" s="2">
        <v>45818</v>
      </c>
      <c r="C17" t="s">
        <v>87</v>
      </c>
      <c r="D17" t="s">
        <v>88</v>
      </c>
      <c r="E17" t="s">
        <v>24</v>
      </c>
      <c r="F17" t="s">
        <v>47</v>
      </c>
      <c r="G17" t="s">
        <v>26</v>
      </c>
      <c r="H17" t="s">
        <v>27</v>
      </c>
      <c r="I17" t="s">
        <v>63</v>
      </c>
      <c r="J17" t="s">
        <v>89</v>
      </c>
      <c r="K17">
        <v>2</v>
      </c>
      <c r="L17">
        <v>142766</v>
      </c>
      <c r="M17">
        <v>3.5999999999999997E-2</v>
      </c>
      <c r="N17">
        <v>285532</v>
      </c>
      <c r="O17">
        <v>10279.15</v>
      </c>
      <c r="P17">
        <v>275252.84999999998</v>
      </c>
      <c r="Q17">
        <v>5</v>
      </c>
      <c r="R17">
        <v>203</v>
      </c>
      <c r="S17">
        <v>3.8</v>
      </c>
      <c r="T17">
        <v>14</v>
      </c>
      <c r="U17">
        <v>3</v>
      </c>
    </row>
    <row r="18" spans="1:21" x14ac:dyDescent="0.3">
      <c r="A18" t="s">
        <v>90</v>
      </c>
      <c r="B18" s="2">
        <v>45818</v>
      </c>
      <c r="C18" t="s">
        <v>60</v>
      </c>
      <c r="D18" t="s">
        <v>69</v>
      </c>
      <c r="E18" t="s">
        <v>62</v>
      </c>
      <c r="F18" t="s">
        <v>80</v>
      </c>
      <c r="G18" t="s">
        <v>56</v>
      </c>
      <c r="H18" t="s">
        <v>27</v>
      </c>
      <c r="I18" t="s">
        <v>28</v>
      </c>
      <c r="J18" t="s">
        <v>49</v>
      </c>
      <c r="K18">
        <v>1</v>
      </c>
      <c r="L18">
        <v>105960</v>
      </c>
      <c r="M18">
        <v>3.7999999999999999E-2</v>
      </c>
      <c r="N18">
        <v>105960</v>
      </c>
      <c r="O18">
        <v>4026.48</v>
      </c>
      <c r="P18">
        <v>101933.52</v>
      </c>
      <c r="Q18">
        <v>3</v>
      </c>
      <c r="R18">
        <v>174</v>
      </c>
      <c r="S18">
        <v>4.5</v>
      </c>
      <c r="T18">
        <v>2</v>
      </c>
      <c r="U18">
        <v>5</v>
      </c>
    </row>
    <row r="19" spans="1:21" x14ac:dyDescent="0.3">
      <c r="A19" t="s">
        <v>91</v>
      </c>
      <c r="B19" s="2">
        <v>46022</v>
      </c>
      <c r="C19" t="s">
        <v>87</v>
      </c>
      <c r="D19" t="s">
        <v>88</v>
      </c>
      <c r="E19" t="s">
        <v>46</v>
      </c>
      <c r="F19" t="s">
        <v>33</v>
      </c>
      <c r="G19" t="s">
        <v>34</v>
      </c>
      <c r="H19" t="s">
        <v>35</v>
      </c>
      <c r="I19" t="s">
        <v>57</v>
      </c>
      <c r="J19" t="s">
        <v>92</v>
      </c>
      <c r="K19">
        <v>1</v>
      </c>
      <c r="L19">
        <v>160028</v>
      </c>
      <c r="M19">
        <v>6.3E-2</v>
      </c>
      <c r="N19">
        <v>160028</v>
      </c>
      <c r="O19">
        <v>10081.76</v>
      </c>
      <c r="P19">
        <v>149946.23999999999</v>
      </c>
      <c r="Q19">
        <v>3</v>
      </c>
      <c r="R19">
        <v>180</v>
      </c>
      <c r="S19">
        <v>4.5999999999999996</v>
      </c>
      <c r="T19">
        <v>2</v>
      </c>
      <c r="U19">
        <v>2</v>
      </c>
    </row>
    <row r="20" spans="1:21" x14ac:dyDescent="0.3">
      <c r="A20" t="s">
        <v>93</v>
      </c>
      <c r="B20" s="2">
        <v>45815</v>
      </c>
      <c r="C20" t="s">
        <v>44</v>
      </c>
      <c r="D20" t="s">
        <v>51</v>
      </c>
      <c r="E20" t="s">
        <v>62</v>
      </c>
      <c r="F20" t="s">
        <v>74</v>
      </c>
      <c r="G20" t="s">
        <v>34</v>
      </c>
      <c r="H20" t="s">
        <v>35</v>
      </c>
      <c r="I20" t="s">
        <v>94</v>
      </c>
      <c r="J20" t="s">
        <v>95</v>
      </c>
      <c r="K20">
        <v>5</v>
      </c>
      <c r="L20">
        <v>128169</v>
      </c>
      <c r="M20">
        <v>5.7000000000000002E-2</v>
      </c>
      <c r="N20">
        <v>640845</v>
      </c>
      <c r="O20">
        <v>36528.17</v>
      </c>
      <c r="P20">
        <v>604316.82999999996</v>
      </c>
      <c r="Q20">
        <v>2</v>
      </c>
      <c r="R20">
        <v>144</v>
      </c>
      <c r="S20">
        <v>4.4000000000000004</v>
      </c>
      <c r="T20">
        <v>6</v>
      </c>
      <c r="U20">
        <v>5</v>
      </c>
    </row>
    <row r="21" spans="1:21" x14ac:dyDescent="0.3">
      <c r="A21" t="s">
        <v>96</v>
      </c>
      <c r="B21" s="2">
        <v>45818</v>
      </c>
      <c r="C21" t="s">
        <v>31</v>
      </c>
      <c r="D21" t="s">
        <v>97</v>
      </c>
      <c r="E21" t="s">
        <v>62</v>
      </c>
      <c r="F21" t="s">
        <v>80</v>
      </c>
      <c r="G21" t="s">
        <v>56</v>
      </c>
      <c r="H21" t="s">
        <v>27</v>
      </c>
      <c r="I21" t="s">
        <v>63</v>
      </c>
      <c r="J21" t="s">
        <v>83</v>
      </c>
      <c r="K21">
        <v>1</v>
      </c>
      <c r="L21">
        <v>125284</v>
      </c>
      <c r="M21">
        <v>7.5999999999999998E-2</v>
      </c>
      <c r="N21">
        <v>125284</v>
      </c>
      <c r="O21">
        <v>9521.58</v>
      </c>
      <c r="P21">
        <v>115762.42</v>
      </c>
      <c r="Q21">
        <v>5</v>
      </c>
      <c r="R21">
        <v>207</v>
      </c>
      <c r="S21">
        <v>4.9000000000000004</v>
      </c>
      <c r="T21">
        <v>9</v>
      </c>
      <c r="U21">
        <v>3</v>
      </c>
    </row>
    <row r="22" spans="1:21" x14ac:dyDescent="0.3">
      <c r="A22" t="s">
        <v>98</v>
      </c>
      <c r="B22" s="2">
        <v>45930</v>
      </c>
      <c r="C22" t="s">
        <v>99</v>
      </c>
      <c r="D22" t="s">
        <v>100</v>
      </c>
      <c r="E22" t="s">
        <v>46</v>
      </c>
      <c r="F22" t="s">
        <v>101</v>
      </c>
      <c r="G22" t="s">
        <v>56</v>
      </c>
      <c r="H22" t="s">
        <v>53</v>
      </c>
      <c r="I22" t="s">
        <v>36</v>
      </c>
      <c r="J22" t="s">
        <v>102</v>
      </c>
      <c r="K22">
        <v>3</v>
      </c>
      <c r="L22">
        <v>110299</v>
      </c>
      <c r="M22">
        <v>9.0999999999999998E-2</v>
      </c>
      <c r="N22">
        <v>330897</v>
      </c>
      <c r="O22">
        <v>30111.63</v>
      </c>
      <c r="P22">
        <v>300785.37</v>
      </c>
      <c r="Q22">
        <v>4</v>
      </c>
      <c r="R22">
        <v>173</v>
      </c>
      <c r="S22">
        <v>3.3</v>
      </c>
      <c r="T22">
        <v>3</v>
      </c>
      <c r="U22">
        <v>2</v>
      </c>
    </row>
    <row r="23" spans="1:21" x14ac:dyDescent="0.3">
      <c r="A23" t="s">
        <v>103</v>
      </c>
      <c r="B23" s="2">
        <v>45921</v>
      </c>
      <c r="C23" t="s">
        <v>44</v>
      </c>
      <c r="D23" t="s">
        <v>45</v>
      </c>
      <c r="E23" t="s">
        <v>24</v>
      </c>
      <c r="F23" t="s">
        <v>33</v>
      </c>
      <c r="G23" t="s">
        <v>67</v>
      </c>
      <c r="H23" t="s">
        <v>27</v>
      </c>
      <c r="I23" t="s">
        <v>28</v>
      </c>
      <c r="J23" t="s">
        <v>104</v>
      </c>
      <c r="K23">
        <v>2</v>
      </c>
      <c r="L23">
        <v>157711</v>
      </c>
      <c r="M23">
        <v>0.109</v>
      </c>
      <c r="N23">
        <v>315422</v>
      </c>
      <c r="O23">
        <v>34381</v>
      </c>
      <c r="P23">
        <v>281041</v>
      </c>
      <c r="Q23">
        <v>3</v>
      </c>
      <c r="R23">
        <v>154</v>
      </c>
      <c r="S23">
        <v>4</v>
      </c>
      <c r="T23">
        <v>8</v>
      </c>
      <c r="U23">
        <v>5</v>
      </c>
    </row>
    <row r="24" spans="1:21" x14ac:dyDescent="0.3">
      <c r="A24" t="s">
        <v>105</v>
      </c>
      <c r="B24" s="2">
        <v>45715</v>
      </c>
      <c r="C24" t="s">
        <v>87</v>
      </c>
      <c r="D24" t="s">
        <v>88</v>
      </c>
      <c r="E24" t="s">
        <v>62</v>
      </c>
      <c r="F24" t="s">
        <v>41</v>
      </c>
      <c r="G24" t="s">
        <v>26</v>
      </c>
      <c r="H24" t="s">
        <v>53</v>
      </c>
      <c r="I24" t="s">
        <v>36</v>
      </c>
      <c r="J24" t="s">
        <v>49</v>
      </c>
      <c r="K24">
        <v>1</v>
      </c>
      <c r="L24">
        <v>141784</v>
      </c>
      <c r="M24">
        <v>0.10199999999999999</v>
      </c>
      <c r="N24">
        <v>141784</v>
      </c>
      <c r="O24">
        <v>14461.97</v>
      </c>
      <c r="P24">
        <v>127322.03</v>
      </c>
      <c r="Q24">
        <v>3</v>
      </c>
      <c r="R24">
        <v>164</v>
      </c>
      <c r="T24">
        <v>6</v>
      </c>
      <c r="U24">
        <v>2</v>
      </c>
    </row>
    <row r="25" spans="1:21" x14ac:dyDescent="0.3">
      <c r="A25" t="s">
        <v>106</v>
      </c>
      <c r="B25" s="2">
        <v>45968</v>
      </c>
      <c r="C25" t="s">
        <v>22</v>
      </c>
      <c r="D25" t="s">
        <v>107</v>
      </c>
      <c r="E25" t="s">
        <v>62</v>
      </c>
      <c r="F25" t="s">
        <v>101</v>
      </c>
      <c r="G25" t="s">
        <v>67</v>
      </c>
      <c r="H25" t="s">
        <v>27</v>
      </c>
      <c r="I25" t="s">
        <v>94</v>
      </c>
      <c r="J25" t="s">
        <v>49</v>
      </c>
      <c r="K25">
        <v>1</v>
      </c>
      <c r="L25">
        <v>134201</v>
      </c>
      <c r="M25">
        <v>0.11700000000000001</v>
      </c>
      <c r="N25">
        <v>134201</v>
      </c>
      <c r="O25">
        <v>15701.52</v>
      </c>
      <c r="P25">
        <v>118499.48</v>
      </c>
      <c r="Q25">
        <v>4</v>
      </c>
      <c r="R25">
        <v>180</v>
      </c>
      <c r="S25">
        <v>3.9</v>
      </c>
      <c r="T25">
        <v>4</v>
      </c>
      <c r="U25">
        <v>3</v>
      </c>
    </row>
    <row r="26" spans="1:21" x14ac:dyDescent="0.3">
      <c r="A26" t="s">
        <v>108</v>
      </c>
      <c r="B26" s="2">
        <v>45786</v>
      </c>
      <c r="C26" t="s">
        <v>22</v>
      </c>
      <c r="D26" t="s">
        <v>107</v>
      </c>
      <c r="E26" t="s">
        <v>46</v>
      </c>
      <c r="F26" t="s">
        <v>66</v>
      </c>
      <c r="G26" t="s">
        <v>34</v>
      </c>
      <c r="H26" t="s">
        <v>35</v>
      </c>
      <c r="I26" t="s">
        <v>94</v>
      </c>
      <c r="J26" t="s">
        <v>109</v>
      </c>
      <c r="K26">
        <v>1</v>
      </c>
      <c r="L26">
        <v>134666</v>
      </c>
      <c r="M26">
        <v>4.4999999999999998E-2</v>
      </c>
      <c r="N26">
        <v>134666</v>
      </c>
      <c r="O26">
        <v>6059.97</v>
      </c>
      <c r="P26">
        <v>128606.03</v>
      </c>
      <c r="Q26">
        <v>4</v>
      </c>
      <c r="R26">
        <v>193</v>
      </c>
      <c r="S26">
        <v>4.7</v>
      </c>
      <c r="T26">
        <v>6</v>
      </c>
      <c r="U26">
        <v>2</v>
      </c>
    </row>
    <row r="27" spans="1:21" x14ac:dyDescent="0.3">
      <c r="A27" t="s">
        <v>110</v>
      </c>
      <c r="B27" s="2">
        <v>45733</v>
      </c>
      <c r="C27" t="s">
        <v>60</v>
      </c>
      <c r="D27" t="s">
        <v>69</v>
      </c>
      <c r="E27" t="s">
        <v>24</v>
      </c>
      <c r="F27" t="s">
        <v>25</v>
      </c>
      <c r="G27" t="s">
        <v>56</v>
      </c>
      <c r="H27" t="s">
        <v>27</v>
      </c>
      <c r="I27" t="s">
        <v>48</v>
      </c>
      <c r="J27" t="s">
        <v>109</v>
      </c>
      <c r="K27">
        <v>2</v>
      </c>
      <c r="L27">
        <v>101032</v>
      </c>
      <c r="M27">
        <v>3.2000000000000001E-2</v>
      </c>
      <c r="N27">
        <v>202064</v>
      </c>
      <c r="O27">
        <v>6466.05</v>
      </c>
      <c r="P27">
        <v>195597.95</v>
      </c>
      <c r="Q27">
        <v>3</v>
      </c>
      <c r="R27">
        <v>172</v>
      </c>
      <c r="S27">
        <v>4.4000000000000004</v>
      </c>
      <c r="T27">
        <v>5</v>
      </c>
      <c r="U27">
        <v>2</v>
      </c>
    </row>
    <row r="28" spans="1:21" x14ac:dyDescent="0.3">
      <c r="A28" t="s">
        <v>111</v>
      </c>
      <c r="B28" s="2">
        <v>45947</v>
      </c>
      <c r="C28" t="s">
        <v>60</v>
      </c>
      <c r="D28" t="s">
        <v>61</v>
      </c>
      <c r="E28" t="s">
        <v>24</v>
      </c>
      <c r="F28" t="s">
        <v>74</v>
      </c>
      <c r="G28" t="s">
        <v>34</v>
      </c>
      <c r="H28" t="s">
        <v>35</v>
      </c>
      <c r="I28" t="s">
        <v>36</v>
      </c>
      <c r="J28" t="s">
        <v>85</v>
      </c>
      <c r="K28">
        <v>1</v>
      </c>
      <c r="L28">
        <v>108346</v>
      </c>
      <c r="M28">
        <v>0.113</v>
      </c>
      <c r="N28">
        <v>108346</v>
      </c>
      <c r="O28">
        <v>12243.1</v>
      </c>
      <c r="P28">
        <v>96102.9</v>
      </c>
      <c r="Q28">
        <v>4</v>
      </c>
      <c r="R28">
        <v>205</v>
      </c>
      <c r="S28">
        <v>4.3</v>
      </c>
      <c r="T28">
        <v>9</v>
      </c>
      <c r="U28">
        <v>5</v>
      </c>
    </row>
    <row r="29" spans="1:21" x14ac:dyDescent="0.3">
      <c r="A29" t="s">
        <v>112</v>
      </c>
      <c r="B29" s="2">
        <v>45820</v>
      </c>
      <c r="C29" t="s">
        <v>44</v>
      </c>
      <c r="D29" t="s">
        <v>51</v>
      </c>
      <c r="E29" t="s">
        <v>46</v>
      </c>
      <c r="F29" t="s">
        <v>47</v>
      </c>
      <c r="G29" t="s">
        <v>67</v>
      </c>
      <c r="H29" t="s">
        <v>35</v>
      </c>
      <c r="I29" t="s">
        <v>48</v>
      </c>
      <c r="J29" t="s">
        <v>72</v>
      </c>
      <c r="K29">
        <v>2</v>
      </c>
      <c r="L29">
        <v>120498</v>
      </c>
      <c r="M29">
        <v>7.4999999999999997E-2</v>
      </c>
      <c r="N29">
        <v>240996</v>
      </c>
      <c r="O29">
        <v>18074.7</v>
      </c>
      <c r="P29">
        <v>222921.3</v>
      </c>
      <c r="Q29">
        <v>5</v>
      </c>
      <c r="R29">
        <v>205</v>
      </c>
      <c r="S29">
        <v>4.0999999999999996</v>
      </c>
      <c r="T29">
        <v>11</v>
      </c>
      <c r="U29">
        <v>5</v>
      </c>
    </row>
    <row r="30" spans="1:21" x14ac:dyDescent="0.3">
      <c r="A30" t="s">
        <v>113</v>
      </c>
      <c r="B30" s="2">
        <v>45747</v>
      </c>
      <c r="C30" t="s">
        <v>22</v>
      </c>
      <c r="D30" t="s">
        <v>107</v>
      </c>
      <c r="E30" t="s">
        <v>46</v>
      </c>
      <c r="F30" t="s">
        <v>52</v>
      </c>
      <c r="G30" t="s">
        <v>34</v>
      </c>
      <c r="H30" t="s">
        <v>53</v>
      </c>
      <c r="I30" t="s">
        <v>94</v>
      </c>
      <c r="J30" t="s">
        <v>104</v>
      </c>
      <c r="K30">
        <v>1</v>
      </c>
      <c r="L30">
        <v>148159</v>
      </c>
      <c r="M30">
        <v>2.1999999999999999E-2</v>
      </c>
      <c r="N30">
        <v>148159</v>
      </c>
      <c r="O30">
        <v>3259.5</v>
      </c>
      <c r="P30">
        <v>144899.5</v>
      </c>
      <c r="Q30">
        <v>4</v>
      </c>
      <c r="R30">
        <v>174</v>
      </c>
      <c r="S30">
        <v>3.9</v>
      </c>
      <c r="T30">
        <v>6</v>
      </c>
      <c r="U30">
        <v>3</v>
      </c>
    </row>
    <row r="31" spans="1:21" x14ac:dyDescent="0.3">
      <c r="A31" t="s">
        <v>114</v>
      </c>
      <c r="B31" s="2">
        <v>46014</v>
      </c>
      <c r="C31" t="s">
        <v>76</v>
      </c>
      <c r="D31" t="s">
        <v>115</v>
      </c>
      <c r="E31" t="s">
        <v>24</v>
      </c>
      <c r="F31" t="s">
        <v>25</v>
      </c>
      <c r="G31" t="s">
        <v>34</v>
      </c>
      <c r="H31" t="s">
        <v>53</v>
      </c>
      <c r="I31" t="s">
        <v>94</v>
      </c>
      <c r="J31" t="s">
        <v>78</v>
      </c>
      <c r="K31">
        <v>3</v>
      </c>
      <c r="L31">
        <v>136884</v>
      </c>
      <c r="M31">
        <v>0.11899999999999999</v>
      </c>
      <c r="N31">
        <v>410652</v>
      </c>
      <c r="O31">
        <v>48867.59</v>
      </c>
      <c r="P31">
        <v>361784.41</v>
      </c>
      <c r="Q31">
        <v>3</v>
      </c>
      <c r="R31">
        <v>179</v>
      </c>
      <c r="S31">
        <v>3.8</v>
      </c>
      <c r="T31">
        <v>9</v>
      </c>
      <c r="U31">
        <v>5</v>
      </c>
    </row>
    <row r="32" spans="1:21" x14ac:dyDescent="0.3">
      <c r="A32" t="s">
        <v>116</v>
      </c>
      <c r="B32" s="2">
        <v>46018</v>
      </c>
      <c r="C32" t="s">
        <v>76</v>
      </c>
      <c r="D32" t="s">
        <v>117</v>
      </c>
      <c r="E32" t="s">
        <v>46</v>
      </c>
      <c r="F32" t="s">
        <v>33</v>
      </c>
      <c r="G32" t="s">
        <v>34</v>
      </c>
      <c r="H32" t="s">
        <v>53</v>
      </c>
      <c r="I32" t="s">
        <v>36</v>
      </c>
      <c r="J32" t="s">
        <v>118</v>
      </c>
      <c r="K32">
        <v>1</v>
      </c>
      <c r="L32">
        <v>136998</v>
      </c>
      <c r="M32">
        <v>7.0000000000000007E-2</v>
      </c>
      <c r="N32">
        <v>136998</v>
      </c>
      <c r="O32">
        <v>9589.86</v>
      </c>
      <c r="P32">
        <v>127408.14</v>
      </c>
      <c r="Q32">
        <v>3</v>
      </c>
      <c r="R32">
        <v>156</v>
      </c>
      <c r="S32">
        <v>4</v>
      </c>
      <c r="T32">
        <v>5</v>
      </c>
      <c r="U32">
        <v>2</v>
      </c>
    </row>
    <row r="33" spans="1:21" x14ac:dyDescent="0.3">
      <c r="A33" t="s">
        <v>119</v>
      </c>
      <c r="B33" s="2">
        <v>45709</v>
      </c>
      <c r="C33" t="s">
        <v>22</v>
      </c>
      <c r="D33" t="s">
        <v>23</v>
      </c>
      <c r="E33" t="s">
        <v>62</v>
      </c>
      <c r="F33" t="s">
        <v>70</v>
      </c>
      <c r="G33" t="s">
        <v>56</v>
      </c>
      <c r="H33" t="s">
        <v>53</v>
      </c>
      <c r="I33" t="s">
        <v>94</v>
      </c>
      <c r="J33" t="s">
        <v>83</v>
      </c>
      <c r="K33">
        <v>2</v>
      </c>
      <c r="L33">
        <v>123414</v>
      </c>
      <c r="M33">
        <v>6.5000000000000002E-2</v>
      </c>
      <c r="N33">
        <v>246828</v>
      </c>
      <c r="O33">
        <v>16043.82</v>
      </c>
      <c r="P33">
        <v>230784.18</v>
      </c>
      <c r="Q33">
        <v>3</v>
      </c>
      <c r="R33">
        <v>178</v>
      </c>
      <c r="S33">
        <v>3.6</v>
      </c>
      <c r="T33">
        <v>5</v>
      </c>
      <c r="U33">
        <v>2</v>
      </c>
    </row>
    <row r="34" spans="1:21" x14ac:dyDescent="0.3">
      <c r="A34" t="s">
        <v>120</v>
      </c>
      <c r="B34" s="2">
        <v>45880</v>
      </c>
      <c r="C34" t="s">
        <v>99</v>
      </c>
      <c r="D34" t="s">
        <v>121</v>
      </c>
      <c r="E34" t="s">
        <v>24</v>
      </c>
      <c r="F34" t="s">
        <v>52</v>
      </c>
      <c r="G34" t="s">
        <v>26</v>
      </c>
      <c r="H34" t="s">
        <v>53</v>
      </c>
      <c r="I34" t="s">
        <v>48</v>
      </c>
      <c r="J34" t="s">
        <v>58</v>
      </c>
      <c r="K34">
        <v>1</v>
      </c>
      <c r="L34">
        <v>109534</v>
      </c>
      <c r="M34">
        <v>7.4999999999999997E-2</v>
      </c>
      <c r="N34">
        <v>109534</v>
      </c>
      <c r="O34">
        <v>8215.0499999999993</v>
      </c>
      <c r="P34">
        <v>101318.95</v>
      </c>
      <c r="Q34">
        <v>4</v>
      </c>
      <c r="R34">
        <v>183</v>
      </c>
      <c r="S34">
        <v>4.0999999999999996</v>
      </c>
      <c r="T34">
        <v>7</v>
      </c>
      <c r="U34">
        <v>5</v>
      </c>
    </row>
    <row r="35" spans="1:21" x14ac:dyDescent="0.3">
      <c r="A35" t="s">
        <v>122</v>
      </c>
      <c r="B35" s="2">
        <v>45662</v>
      </c>
      <c r="C35" t="s">
        <v>99</v>
      </c>
      <c r="D35" t="s">
        <v>100</v>
      </c>
      <c r="E35" t="s">
        <v>46</v>
      </c>
      <c r="F35" t="s">
        <v>41</v>
      </c>
      <c r="G35" t="s">
        <v>34</v>
      </c>
      <c r="H35" t="s">
        <v>27</v>
      </c>
      <c r="I35" t="s">
        <v>36</v>
      </c>
      <c r="J35" t="s">
        <v>123</v>
      </c>
      <c r="K35">
        <v>2</v>
      </c>
      <c r="L35">
        <v>111854</v>
      </c>
      <c r="M35">
        <v>7.8E-2</v>
      </c>
      <c r="N35">
        <v>223708</v>
      </c>
      <c r="O35">
        <v>17449.22</v>
      </c>
      <c r="P35">
        <v>206258.78</v>
      </c>
      <c r="Q35">
        <v>5</v>
      </c>
      <c r="R35">
        <v>196</v>
      </c>
      <c r="S35">
        <v>4.3</v>
      </c>
      <c r="T35">
        <v>8</v>
      </c>
      <c r="U35">
        <v>2</v>
      </c>
    </row>
    <row r="36" spans="1:21" x14ac:dyDescent="0.3">
      <c r="A36" t="s">
        <v>124</v>
      </c>
      <c r="B36" s="2">
        <v>45839</v>
      </c>
      <c r="C36" t="s">
        <v>60</v>
      </c>
      <c r="D36" t="s">
        <v>61</v>
      </c>
      <c r="E36" t="s">
        <v>62</v>
      </c>
      <c r="F36" t="s">
        <v>70</v>
      </c>
      <c r="G36" t="s">
        <v>56</v>
      </c>
      <c r="H36" t="s">
        <v>53</v>
      </c>
      <c r="I36" t="s">
        <v>63</v>
      </c>
      <c r="J36" t="s">
        <v>102</v>
      </c>
      <c r="K36">
        <v>2</v>
      </c>
      <c r="L36">
        <v>112104</v>
      </c>
      <c r="M36">
        <v>5.2999999999999999E-2</v>
      </c>
      <c r="N36">
        <v>224208</v>
      </c>
      <c r="O36">
        <v>11883.02</v>
      </c>
      <c r="P36">
        <v>212324.98</v>
      </c>
      <c r="Q36">
        <v>3</v>
      </c>
      <c r="R36">
        <v>157</v>
      </c>
      <c r="S36">
        <v>3.4</v>
      </c>
      <c r="T36">
        <v>11</v>
      </c>
      <c r="U36">
        <v>2</v>
      </c>
    </row>
    <row r="37" spans="1:21" x14ac:dyDescent="0.3">
      <c r="A37" t="s">
        <v>125</v>
      </c>
      <c r="B37" s="2">
        <v>45848</v>
      </c>
      <c r="C37" t="s">
        <v>44</v>
      </c>
      <c r="D37" t="s">
        <v>51</v>
      </c>
      <c r="E37" t="s">
        <v>62</v>
      </c>
      <c r="F37" t="s">
        <v>25</v>
      </c>
      <c r="G37" t="s">
        <v>34</v>
      </c>
      <c r="H37" t="s">
        <v>35</v>
      </c>
      <c r="I37" t="s">
        <v>63</v>
      </c>
      <c r="J37" t="s">
        <v>81</v>
      </c>
      <c r="K37">
        <v>1</v>
      </c>
      <c r="L37">
        <v>114192</v>
      </c>
      <c r="M37">
        <v>7.2999999999999995E-2</v>
      </c>
      <c r="N37">
        <v>114192</v>
      </c>
      <c r="O37">
        <v>8336.02</v>
      </c>
      <c r="P37">
        <v>105855.98</v>
      </c>
      <c r="Q37">
        <v>3</v>
      </c>
      <c r="R37">
        <v>141</v>
      </c>
      <c r="S37">
        <v>4.4000000000000004</v>
      </c>
      <c r="T37">
        <v>7</v>
      </c>
      <c r="U37">
        <v>2</v>
      </c>
    </row>
    <row r="38" spans="1:21" x14ac:dyDescent="0.3">
      <c r="A38" t="s">
        <v>126</v>
      </c>
      <c r="B38" s="2">
        <v>45704</v>
      </c>
      <c r="C38" t="s">
        <v>76</v>
      </c>
      <c r="D38" t="s">
        <v>115</v>
      </c>
      <c r="E38" t="s">
        <v>24</v>
      </c>
      <c r="F38" t="s">
        <v>52</v>
      </c>
      <c r="G38" t="s">
        <v>26</v>
      </c>
      <c r="H38" t="s">
        <v>53</v>
      </c>
      <c r="I38" t="s">
        <v>48</v>
      </c>
      <c r="J38" t="s">
        <v>54</v>
      </c>
      <c r="K38">
        <v>2</v>
      </c>
      <c r="L38">
        <v>134862</v>
      </c>
      <c r="M38">
        <v>6.5000000000000002E-2</v>
      </c>
      <c r="N38">
        <v>269724</v>
      </c>
      <c r="O38">
        <v>17532.060000000001</v>
      </c>
      <c r="P38">
        <v>252191.94</v>
      </c>
      <c r="Q38">
        <v>4</v>
      </c>
      <c r="R38">
        <v>192</v>
      </c>
      <c r="S38">
        <v>4.2</v>
      </c>
      <c r="T38">
        <v>10</v>
      </c>
      <c r="U38">
        <v>5</v>
      </c>
    </row>
    <row r="39" spans="1:21" x14ac:dyDescent="0.3">
      <c r="A39" t="s">
        <v>127</v>
      </c>
      <c r="B39" s="2">
        <v>45793</v>
      </c>
      <c r="C39" t="s">
        <v>44</v>
      </c>
      <c r="D39" t="s">
        <v>51</v>
      </c>
      <c r="E39" t="s">
        <v>46</v>
      </c>
      <c r="F39" t="s">
        <v>33</v>
      </c>
      <c r="G39" t="s">
        <v>67</v>
      </c>
      <c r="H39" t="s">
        <v>27</v>
      </c>
      <c r="I39" t="s">
        <v>48</v>
      </c>
      <c r="J39" t="s">
        <v>123</v>
      </c>
      <c r="K39">
        <v>1</v>
      </c>
      <c r="L39">
        <v>122605</v>
      </c>
      <c r="M39">
        <v>2.8000000000000001E-2</v>
      </c>
      <c r="N39">
        <v>122605</v>
      </c>
      <c r="O39">
        <v>3432.94</v>
      </c>
      <c r="P39">
        <v>119172.06</v>
      </c>
      <c r="Q39">
        <v>5</v>
      </c>
      <c r="R39">
        <v>177</v>
      </c>
      <c r="S39">
        <v>4.3</v>
      </c>
      <c r="T39">
        <v>5</v>
      </c>
      <c r="U39">
        <v>2</v>
      </c>
    </row>
    <row r="40" spans="1:21" x14ac:dyDescent="0.3">
      <c r="A40" t="s">
        <v>128</v>
      </c>
      <c r="B40" s="2">
        <v>45960</v>
      </c>
      <c r="C40" t="s">
        <v>31</v>
      </c>
      <c r="D40" t="s">
        <v>97</v>
      </c>
      <c r="E40" t="s">
        <v>24</v>
      </c>
      <c r="F40" t="s">
        <v>74</v>
      </c>
      <c r="G40" t="s">
        <v>56</v>
      </c>
      <c r="H40" t="s">
        <v>53</v>
      </c>
      <c r="I40" t="s">
        <v>48</v>
      </c>
      <c r="J40" t="s">
        <v>37</v>
      </c>
      <c r="K40">
        <v>4</v>
      </c>
      <c r="L40">
        <v>123706</v>
      </c>
      <c r="M40">
        <v>0.108</v>
      </c>
      <c r="N40">
        <v>494824</v>
      </c>
      <c r="O40">
        <v>53440.99</v>
      </c>
      <c r="P40">
        <v>441383.01</v>
      </c>
      <c r="Q40">
        <v>4</v>
      </c>
      <c r="R40">
        <v>178</v>
      </c>
      <c r="S40">
        <v>3.6</v>
      </c>
      <c r="T40">
        <v>7</v>
      </c>
      <c r="U40">
        <v>2</v>
      </c>
    </row>
    <row r="41" spans="1:21" x14ac:dyDescent="0.3">
      <c r="A41" t="s">
        <v>129</v>
      </c>
      <c r="B41" s="2">
        <v>45940</v>
      </c>
      <c r="C41" t="s">
        <v>87</v>
      </c>
      <c r="D41" t="s">
        <v>130</v>
      </c>
      <c r="E41" t="s">
        <v>62</v>
      </c>
      <c r="F41" t="s">
        <v>25</v>
      </c>
      <c r="G41" t="s">
        <v>56</v>
      </c>
      <c r="H41" t="s">
        <v>53</v>
      </c>
      <c r="I41" t="s">
        <v>94</v>
      </c>
      <c r="J41" t="s">
        <v>131</v>
      </c>
      <c r="K41">
        <v>2</v>
      </c>
      <c r="L41">
        <v>104378</v>
      </c>
      <c r="M41">
        <v>2.4E-2</v>
      </c>
      <c r="N41">
        <v>208756</v>
      </c>
      <c r="O41">
        <v>5010.1400000000003</v>
      </c>
      <c r="P41">
        <v>203745.86</v>
      </c>
      <c r="Q41">
        <v>3</v>
      </c>
      <c r="R41">
        <v>168</v>
      </c>
      <c r="S41">
        <v>5</v>
      </c>
      <c r="T41">
        <v>6</v>
      </c>
      <c r="U41">
        <v>3</v>
      </c>
    </row>
    <row r="42" spans="1:21" x14ac:dyDescent="0.3">
      <c r="A42" t="s">
        <v>132</v>
      </c>
      <c r="B42" s="2">
        <v>45740</v>
      </c>
      <c r="C42" t="s">
        <v>99</v>
      </c>
      <c r="D42" t="s">
        <v>100</v>
      </c>
      <c r="E42" t="s">
        <v>62</v>
      </c>
      <c r="F42" t="s">
        <v>52</v>
      </c>
      <c r="G42" t="s">
        <v>56</v>
      </c>
      <c r="H42" t="s">
        <v>27</v>
      </c>
      <c r="I42" t="s">
        <v>48</v>
      </c>
      <c r="J42" t="s">
        <v>29</v>
      </c>
      <c r="K42">
        <v>1</v>
      </c>
      <c r="L42">
        <v>115353</v>
      </c>
      <c r="M42">
        <v>3.3000000000000002E-2</v>
      </c>
      <c r="N42">
        <v>115353</v>
      </c>
      <c r="O42">
        <v>3806.65</v>
      </c>
      <c r="P42">
        <v>111546.35</v>
      </c>
      <c r="Q42">
        <v>5</v>
      </c>
      <c r="R42">
        <v>183</v>
      </c>
      <c r="S42">
        <v>4.3</v>
      </c>
      <c r="T42">
        <v>2</v>
      </c>
      <c r="U42">
        <v>3</v>
      </c>
    </row>
    <row r="43" spans="1:21" x14ac:dyDescent="0.3">
      <c r="A43" t="s">
        <v>133</v>
      </c>
      <c r="B43" s="2">
        <v>45916</v>
      </c>
      <c r="C43" t="s">
        <v>87</v>
      </c>
      <c r="D43" t="s">
        <v>88</v>
      </c>
      <c r="E43" t="s">
        <v>46</v>
      </c>
      <c r="F43" t="s">
        <v>25</v>
      </c>
      <c r="G43" t="s">
        <v>26</v>
      </c>
      <c r="H43" t="s">
        <v>27</v>
      </c>
      <c r="I43" t="s">
        <v>63</v>
      </c>
      <c r="J43" t="s">
        <v>123</v>
      </c>
      <c r="K43">
        <v>2</v>
      </c>
      <c r="L43">
        <v>158895</v>
      </c>
      <c r="M43">
        <v>7.4999999999999997E-2</v>
      </c>
      <c r="N43">
        <v>317790</v>
      </c>
      <c r="O43">
        <v>23834.25</v>
      </c>
      <c r="P43">
        <v>293955.75</v>
      </c>
      <c r="Q43">
        <v>4</v>
      </c>
      <c r="R43">
        <v>179</v>
      </c>
      <c r="S43">
        <v>4.5</v>
      </c>
      <c r="T43">
        <v>8</v>
      </c>
      <c r="U43">
        <v>5</v>
      </c>
    </row>
    <row r="44" spans="1:21" x14ac:dyDescent="0.3">
      <c r="A44" t="s">
        <v>134</v>
      </c>
      <c r="B44" s="2">
        <v>45849</v>
      </c>
      <c r="C44" t="s">
        <v>22</v>
      </c>
      <c r="D44" t="s">
        <v>23</v>
      </c>
      <c r="E44" t="s">
        <v>24</v>
      </c>
      <c r="F44" t="s">
        <v>74</v>
      </c>
      <c r="G44" t="s">
        <v>34</v>
      </c>
      <c r="H44" t="s">
        <v>35</v>
      </c>
      <c r="I44" t="s">
        <v>36</v>
      </c>
      <c r="J44" t="s">
        <v>49</v>
      </c>
      <c r="K44">
        <v>1</v>
      </c>
      <c r="L44">
        <v>118689</v>
      </c>
      <c r="M44">
        <v>7.9000000000000001E-2</v>
      </c>
      <c r="N44">
        <v>118689</v>
      </c>
      <c r="O44">
        <v>9376.43</v>
      </c>
      <c r="P44">
        <v>109312.57</v>
      </c>
      <c r="Q44">
        <v>3</v>
      </c>
      <c r="R44">
        <v>174</v>
      </c>
      <c r="S44">
        <v>4</v>
      </c>
      <c r="T44">
        <v>5</v>
      </c>
      <c r="U44">
        <v>2</v>
      </c>
    </row>
    <row r="45" spans="1:21" x14ac:dyDescent="0.3">
      <c r="A45" t="s">
        <v>135</v>
      </c>
      <c r="B45" s="2">
        <v>45708</v>
      </c>
      <c r="C45" t="s">
        <v>22</v>
      </c>
      <c r="D45" t="s">
        <v>23</v>
      </c>
      <c r="E45" t="s">
        <v>24</v>
      </c>
      <c r="F45" t="s">
        <v>33</v>
      </c>
      <c r="G45" t="s">
        <v>56</v>
      </c>
      <c r="H45" t="s">
        <v>53</v>
      </c>
      <c r="I45" t="s">
        <v>63</v>
      </c>
      <c r="J45" t="s">
        <v>109</v>
      </c>
      <c r="K45">
        <v>2</v>
      </c>
      <c r="L45">
        <v>126180</v>
      </c>
      <c r="M45">
        <v>6.6000000000000003E-2</v>
      </c>
      <c r="N45">
        <v>252360</v>
      </c>
      <c r="O45">
        <v>16655.759999999998</v>
      </c>
      <c r="P45">
        <v>235704.24</v>
      </c>
      <c r="Q45">
        <v>5</v>
      </c>
      <c r="R45">
        <v>201</v>
      </c>
      <c r="S45">
        <v>3.9</v>
      </c>
      <c r="T45">
        <v>3</v>
      </c>
      <c r="U45">
        <v>2</v>
      </c>
    </row>
    <row r="46" spans="1:21" x14ac:dyDescent="0.3">
      <c r="A46" t="s">
        <v>136</v>
      </c>
      <c r="B46" s="2">
        <v>46017</v>
      </c>
      <c r="C46" t="s">
        <v>31</v>
      </c>
      <c r="D46" t="s">
        <v>32</v>
      </c>
      <c r="E46" t="s">
        <v>46</v>
      </c>
      <c r="F46" t="s">
        <v>25</v>
      </c>
      <c r="G46" t="s">
        <v>26</v>
      </c>
      <c r="H46" t="s">
        <v>27</v>
      </c>
      <c r="I46" t="s">
        <v>94</v>
      </c>
      <c r="J46" t="s">
        <v>109</v>
      </c>
      <c r="K46">
        <v>2</v>
      </c>
      <c r="L46">
        <v>109739</v>
      </c>
      <c r="M46">
        <v>0.107</v>
      </c>
      <c r="N46">
        <v>219478</v>
      </c>
      <c r="O46">
        <v>23484.15</v>
      </c>
      <c r="P46">
        <v>195993.85</v>
      </c>
      <c r="Q46">
        <v>4</v>
      </c>
      <c r="R46">
        <v>182</v>
      </c>
      <c r="S46">
        <v>4.3</v>
      </c>
      <c r="T46">
        <v>4</v>
      </c>
      <c r="U46">
        <v>5</v>
      </c>
    </row>
    <row r="47" spans="1:21" x14ac:dyDescent="0.3">
      <c r="A47" t="s">
        <v>137</v>
      </c>
      <c r="B47" s="2">
        <v>45658</v>
      </c>
      <c r="C47" t="s">
        <v>60</v>
      </c>
      <c r="D47" t="s">
        <v>61</v>
      </c>
      <c r="E47" t="s">
        <v>62</v>
      </c>
      <c r="F47" t="s">
        <v>70</v>
      </c>
      <c r="G47" t="s">
        <v>26</v>
      </c>
      <c r="H47" t="s">
        <v>35</v>
      </c>
      <c r="I47" t="s">
        <v>28</v>
      </c>
      <c r="J47" t="s">
        <v>138</v>
      </c>
      <c r="K47">
        <v>2</v>
      </c>
      <c r="L47">
        <v>113831</v>
      </c>
      <c r="M47">
        <v>0.109</v>
      </c>
      <c r="N47">
        <v>227662</v>
      </c>
      <c r="O47">
        <v>24815.16</v>
      </c>
      <c r="P47">
        <v>202846.84</v>
      </c>
      <c r="Q47">
        <v>3</v>
      </c>
      <c r="R47">
        <v>149</v>
      </c>
      <c r="S47">
        <v>3.6</v>
      </c>
      <c r="T47">
        <v>11</v>
      </c>
      <c r="U47">
        <v>2</v>
      </c>
    </row>
    <row r="48" spans="1:21" x14ac:dyDescent="0.3">
      <c r="A48" t="s">
        <v>139</v>
      </c>
      <c r="B48" s="2">
        <v>45718</v>
      </c>
      <c r="C48" t="s">
        <v>22</v>
      </c>
      <c r="D48" t="s">
        <v>23</v>
      </c>
      <c r="E48" t="s">
        <v>24</v>
      </c>
      <c r="F48" t="s">
        <v>101</v>
      </c>
      <c r="G48" t="s">
        <v>34</v>
      </c>
      <c r="H48" t="s">
        <v>35</v>
      </c>
      <c r="I48" t="s">
        <v>28</v>
      </c>
      <c r="J48" t="s">
        <v>85</v>
      </c>
      <c r="K48">
        <v>1</v>
      </c>
      <c r="L48">
        <v>127387</v>
      </c>
      <c r="M48">
        <v>2.8000000000000001E-2</v>
      </c>
      <c r="N48">
        <v>127387</v>
      </c>
      <c r="O48">
        <v>3566.84</v>
      </c>
      <c r="P48">
        <v>123820.16</v>
      </c>
      <c r="Q48">
        <v>4</v>
      </c>
      <c r="R48">
        <v>182</v>
      </c>
      <c r="S48">
        <v>4.2</v>
      </c>
      <c r="T48">
        <v>9</v>
      </c>
      <c r="U48">
        <v>3</v>
      </c>
    </row>
    <row r="49" spans="1:21" x14ac:dyDescent="0.3">
      <c r="A49" t="s">
        <v>140</v>
      </c>
      <c r="B49" s="2">
        <v>45811</v>
      </c>
      <c r="C49" t="s">
        <v>99</v>
      </c>
      <c r="D49" t="s">
        <v>141</v>
      </c>
      <c r="E49" t="s">
        <v>24</v>
      </c>
      <c r="F49" t="s">
        <v>80</v>
      </c>
      <c r="G49" t="s">
        <v>56</v>
      </c>
      <c r="H49" t="s">
        <v>35</v>
      </c>
      <c r="I49" t="s">
        <v>57</v>
      </c>
      <c r="J49" t="s">
        <v>78</v>
      </c>
      <c r="K49">
        <v>1</v>
      </c>
      <c r="L49">
        <v>136547</v>
      </c>
      <c r="M49">
        <v>9.0999999999999998E-2</v>
      </c>
      <c r="N49">
        <v>136547</v>
      </c>
      <c r="O49">
        <v>12425.78</v>
      </c>
      <c r="P49">
        <v>124121.22</v>
      </c>
      <c r="Q49">
        <v>5</v>
      </c>
      <c r="R49">
        <v>236</v>
      </c>
      <c r="S49">
        <v>4.5999999999999996</v>
      </c>
      <c r="T49">
        <v>14</v>
      </c>
      <c r="U49">
        <v>3</v>
      </c>
    </row>
    <row r="50" spans="1:21" x14ac:dyDescent="0.3">
      <c r="A50" t="s">
        <v>142</v>
      </c>
      <c r="B50" s="2">
        <v>45859</v>
      </c>
      <c r="C50" t="s">
        <v>60</v>
      </c>
      <c r="D50" t="s">
        <v>61</v>
      </c>
      <c r="E50" t="s">
        <v>62</v>
      </c>
      <c r="F50" t="s">
        <v>70</v>
      </c>
      <c r="G50" t="s">
        <v>67</v>
      </c>
      <c r="H50" t="s">
        <v>27</v>
      </c>
      <c r="I50" t="s">
        <v>36</v>
      </c>
      <c r="J50" t="s">
        <v>143</v>
      </c>
      <c r="K50">
        <v>2</v>
      </c>
      <c r="L50">
        <v>121635</v>
      </c>
      <c r="M50">
        <v>2.9000000000000001E-2</v>
      </c>
      <c r="N50">
        <v>243270</v>
      </c>
      <c r="O50">
        <v>7054.83</v>
      </c>
      <c r="P50">
        <v>236215.17</v>
      </c>
      <c r="Q50">
        <v>4</v>
      </c>
      <c r="R50">
        <v>173</v>
      </c>
      <c r="S50">
        <v>3.6</v>
      </c>
      <c r="T50">
        <v>10</v>
      </c>
      <c r="U50">
        <v>3</v>
      </c>
    </row>
    <row r="51" spans="1:21" x14ac:dyDescent="0.3">
      <c r="A51" t="s">
        <v>144</v>
      </c>
      <c r="B51" s="2">
        <v>45768</v>
      </c>
      <c r="C51" t="s">
        <v>87</v>
      </c>
      <c r="D51" t="s">
        <v>88</v>
      </c>
      <c r="E51" t="s">
        <v>62</v>
      </c>
      <c r="F51" t="s">
        <v>80</v>
      </c>
      <c r="G51" t="s">
        <v>67</v>
      </c>
      <c r="H51" t="s">
        <v>53</v>
      </c>
      <c r="I51" t="s">
        <v>57</v>
      </c>
      <c r="J51" t="s">
        <v>95</v>
      </c>
      <c r="K51">
        <v>2</v>
      </c>
      <c r="L51">
        <v>150064</v>
      </c>
      <c r="M51">
        <v>3.3000000000000002E-2</v>
      </c>
      <c r="N51">
        <v>300128</v>
      </c>
      <c r="O51">
        <v>9904.2199999999993</v>
      </c>
      <c r="P51">
        <v>290223.78000000003</v>
      </c>
      <c r="Q51">
        <v>3</v>
      </c>
      <c r="R51">
        <v>180</v>
      </c>
      <c r="S51">
        <v>3.5</v>
      </c>
      <c r="T51">
        <v>3</v>
      </c>
      <c r="U51">
        <v>5</v>
      </c>
    </row>
    <row r="52" spans="1:21" x14ac:dyDescent="0.3">
      <c r="A52" t="s">
        <v>145</v>
      </c>
      <c r="B52" s="2">
        <v>45855</v>
      </c>
      <c r="C52" t="s">
        <v>87</v>
      </c>
      <c r="D52" t="s">
        <v>130</v>
      </c>
      <c r="E52" t="s">
        <v>46</v>
      </c>
      <c r="F52" t="s">
        <v>52</v>
      </c>
      <c r="G52" t="s">
        <v>26</v>
      </c>
      <c r="H52" t="s">
        <v>35</v>
      </c>
      <c r="I52" t="s">
        <v>28</v>
      </c>
      <c r="J52" t="s">
        <v>37</v>
      </c>
      <c r="K52">
        <v>1</v>
      </c>
      <c r="L52">
        <v>110912</v>
      </c>
      <c r="M52">
        <v>0.105</v>
      </c>
      <c r="N52">
        <v>110912</v>
      </c>
      <c r="O52">
        <v>11645.76</v>
      </c>
      <c r="P52">
        <v>99266.240000000005</v>
      </c>
      <c r="Q52">
        <v>2</v>
      </c>
      <c r="R52">
        <v>155</v>
      </c>
      <c r="S52">
        <v>4.2</v>
      </c>
      <c r="T52">
        <v>7</v>
      </c>
      <c r="U52">
        <v>3</v>
      </c>
    </row>
    <row r="53" spans="1:21" x14ac:dyDescent="0.3">
      <c r="A53" t="s">
        <v>146</v>
      </c>
      <c r="B53" s="2">
        <v>45860</v>
      </c>
      <c r="C53" t="s">
        <v>99</v>
      </c>
      <c r="D53" t="s">
        <v>121</v>
      </c>
      <c r="E53" t="s">
        <v>62</v>
      </c>
      <c r="F53" t="s">
        <v>74</v>
      </c>
      <c r="G53" t="s">
        <v>26</v>
      </c>
      <c r="H53" t="s">
        <v>27</v>
      </c>
      <c r="I53" t="s">
        <v>28</v>
      </c>
      <c r="J53" t="s">
        <v>131</v>
      </c>
      <c r="K53">
        <v>2</v>
      </c>
      <c r="L53">
        <v>102815</v>
      </c>
      <c r="M53">
        <v>9.7000000000000003E-2</v>
      </c>
      <c r="N53">
        <v>205630</v>
      </c>
      <c r="O53">
        <v>19946.11</v>
      </c>
      <c r="P53">
        <v>185683.89</v>
      </c>
      <c r="Q53">
        <v>3</v>
      </c>
      <c r="R53">
        <v>154</v>
      </c>
      <c r="S53">
        <v>3.3</v>
      </c>
      <c r="T53">
        <v>2</v>
      </c>
      <c r="U53">
        <v>2</v>
      </c>
    </row>
    <row r="54" spans="1:21" x14ac:dyDescent="0.3">
      <c r="A54" t="s">
        <v>147</v>
      </c>
      <c r="B54" s="2">
        <v>46013</v>
      </c>
      <c r="C54" t="s">
        <v>87</v>
      </c>
      <c r="D54" t="s">
        <v>130</v>
      </c>
      <c r="E54" t="s">
        <v>24</v>
      </c>
      <c r="F54" t="s">
        <v>41</v>
      </c>
      <c r="G54" t="s">
        <v>67</v>
      </c>
      <c r="H54" t="s">
        <v>35</v>
      </c>
      <c r="I54" t="s">
        <v>94</v>
      </c>
      <c r="J54" t="s">
        <v>148</v>
      </c>
      <c r="K54">
        <v>1</v>
      </c>
      <c r="L54">
        <v>112545</v>
      </c>
      <c r="M54">
        <v>5.7000000000000002E-2</v>
      </c>
      <c r="N54">
        <v>112545</v>
      </c>
      <c r="O54">
        <v>6415.07</v>
      </c>
      <c r="P54">
        <v>106129.93</v>
      </c>
      <c r="Q54">
        <v>3</v>
      </c>
      <c r="R54">
        <v>187</v>
      </c>
      <c r="S54">
        <v>5</v>
      </c>
      <c r="T54">
        <v>3</v>
      </c>
      <c r="U54">
        <v>2</v>
      </c>
    </row>
    <row r="55" spans="1:21" x14ac:dyDescent="0.3">
      <c r="A55" t="s">
        <v>149</v>
      </c>
      <c r="B55" s="2">
        <v>45695</v>
      </c>
      <c r="C55" t="s">
        <v>150</v>
      </c>
      <c r="D55" t="s">
        <v>77</v>
      </c>
      <c r="E55" t="s">
        <v>62</v>
      </c>
      <c r="F55" t="s">
        <v>74</v>
      </c>
      <c r="G55" t="s">
        <v>34</v>
      </c>
      <c r="H55" t="s">
        <v>27</v>
      </c>
      <c r="I55" t="s">
        <v>36</v>
      </c>
      <c r="J55" t="s">
        <v>104</v>
      </c>
      <c r="K55">
        <v>1</v>
      </c>
      <c r="L55">
        <v>143382</v>
      </c>
      <c r="M55">
        <v>0.113</v>
      </c>
      <c r="N55">
        <v>143382</v>
      </c>
      <c r="O55">
        <v>16202.17</v>
      </c>
      <c r="P55">
        <v>127179.83</v>
      </c>
      <c r="Q55">
        <v>5</v>
      </c>
      <c r="R55">
        <v>202</v>
      </c>
      <c r="S55">
        <v>4.0999999999999996</v>
      </c>
      <c r="T55">
        <v>13</v>
      </c>
      <c r="U55">
        <v>5</v>
      </c>
    </row>
    <row r="56" spans="1:21" x14ac:dyDescent="0.3">
      <c r="A56" t="s">
        <v>151</v>
      </c>
      <c r="B56" s="2">
        <v>46018</v>
      </c>
      <c r="C56" t="s">
        <v>31</v>
      </c>
      <c r="D56" t="s">
        <v>97</v>
      </c>
      <c r="E56" t="s">
        <v>46</v>
      </c>
      <c r="F56" t="s">
        <v>101</v>
      </c>
      <c r="G56" t="s">
        <v>67</v>
      </c>
      <c r="H56" t="s">
        <v>27</v>
      </c>
      <c r="I56" t="s">
        <v>28</v>
      </c>
      <c r="J56" t="s">
        <v>123</v>
      </c>
      <c r="K56">
        <v>3</v>
      </c>
      <c r="L56">
        <v>136751</v>
      </c>
      <c r="M56">
        <v>0.10299999999999999</v>
      </c>
      <c r="N56">
        <v>410253</v>
      </c>
      <c r="O56">
        <v>42256.06</v>
      </c>
      <c r="P56">
        <v>367996.94</v>
      </c>
      <c r="Q56">
        <v>3</v>
      </c>
      <c r="R56">
        <v>171</v>
      </c>
      <c r="S56">
        <v>3.5</v>
      </c>
      <c r="T56">
        <v>5</v>
      </c>
      <c r="U56">
        <v>2</v>
      </c>
    </row>
    <row r="57" spans="1:21" x14ac:dyDescent="0.3">
      <c r="A57" t="s">
        <v>152</v>
      </c>
      <c r="B57" s="2">
        <v>46010</v>
      </c>
      <c r="C57" t="s">
        <v>60</v>
      </c>
      <c r="D57" t="s">
        <v>61</v>
      </c>
      <c r="E57" t="s">
        <v>62</v>
      </c>
      <c r="F57" t="s">
        <v>33</v>
      </c>
      <c r="G57" t="s">
        <v>26</v>
      </c>
      <c r="H57" t="s">
        <v>27</v>
      </c>
      <c r="I57" t="s">
        <v>63</v>
      </c>
      <c r="J57" t="s">
        <v>42</v>
      </c>
      <c r="K57">
        <v>2</v>
      </c>
      <c r="L57">
        <v>116193</v>
      </c>
      <c r="M57">
        <v>4.2999999999999997E-2</v>
      </c>
      <c r="N57">
        <v>232386</v>
      </c>
      <c r="O57">
        <v>9992.6</v>
      </c>
      <c r="P57">
        <v>222393.4</v>
      </c>
      <c r="Q57">
        <v>5</v>
      </c>
      <c r="R57">
        <v>209</v>
      </c>
      <c r="S57">
        <v>3.1</v>
      </c>
      <c r="T57">
        <v>9</v>
      </c>
      <c r="U57">
        <v>5</v>
      </c>
    </row>
    <row r="58" spans="1:21" x14ac:dyDescent="0.3">
      <c r="A58" t="s">
        <v>153</v>
      </c>
      <c r="B58" s="2">
        <v>45699</v>
      </c>
      <c r="C58" t="s">
        <v>39</v>
      </c>
      <c r="D58" t="s">
        <v>154</v>
      </c>
      <c r="E58" t="s">
        <v>46</v>
      </c>
      <c r="F58" t="s">
        <v>25</v>
      </c>
      <c r="G58" t="s">
        <v>56</v>
      </c>
      <c r="H58" t="s">
        <v>35</v>
      </c>
      <c r="I58" t="s">
        <v>57</v>
      </c>
      <c r="J58" t="s">
        <v>49</v>
      </c>
      <c r="K58">
        <v>1</v>
      </c>
      <c r="L58">
        <v>189209</v>
      </c>
      <c r="M58">
        <v>8.2000000000000003E-2</v>
      </c>
      <c r="N58">
        <v>189209</v>
      </c>
      <c r="O58">
        <v>15515.14</v>
      </c>
      <c r="P58">
        <v>173693.86</v>
      </c>
      <c r="Q58">
        <v>4</v>
      </c>
      <c r="R58">
        <v>184</v>
      </c>
      <c r="S58">
        <v>4.2</v>
      </c>
      <c r="T58">
        <v>7</v>
      </c>
      <c r="U58">
        <v>2</v>
      </c>
    </row>
    <row r="59" spans="1:21" x14ac:dyDescent="0.3">
      <c r="A59" t="s">
        <v>155</v>
      </c>
      <c r="B59" s="2">
        <v>45979</v>
      </c>
      <c r="C59" t="s">
        <v>44</v>
      </c>
      <c r="D59" t="s">
        <v>51</v>
      </c>
      <c r="E59" t="s">
        <v>46</v>
      </c>
      <c r="F59" t="s">
        <v>41</v>
      </c>
      <c r="G59" t="s">
        <v>34</v>
      </c>
      <c r="H59" t="s">
        <v>53</v>
      </c>
      <c r="I59" t="s">
        <v>48</v>
      </c>
      <c r="J59" t="s">
        <v>58</v>
      </c>
      <c r="K59">
        <v>3</v>
      </c>
      <c r="L59">
        <v>127529</v>
      </c>
      <c r="M59">
        <v>5.3999999999999999E-2</v>
      </c>
      <c r="N59">
        <v>382587</v>
      </c>
      <c r="O59">
        <v>20659.7</v>
      </c>
      <c r="P59">
        <v>361927.3</v>
      </c>
      <c r="Q59">
        <v>4</v>
      </c>
      <c r="R59">
        <v>178</v>
      </c>
      <c r="S59">
        <v>3.7</v>
      </c>
      <c r="T59">
        <v>14</v>
      </c>
      <c r="U59">
        <v>2</v>
      </c>
    </row>
    <row r="60" spans="1:21" x14ac:dyDescent="0.3">
      <c r="A60" t="s">
        <v>156</v>
      </c>
      <c r="B60" s="2">
        <v>45900</v>
      </c>
      <c r="C60" t="s">
        <v>22</v>
      </c>
      <c r="D60" t="s">
        <v>107</v>
      </c>
      <c r="E60" t="s">
        <v>62</v>
      </c>
      <c r="F60" t="s">
        <v>101</v>
      </c>
      <c r="G60" t="s">
        <v>26</v>
      </c>
      <c r="H60" t="s">
        <v>35</v>
      </c>
      <c r="I60" t="s">
        <v>36</v>
      </c>
      <c r="J60" t="s">
        <v>157</v>
      </c>
      <c r="K60">
        <v>2</v>
      </c>
      <c r="L60">
        <v>145637</v>
      </c>
      <c r="M60">
        <v>0.08</v>
      </c>
      <c r="N60">
        <v>291274</v>
      </c>
      <c r="O60">
        <v>23301.919999999998</v>
      </c>
      <c r="P60">
        <v>267972.08</v>
      </c>
      <c r="Q60">
        <v>4</v>
      </c>
      <c r="R60">
        <v>180</v>
      </c>
      <c r="S60">
        <v>4.2</v>
      </c>
      <c r="T60">
        <v>7</v>
      </c>
      <c r="U60">
        <v>5</v>
      </c>
    </row>
    <row r="61" spans="1:21" x14ac:dyDescent="0.3">
      <c r="A61" t="s">
        <v>158</v>
      </c>
      <c r="B61" s="2">
        <v>45867</v>
      </c>
      <c r="C61" t="s">
        <v>60</v>
      </c>
      <c r="D61" t="s">
        <v>61</v>
      </c>
      <c r="E61" t="s">
        <v>62</v>
      </c>
      <c r="F61" t="s">
        <v>101</v>
      </c>
      <c r="G61" t="s">
        <v>67</v>
      </c>
      <c r="H61" t="s">
        <v>35</v>
      </c>
      <c r="I61" t="s">
        <v>48</v>
      </c>
      <c r="J61" t="s">
        <v>148</v>
      </c>
      <c r="K61">
        <v>2</v>
      </c>
      <c r="L61">
        <v>108391</v>
      </c>
      <c r="M61">
        <v>0.107</v>
      </c>
      <c r="N61">
        <v>216782</v>
      </c>
      <c r="O61">
        <v>23195.67</v>
      </c>
      <c r="P61">
        <v>193586.33</v>
      </c>
      <c r="Q61">
        <v>5</v>
      </c>
      <c r="R61">
        <v>221</v>
      </c>
      <c r="S61">
        <v>4.4000000000000004</v>
      </c>
      <c r="T61">
        <v>9</v>
      </c>
      <c r="U61">
        <v>2</v>
      </c>
    </row>
    <row r="62" spans="1:21" x14ac:dyDescent="0.3">
      <c r="A62" t="s">
        <v>159</v>
      </c>
      <c r="B62" s="2">
        <v>45686</v>
      </c>
      <c r="C62" t="s">
        <v>87</v>
      </c>
      <c r="D62" t="s">
        <v>130</v>
      </c>
      <c r="E62" t="s">
        <v>62</v>
      </c>
      <c r="F62" t="s">
        <v>70</v>
      </c>
      <c r="G62" t="s">
        <v>67</v>
      </c>
      <c r="H62" t="s">
        <v>35</v>
      </c>
      <c r="I62" t="s">
        <v>28</v>
      </c>
      <c r="J62" t="s">
        <v>78</v>
      </c>
      <c r="K62">
        <v>1</v>
      </c>
      <c r="L62">
        <v>116342</v>
      </c>
      <c r="M62">
        <v>0.111</v>
      </c>
      <c r="N62">
        <v>116342</v>
      </c>
      <c r="O62">
        <v>12913.96</v>
      </c>
      <c r="P62">
        <v>103428.04</v>
      </c>
      <c r="Q62">
        <v>3</v>
      </c>
      <c r="R62">
        <v>156</v>
      </c>
      <c r="S62">
        <v>3.9</v>
      </c>
      <c r="T62">
        <v>5</v>
      </c>
      <c r="U62">
        <v>3</v>
      </c>
    </row>
    <row r="63" spans="1:21" x14ac:dyDescent="0.3">
      <c r="A63" t="s">
        <v>160</v>
      </c>
      <c r="B63" s="2">
        <v>45806</v>
      </c>
      <c r="C63" t="s">
        <v>39</v>
      </c>
      <c r="D63" t="s">
        <v>154</v>
      </c>
      <c r="E63" t="s">
        <v>24</v>
      </c>
      <c r="F63" t="s">
        <v>80</v>
      </c>
      <c r="G63" t="s">
        <v>26</v>
      </c>
      <c r="H63" t="s">
        <v>35</v>
      </c>
      <c r="I63" t="s">
        <v>48</v>
      </c>
      <c r="J63" t="s">
        <v>58</v>
      </c>
      <c r="K63">
        <v>1</v>
      </c>
      <c r="L63">
        <v>187955</v>
      </c>
      <c r="M63">
        <v>4.1000000000000002E-2</v>
      </c>
      <c r="N63">
        <v>187955</v>
      </c>
      <c r="O63">
        <v>7706.16</v>
      </c>
      <c r="P63">
        <v>180248.84</v>
      </c>
      <c r="Q63">
        <v>4</v>
      </c>
      <c r="R63">
        <v>171</v>
      </c>
      <c r="S63">
        <v>4.2</v>
      </c>
      <c r="T63">
        <v>5</v>
      </c>
      <c r="U63">
        <v>2</v>
      </c>
    </row>
    <row r="64" spans="1:21" x14ac:dyDescent="0.3">
      <c r="A64" t="s">
        <v>161</v>
      </c>
      <c r="B64" s="2">
        <v>45674</v>
      </c>
      <c r="C64" t="s">
        <v>99</v>
      </c>
      <c r="D64" t="s">
        <v>121</v>
      </c>
      <c r="E64" t="s">
        <v>46</v>
      </c>
      <c r="F64" t="s">
        <v>80</v>
      </c>
      <c r="G64" t="s">
        <v>26</v>
      </c>
      <c r="H64" t="s">
        <v>27</v>
      </c>
      <c r="I64" t="s">
        <v>94</v>
      </c>
      <c r="J64" t="s">
        <v>92</v>
      </c>
      <c r="K64">
        <v>2</v>
      </c>
      <c r="L64">
        <v>99182</v>
      </c>
      <c r="M64">
        <v>0.111</v>
      </c>
      <c r="N64">
        <v>198364</v>
      </c>
      <c r="O64">
        <v>22018.400000000001</v>
      </c>
      <c r="P64">
        <v>176345.60000000001</v>
      </c>
      <c r="Q64">
        <v>3</v>
      </c>
      <c r="R64">
        <v>149</v>
      </c>
      <c r="S64">
        <v>4.2</v>
      </c>
      <c r="T64">
        <v>6</v>
      </c>
      <c r="U64">
        <v>2</v>
      </c>
    </row>
    <row r="65" spans="1:21" x14ac:dyDescent="0.3">
      <c r="A65" t="s">
        <v>162</v>
      </c>
      <c r="B65" s="2">
        <v>45741</v>
      </c>
      <c r="C65" t="s">
        <v>22</v>
      </c>
      <c r="D65" t="s">
        <v>107</v>
      </c>
      <c r="E65" t="s">
        <v>62</v>
      </c>
      <c r="F65" t="s">
        <v>33</v>
      </c>
      <c r="G65" t="s">
        <v>56</v>
      </c>
      <c r="H65" t="s">
        <v>35</v>
      </c>
      <c r="I65" t="s">
        <v>28</v>
      </c>
      <c r="J65" t="s">
        <v>49</v>
      </c>
      <c r="K65">
        <v>1</v>
      </c>
      <c r="L65">
        <v>142523</v>
      </c>
      <c r="M65">
        <v>0.106</v>
      </c>
      <c r="N65">
        <v>142523</v>
      </c>
      <c r="O65">
        <v>15107.44</v>
      </c>
      <c r="P65">
        <v>127415.56</v>
      </c>
      <c r="Q65">
        <v>4</v>
      </c>
      <c r="R65">
        <v>175</v>
      </c>
      <c r="S65">
        <v>3.7</v>
      </c>
      <c r="T65">
        <v>14</v>
      </c>
      <c r="U65">
        <v>3</v>
      </c>
    </row>
    <row r="66" spans="1:21" x14ac:dyDescent="0.3">
      <c r="A66" t="s">
        <v>163</v>
      </c>
      <c r="B66" s="2">
        <v>45943</v>
      </c>
      <c r="C66" t="s">
        <v>60</v>
      </c>
      <c r="D66" t="s">
        <v>69</v>
      </c>
      <c r="E66" t="s">
        <v>24</v>
      </c>
      <c r="F66" t="s">
        <v>80</v>
      </c>
      <c r="G66" t="s">
        <v>56</v>
      </c>
      <c r="H66" t="s">
        <v>35</v>
      </c>
      <c r="I66" t="s">
        <v>36</v>
      </c>
      <c r="J66" t="s">
        <v>64</v>
      </c>
      <c r="K66">
        <v>3</v>
      </c>
      <c r="L66">
        <v>107335</v>
      </c>
      <c r="M66">
        <v>4.9000000000000002E-2</v>
      </c>
      <c r="N66">
        <v>322005</v>
      </c>
      <c r="O66">
        <v>15778.25</v>
      </c>
      <c r="P66">
        <v>306226.75</v>
      </c>
      <c r="Q66">
        <v>4</v>
      </c>
      <c r="R66">
        <v>211</v>
      </c>
      <c r="S66">
        <v>5</v>
      </c>
      <c r="T66">
        <v>2</v>
      </c>
      <c r="U66">
        <v>3</v>
      </c>
    </row>
    <row r="67" spans="1:21" x14ac:dyDescent="0.3">
      <c r="A67" t="s">
        <v>164</v>
      </c>
      <c r="B67" s="2">
        <v>45712</v>
      </c>
      <c r="C67" t="s">
        <v>31</v>
      </c>
      <c r="D67" t="s">
        <v>97</v>
      </c>
      <c r="E67" t="s">
        <v>62</v>
      </c>
      <c r="F67" t="s">
        <v>52</v>
      </c>
      <c r="G67" t="s">
        <v>67</v>
      </c>
      <c r="H67" t="s">
        <v>53</v>
      </c>
      <c r="I67" t="s">
        <v>63</v>
      </c>
      <c r="J67" t="s">
        <v>85</v>
      </c>
      <c r="K67">
        <v>5</v>
      </c>
      <c r="L67">
        <v>128994</v>
      </c>
      <c r="M67">
        <v>4.7E-2</v>
      </c>
      <c r="N67">
        <v>644970</v>
      </c>
      <c r="O67">
        <v>30313.59</v>
      </c>
      <c r="P67">
        <v>614656.41</v>
      </c>
      <c r="Q67">
        <v>4</v>
      </c>
      <c r="R67">
        <v>177</v>
      </c>
      <c r="S67">
        <v>4.0999999999999996</v>
      </c>
      <c r="T67">
        <v>13</v>
      </c>
      <c r="U67">
        <v>3</v>
      </c>
    </row>
    <row r="68" spans="1:21" x14ac:dyDescent="0.3">
      <c r="A68" t="s">
        <v>165</v>
      </c>
      <c r="B68" s="2">
        <v>45912</v>
      </c>
      <c r="C68" t="s">
        <v>22</v>
      </c>
      <c r="D68" t="s">
        <v>107</v>
      </c>
      <c r="E68" t="s">
        <v>24</v>
      </c>
      <c r="F68" t="s">
        <v>52</v>
      </c>
      <c r="G68" t="s">
        <v>26</v>
      </c>
      <c r="H68" t="s">
        <v>35</v>
      </c>
      <c r="I68" t="s">
        <v>36</v>
      </c>
      <c r="J68" t="s">
        <v>81</v>
      </c>
      <c r="K68">
        <v>1</v>
      </c>
      <c r="L68">
        <v>133640</v>
      </c>
      <c r="M68">
        <v>0.1</v>
      </c>
      <c r="N68">
        <v>133640</v>
      </c>
      <c r="O68">
        <v>13364</v>
      </c>
      <c r="P68">
        <v>120276</v>
      </c>
      <c r="Q68">
        <v>3</v>
      </c>
      <c r="R68">
        <v>149</v>
      </c>
      <c r="S68">
        <v>4.4000000000000004</v>
      </c>
      <c r="T68">
        <v>3</v>
      </c>
      <c r="U68">
        <v>5</v>
      </c>
    </row>
    <row r="69" spans="1:21" x14ac:dyDescent="0.3">
      <c r="A69" t="s">
        <v>166</v>
      </c>
      <c r="B69" s="2">
        <v>45880</v>
      </c>
      <c r="C69" t="s">
        <v>60</v>
      </c>
      <c r="D69" t="s">
        <v>61</v>
      </c>
      <c r="E69" t="s">
        <v>46</v>
      </c>
      <c r="F69" t="s">
        <v>25</v>
      </c>
      <c r="G69" t="s">
        <v>34</v>
      </c>
      <c r="H69" t="s">
        <v>35</v>
      </c>
      <c r="I69" t="s">
        <v>48</v>
      </c>
      <c r="J69" t="s">
        <v>29</v>
      </c>
      <c r="K69">
        <v>1</v>
      </c>
      <c r="L69">
        <v>109499</v>
      </c>
      <c r="M69">
        <v>8.3000000000000004E-2</v>
      </c>
      <c r="N69">
        <v>109499</v>
      </c>
      <c r="O69">
        <v>9088.42</v>
      </c>
      <c r="P69">
        <v>100410.58</v>
      </c>
      <c r="Q69">
        <v>4</v>
      </c>
      <c r="R69">
        <v>185</v>
      </c>
      <c r="S69">
        <v>4.5</v>
      </c>
      <c r="T69">
        <v>3</v>
      </c>
      <c r="U69">
        <v>3</v>
      </c>
    </row>
    <row r="70" spans="1:21" x14ac:dyDescent="0.3">
      <c r="A70" t="s">
        <v>167</v>
      </c>
      <c r="B70" s="2">
        <v>45776</v>
      </c>
      <c r="C70" t="s">
        <v>39</v>
      </c>
      <c r="D70" t="s">
        <v>40</v>
      </c>
      <c r="E70" t="s">
        <v>24</v>
      </c>
      <c r="F70" t="s">
        <v>52</v>
      </c>
      <c r="G70" t="s">
        <v>67</v>
      </c>
      <c r="H70" t="s">
        <v>27</v>
      </c>
      <c r="I70" t="s">
        <v>28</v>
      </c>
      <c r="J70" t="s">
        <v>85</v>
      </c>
      <c r="K70">
        <v>1</v>
      </c>
      <c r="L70">
        <v>128422</v>
      </c>
      <c r="M70">
        <v>6.0999999999999999E-2</v>
      </c>
      <c r="N70">
        <v>128422</v>
      </c>
      <c r="O70">
        <v>7833.74</v>
      </c>
      <c r="P70">
        <v>120588.26</v>
      </c>
      <c r="Q70">
        <v>4</v>
      </c>
      <c r="R70">
        <v>160</v>
      </c>
      <c r="S70">
        <v>3.9</v>
      </c>
      <c r="T70">
        <v>5</v>
      </c>
      <c r="U70">
        <v>3</v>
      </c>
    </row>
    <row r="71" spans="1:21" x14ac:dyDescent="0.3">
      <c r="A71" t="s">
        <v>168</v>
      </c>
      <c r="B71" s="2">
        <v>45872</v>
      </c>
      <c r="C71" t="s">
        <v>169</v>
      </c>
      <c r="D71" t="s">
        <v>154</v>
      </c>
      <c r="E71" t="s">
        <v>24</v>
      </c>
      <c r="F71" t="s">
        <v>80</v>
      </c>
      <c r="G71" t="s">
        <v>56</v>
      </c>
      <c r="H71" t="s">
        <v>27</v>
      </c>
      <c r="I71" t="s">
        <v>36</v>
      </c>
      <c r="J71" t="s">
        <v>157</v>
      </c>
      <c r="K71">
        <v>3</v>
      </c>
      <c r="L71">
        <v>179915</v>
      </c>
      <c r="M71">
        <v>2.1999999999999999E-2</v>
      </c>
      <c r="N71">
        <v>539745</v>
      </c>
      <c r="O71">
        <v>11874.39</v>
      </c>
      <c r="P71">
        <v>527870.61</v>
      </c>
      <c r="Q71">
        <v>3</v>
      </c>
      <c r="R71">
        <v>189</v>
      </c>
      <c r="S71">
        <v>4.4000000000000004</v>
      </c>
      <c r="T71">
        <v>8</v>
      </c>
      <c r="U71">
        <v>2</v>
      </c>
    </row>
    <row r="72" spans="1:21" x14ac:dyDescent="0.3">
      <c r="A72" t="s">
        <v>170</v>
      </c>
      <c r="B72" s="2">
        <v>45766</v>
      </c>
      <c r="C72" t="s">
        <v>99</v>
      </c>
      <c r="D72" t="s">
        <v>141</v>
      </c>
      <c r="E72" t="s">
        <v>46</v>
      </c>
      <c r="F72" t="s">
        <v>70</v>
      </c>
      <c r="G72" t="s">
        <v>26</v>
      </c>
      <c r="H72" t="s">
        <v>27</v>
      </c>
      <c r="I72" t="s">
        <v>36</v>
      </c>
      <c r="J72" t="s">
        <v>78</v>
      </c>
      <c r="K72">
        <v>2</v>
      </c>
      <c r="L72">
        <v>144990</v>
      </c>
      <c r="M72">
        <v>0.10199999999999999</v>
      </c>
      <c r="N72">
        <v>289980</v>
      </c>
      <c r="O72">
        <v>29577.96</v>
      </c>
      <c r="P72">
        <v>260402.04</v>
      </c>
      <c r="Q72">
        <v>4</v>
      </c>
      <c r="R72">
        <v>181</v>
      </c>
      <c r="S72">
        <v>4.7</v>
      </c>
      <c r="T72">
        <v>3</v>
      </c>
      <c r="U72">
        <v>2</v>
      </c>
    </row>
    <row r="73" spans="1:21" x14ac:dyDescent="0.3">
      <c r="A73" t="s">
        <v>171</v>
      </c>
      <c r="B73" s="2">
        <v>45999</v>
      </c>
      <c r="C73" t="s">
        <v>60</v>
      </c>
      <c r="D73" t="s">
        <v>61</v>
      </c>
      <c r="E73" t="s">
        <v>46</v>
      </c>
      <c r="F73" t="s">
        <v>74</v>
      </c>
      <c r="G73" t="s">
        <v>26</v>
      </c>
      <c r="H73" t="s">
        <v>53</v>
      </c>
      <c r="I73" t="s">
        <v>36</v>
      </c>
      <c r="J73" t="s">
        <v>49</v>
      </c>
      <c r="K73">
        <v>1</v>
      </c>
      <c r="L73">
        <v>122590</v>
      </c>
      <c r="M73">
        <v>0.107</v>
      </c>
      <c r="N73">
        <v>122590</v>
      </c>
      <c r="O73">
        <v>13117.13</v>
      </c>
      <c r="P73">
        <v>109472.87</v>
      </c>
      <c r="Q73">
        <v>4</v>
      </c>
      <c r="R73">
        <v>201</v>
      </c>
      <c r="S73">
        <v>4.5999999999999996</v>
      </c>
      <c r="T73">
        <v>8</v>
      </c>
      <c r="U73">
        <v>3</v>
      </c>
    </row>
    <row r="74" spans="1:21" x14ac:dyDescent="0.3">
      <c r="A74" t="s">
        <v>172</v>
      </c>
      <c r="B74" s="2">
        <v>45721</v>
      </c>
      <c r="C74" t="s">
        <v>99</v>
      </c>
      <c r="D74" t="s">
        <v>100</v>
      </c>
      <c r="E74" t="s">
        <v>62</v>
      </c>
      <c r="F74" t="s">
        <v>66</v>
      </c>
      <c r="G74" t="s">
        <v>34</v>
      </c>
      <c r="H74" t="s">
        <v>35</v>
      </c>
      <c r="I74" t="s">
        <v>28</v>
      </c>
      <c r="J74" t="s">
        <v>29</v>
      </c>
      <c r="K74">
        <v>1</v>
      </c>
      <c r="L74">
        <v>123533</v>
      </c>
      <c r="M74">
        <v>3.7999999999999999E-2</v>
      </c>
      <c r="N74">
        <v>123533</v>
      </c>
      <c r="O74">
        <v>4694.25</v>
      </c>
      <c r="P74">
        <v>118838.75</v>
      </c>
      <c r="Q74">
        <v>2</v>
      </c>
      <c r="R74">
        <v>143</v>
      </c>
      <c r="S74">
        <v>4.5999999999999996</v>
      </c>
      <c r="T74">
        <v>5</v>
      </c>
      <c r="U74">
        <v>2</v>
      </c>
    </row>
    <row r="75" spans="1:21" x14ac:dyDescent="0.3">
      <c r="A75" t="s">
        <v>173</v>
      </c>
      <c r="B75" s="2">
        <v>45809</v>
      </c>
      <c r="C75" t="s">
        <v>22</v>
      </c>
      <c r="D75" t="s">
        <v>107</v>
      </c>
      <c r="E75" t="s">
        <v>24</v>
      </c>
      <c r="F75" t="s">
        <v>47</v>
      </c>
      <c r="G75" t="s">
        <v>67</v>
      </c>
      <c r="H75" t="s">
        <v>27</v>
      </c>
      <c r="I75" t="s">
        <v>48</v>
      </c>
      <c r="J75" t="s">
        <v>95</v>
      </c>
      <c r="K75">
        <v>5</v>
      </c>
      <c r="L75">
        <v>145958</v>
      </c>
      <c r="M75">
        <v>4.1000000000000002E-2</v>
      </c>
      <c r="N75">
        <v>729790</v>
      </c>
      <c r="O75">
        <v>29921.39</v>
      </c>
      <c r="P75">
        <v>699868.61</v>
      </c>
      <c r="Q75">
        <v>2</v>
      </c>
      <c r="R75">
        <v>153</v>
      </c>
      <c r="S75">
        <v>3.4</v>
      </c>
      <c r="T75">
        <v>12</v>
      </c>
      <c r="U75">
        <v>2</v>
      </c>
    </row>
    <row r="76" spans="1:21" x14ac:dyDescent="0.3">
      <c r="A76" t="s">
        <v>174</v>
      </c>
      <c r="B76" s="2">
        <v>45953</v>
      </c>
      <c r="C76" t="s">
        <v>76</v>
      </c>
      <c r="D76" t="s">
        <v>77</v>
      </c>
      <c r="E76" t="s">
        <v>24</v>
      </c>
      <c r="F76" t="s">
        <v>80</v>
      </c>
      <c r="G76" t="s">
        <v>26</v>
      </c>
      <c r="H76" t="s">
        <v>35</v>
      </c>
      <c r="I76" t="s">
        <v>94</v>
      </c>
      <c r="J76" t="s">
        <v>175</v>
      </c>
      <c r="K76">
        <v>2</v>
      </c>
      <c r="L76">
        <v>146358</v>
      </c>
      <c r="M76">
        <v>8.8999999999999996E-2</v>
      </c>
      <c r="N76">
        <v>292716</v>
      </c>
      <c r="O76">
        <v>26051.72</v>
      </c>
      <c r="P76">
        <v>266664.28000000003</v>
      </c>
      <c r="Q76">
        <v>3</v>
      </c>
      <c r="R76">
        <v>172</v>
      </c>
      <c r="S76">
        <v>3.8</v>
      </c>
      <c r="T76">
        <v>6</v>
      </c>
      <c r="U76">
        <v>5</v>
      </c>
    </row>
    <row r="77" spans="1:21" x14ac:dyDescent="0.3">
      <c r="A77" t="s">
        <v>176</v>
      </c>
      <c r="B77" s="2">
        <v>45962</v>
      </c>
      <c r="C77" t="s">
        <v>39</v>
      </c>
      <c r="D77" t="s">
        <v>40</v>
      </c>
      <c r="E77" t="s">
        <v>46</v>
      </c>
      <c r="F77" t="s">
        <v>74</v>
      </c>
      <c r="G77" t="s">
        <v>56</v>
      </c>
      <c r="H77" t="s">
        <v>53</v>
      </c>
      <c r="I77" t="s">
        <v>28</v>
      </c>
      <c r="J77" t="s">
        <v>89</v>
      </c>
      <c r="K77">
        <v>1</v>
      </c>
      <c r="L77">
        <v>134129</v>
      </c>
      <c r="M77">
        <v>6.5000000000000002E-2</v>
      </c>
      <c r="N77">
        <v>134129</v>
      </c>
      <c r="O77">
        <v>8718.39</v>
      </c>
      <c r="P77">
        <v>125410.61</v>
      </c>
      <c r="Q77">
        <v>3</v>
      </c>
      <c r="R77">
        <v>176</v>
      </c>
      <c r="S77">
        <v>4.2</v>
      </c>
      <c r="T77">
        <v>9</v>
      </c>
      <c r="U77">
        <v>5</v>
      </c>
    </row>
    <row r="78" spans="1:21" x14ac:dyDescent="0.3">
      <c r="A78" t="s">
        <v>177</v>
      </c>
      <c r="B78" s="2">
        <v>45682</v>
      </c>
      <c r="C78" t="s">
        <v>87</v>
      </c>
      <c r="D78" t="s">
        <v>88</v>
      </c>
      <c r="E78" t="s">
        <v>62</v>
      </c>
      <c r="F78" t="s">
        <v>101</v>
      </c>
      <c r="G78" t="s">
        <v>67</v>
      </c>
      <c r="H78" t="s">
        <v>27</v>
      </c>
      <c r="I78" t="s">
        <v>48</v>
      </c>
      <c r="J78" t="s">
        <v>42</v>
      </c>
      <c r="K78">
        <v>4</v>
      </c>
      <c r="L78">
        <v>154579</v>
      </c>
      <c r="M78">
        <v>8.8999999999999996E-2</v>
      </c>
      <c r="N78">
        <v>618316</v>
      </c>
      <c r="O78">
        <v>55030.12</v>
      </c>
      <c r="P78">
        <v>563285.88</v>
      </c>
      <c r="Q78">
        <v>2</v>
      </c>
      <c r="R78">
        <v>142</v>
      </c>
      <c r="S78">
        <v>4.2</v>
      </c>
      <c r="T78">
        <v>8</v>
      </c>
      <c r="U78">
        <v>2</v>
      </c>
    </row>
    <row r="79" spans="1:21" x14ac:dyDescent="0.3">
      <c r="A79" t="s">
        <v>178</v>
      </c>
      <c r="B79" s="2">
        <v>45774</v>
      </c>
      <c r="C79" t="s">
        <v>87</v>
      </c>
      <c r="D79" t="s">
        <v>130</v>
      </c>
      <c r="E79" t="s">
        <v>62</v>
      </c>
      <c r="F79" t="s">
        <v>47</v>
      </c>
      <c r="G79" t="s">
        <v>56</v>
      </c>
      <c r="H79" t="s">
        <v>27</v>
      </c>
      <c r="I79" t="s">
        <v>57</v>
      </c>
      <c r="J79" t="s">
        <v>118</v>
      </c>
      <c r="K79">
        <v>2</v>
      </c>
      <c r="L79">
        <v>106366</v>
      </c>
      <c r="M79">
        <v>3.2000000000000001E-2</v>
      </c>
      <c r="N79">
        <v>212732</v>
      </c>
      <c r="O79">
        <v>6807.42</v>
      </c>
      <c r="P79">
        <v>205924.58</v>
      </c>
      <c r="Q79">
        <v>3</v>
      </c>
      <c r="R79">
        <v>171</v>
      </c>
      <c r="S79">
        <v>4.5</v>
      </c>
      <c r="T79">
        <v>5</v>
      </c>
      <c r="U79">
        <v>5</v>
      </c>
    </row>
    <row r="80" spans="1:21" x14ac:dyDescent="0.3">
      <c r="A80" t="s">
        <v>179</v>
      </c>
      <c r="B80" s="2">
        <v>45765</v>
      </c>
      <c r="C80" t="s">
        <v>22</v>
      </c>
      <c r="D80" t="s">
        <v>23</v>
      </c>
      <c r="E80" t="s">
        <v>46</v>
      </c>
      <c r="F80" t="s">
        <v>80</v>
      </c>
      <c r="G80" t="s">
        <v>67</v>
      </c>
      <c r="H80" t="s">
        <v>53</v>
      </c>
      <c r="I80" t="s">
        <v>48</v>
      </c>
      <c r="J80" t="s">
        <v>64</v>
      </c>
      <c r="K80">
        <v>1</v>
      </c>
      <c r="L80">
        <v>114092</v>
      </c>
      <c r="M80">
        <v>0.09</v>
      </c>
      <c r="N80">
        <v>114092</v>
      </c>
      <c r="O80">
        <v>10268.280000000001</v>
      </c>
      <c r="P80">
        <v>103823.72</v>
      </c>
      <c r="Q80">
        <v>3</v>
      </c>
      <c r="R80">
        <v>160</v>
      </c>
      <c r="S80">
        <v>4.2</v>
      </c>
      <c r="T80">
        <v>9</v>
      </c>
      <c r="U80">
        <v>2</v>
      </c>
    </row>
    <row r="81" spans="1:21" x14ac:dyDescent="0.3">
      <c r="A81" t="s">
        <v>180</v>
      </c>
      <c r="B81" s="2">
        <v>45765</v>
      </c>
      <c r="C81" t="s">
        <v>31</v>
      </c>
      <c r="D81" t="s">
        <v>97</v>
      </c>
      <c r="E81" t="s">
        <v>62</v>
      </c>
      <c r="F81" t="s">
        <v>41</v>
      </c>
      <c r="G81" t="s">
        <v>67</v>
      </c>
      <c r="H81" t="s">
        <v>27</v>
      </c>
      <c r="I81" t="s">
        <v>57</v>
      </c>
      <c r="J81" t="s">
        <v>104</v>
      </c>
      <c r="K81">
        <v>1</v>
      </c>
      <c r="L81">
        <v>122644</v>
      </c>
      <c r="M81">
        <v>0.107</v>
      </c>
      <c r="N81">
        <v>122644</v>
      </c>
      <c r="O81">
        <v>13122.91</v>
      </c>
      <c r="P81">
        <v>109521.09</v>
      </c>
      <c r="Q81">
        <v>2</v>
      </c>
      <c r="R81">
        <v>146</v>
      </c>
      <c r="S81">
        <v>4.5999999999999996</v>
      </c>
      <c r="T81">
        <v>4</v>
      </c>
      <c r="U81">
        <v>5</v>
      </c>
    </row>
    <row r="82" spans="1:21" x14ac:dyDescent="0.3">
      <c r="A82" t="s">
        <v>181</v>
      </c>
      <c r="B82" s="2">
        <v>45893</v>
      </c>
      <c r="C82" t="s">
        <v>87</v>
      </c>
      <c r="D82" t="s">
        <v>130</v>
      </c>
      <c r="E82" t="s">
        <v>24</v>
      </c>
      <c r="F82" t="s">
        <v>74</v>
      </c>
      <c r="G82" t="s">
        <v>56</v>
      </c>
      <c r="H82" t="s">
        <v>53</v>
      </c>
      <c r="I82" t="s">
        <v>28</v>
      </c>
      <c r="J82" t="s">
        <v>85</v>
      </c>
      <c r="K82">
        <v>2</v>
      </c>
      <c r="L82">
        <v>116854</v>
      </c>
      <c r="M82">
        <v>0.11799999999999999</v>
      </c>
      <c r="N82">
        <v>233708</v>
      </c>
      <c r="O82">
        <v>27577.54</v>
      </c>
      <c r="P82">
        <v>206130.46</v>
      </c>
      <c r="Q82">
        <v>4</v>
      </c>
      <c r="R82">
        <v>161</v>
      </c>
      <c r="S82">
        <v>3.3</v>
      </c>
      <c r="T82">
        <v>6</v>
      </c>
      <c r="U82">
        <v>2</v>
      </c>
    </row>
    <row r="83" spans="1:21" x14ac:dyDescent="0.3">
      <c r="A83" t="s">
        <v>182</v>
      </c>
      <c r="B83" s="2">
        <v>45981</v>
      </c>
      <c r="C83" t="s">
        <v>87</v>
      </c>
      <c r="D83" t="s">
        <v>88</v>
      </c>
      <c r="E83" t="s">
        <v>46</v>
      </c>
      <c r="F83" t="s">
        <v>25</v>
      </c>
      <c r="G83" t="s">
        <v>56</v>
      </c>
      <c r="H83" t="s">
        <v>27</v>
      </c>
      <c r="I83" t="s">
        <v>28</v>
      </c>
      <c r="J83" t="s">
        <v>85</v>
      </c>
      <c r="K83">
        <v>2</v>
      </c>
      <c r="L83">
        <v>153371</v>
      </c>
      <c r="M83">
        <v>4.8000000000000001E-2</v>
      </c>
      <c r="N83">
        <v>306742</v>
      </c>
      <c r="O83">
        <v>14723.62</v>
      </c>
      <c r="P83">
        <v>292018.38</v>
      </c>
      <c r="Q83">
        <v>5</v>
      </c>
      <c r="R83">
        <v>188</v>
      </c>
      <c r="S83">
        <v>4</v>
      </c>
      <c r="T83">
        <v>12</v>
      </c>
      <c r="U83">
        <v>3</v>
      </c>
    </row>
    <row r="84" spans="1:21" x14ac:dyDescent="0.3">
      <c r="A84" t="s">
        <v>183</v>
      </c>
      <c r="B84" s="2">
        <v>45990</v>
      </c>
      <c r="C84" t="s">
        <v>39</v>
      </c>
      <c r="D84" t="s">
        <v>154</v>
      </c>
      <c r="E84" t="s">
        <v>24</v>
      </c>
      <c r="F84" t="s">
        <v>101</v>
      </c>
      <c r="G84" t="s">
        <v>56</v>
      </c>
      <c r="H84" t="s">
        <v>27</v>
      </c>
      <c r="I84" t="s">
        <v>57</v>
      </c>
      <c r="J84" t="s">
        <v>157</v>
      </c>
      <c r="K84">
        <v>5</v>
      </c>
      <c r="L84">
        <v>187932</v>
      </c>
      <c r="M84">
        <v>2.5999999999999999E-2</v>
      </c>
      <c r="N84">
        <v>939660</v>
      </c>
      <c r="O84">
        <v>24431.16</v>
      </c>
      <c r="P84">
        <v>915228.84</v>
      </c>
      <c r="Q84">
        <v>3</v>
      </c>
      <c r="R84">
        <v>158</v>
      </c>
      <c r="S84">
        <v>4.4000000000000004</v>
      </c>
      <c r="T84">
        <v>4</v>
      </c>
      <c r="U84">
        <v>2</v>
      </c>
    </row>
    <row r="85" spans="1:21" x14ac:dyDescent="0.3">
      <c r="A85" t="s">
        <v>184</v>
      </c>
      <c r="B85" s="2">
        <v>45916</v>
      </c>
      <c r="C85" t="s">
        <v>76</v>
      </c>
      <c r="D85" t="s">
        <v>77</v>
      </c>
      <c r="E85" t="s">
        <v>62</v>
      </c>
      <c r="F85" t="s">
        <v>101</v>
      </c>
      <c r="G85" t="s">
        <v>56</v>
      </c>
      <c r="H85" t="s">
        <v>27</v>
      </c>
      <c r="I85" t="s">
        <v>48</v>
      </c>
      <c r="J85" t="s">
        <v>49</v>
      </c>
      <c r="K85">
        <v>3</v>
      </c>
      <c r="L85">
        <v>152555</v>
      </c>
      <c r="M85">
        <v>8.3000000000000004E-2</v>
      </c>
      <c r="N85">
        <v>457665</v>
      </c>
      <c r="O85">
        <v>37986.19</v>
      </c>
      <c r="P85">
        <v>419678.81</v>
      </c>
      <c r="Q85">
        <v>3</v>
      </c>
      <c r="R85">
        <v>194</v>
      </c>
      <c r="S85">
        <v>4.3</v>
      </c>
      <c r="T85">
        <v>2</v>
      </c>
      <c r="U85">
        <v>2</v>
      </c>
    </row>
    <row r="86" spans="1:21" x14ac:dyDescent="0.3">
      <c r="A86" t="s">
        <v>185</v>
      </c>
      <c r="B86" s="2">
        <v>45817</v>
      </c>
      <c r="C86" t="s">
        <v>76</v>
      </c>
      <c r="D86" t="s">
        <v>117</v>
      </c>
      <c r="E86" t="s">
        <v>46</v>
      </c>
      <c r="F86" t="s">
        <v>33</v>
      </c>
      <c r="G86" t="s">
        <v>67</v>
      </c>
      <c r="H86" t="s">
        <v>27</v>
      </c>
      <c r="I86" t="s">
        <v>36</v>
      </c>
      <c r="J86" t="s">
        <v>83</v>
      </c>
      <c r="K86">
        <v>1</v>
      </c>
      <c r="L86">
        <v>138673</v>
      </c>
      <c r="M86">
        <v>9.5000000000000001E-2</v>
      </c>
      <c r="N86">
        <v>138673</v>
      </c>
      <c r="O86">
        <v>13173.93</v>
      </c>
      <c r="P86">
        <v>125499.07</v>
      </c>
      <c r="Q86">
        <v>2</v>
      </c>
      <c r="R86">
        <v>119</v>
      </c>
      <c r="S86">
        <v>3.7</v>
      </c>
      <c r="T86">
        <v>12</v>
      </c>
      <c r="U86">
        <v>2</v>
      </c>
    </row>
    <row r="87" spans="1:21" x14ac:dyDescent="0.3">
      <c r="A87" t="s">
        <v>186</v>
      </c>
      <c r="B87" s="2">
        <v>45697</v>
      </c>
      <c r="C87" t="s">
        <v>76</v>
      </c>
      <c r="D87" t="s">
        <v>117</v>
      </c>
      <c r="E87" t="s">
        <v>46</v>
      </c>
      <c r="F87" t="s">
        <v>74</v>
      </c>
      <c r="G87" t="s">
        <v>26</v>
      </c>
      <c r="H87" t="s">
        <v>53</v>
      </c>
      <c r="I87" t="s">
        <v>28</v>
      </c>
      <c r="J87" t="s">
        <v>104</v>
      </c>
      <c r="K87">
        <v>5</v>
      </c>
      <c r="L87">
        <v>140795</v>
      </c>
      <c r="M87">
        <v>4.8000000000000001E-2</v>
      </c>
      <c r="N87">
        <v>703975</v>
      </c>
      <c r="O87">
        <v>33790.800000000003</v>
      </c>
      <c r="P87">
        <v>670184.19999999995</v>
      </c>
      <c r="Q87">
        <v>3</v>
      </c>
      <c r="R87">
        <v>164</v>
      </c>
      <c r="S87">
        <v>3.8</v>
      </c>
      <c r="T87">
        <v>6</v>
      </c>
      <c r="U87">
        <v>2</v>
      </c>
    </row>
    <row r="88" spans="1:21" x14ac:dyDescent="0.3">
      <c r="A88" t="s">
        <v>187</v>
      </c>
      <c r="B88" s="2">
        <v>45980</v>
      </c>
      <c r="C88" t="s">
        <v>39</v>
      </c>
      <c r="D88" t="s">
        <v>154</v>
      </c>
      <c r="E88" t="s">
        <v>62</v>
      </c>
      <c r="F88" t="s">
        <v>70</v>
      </c>
      <c r="G88" t="s">
        <v>67</v>
      </c>
      <c r="H88" t="s">
        <v>35</v>
      </c>
      <c r="I88" t="s">
        <v>94</v>
      </c>
      <c r="J88" t="s">
        <v>37</v>
      </c>
      <c r="K88">
        <v>1</v>
      </c>
      <c r="L88">
        <v>186286</v>
      </c>
      <c r="M88">
        <v>7.6999999999999999E-2</v>
      </c>
      <c r="N88">
        <v>186286</v>
      </c>
      <c r="O88">
        <v>14344.02</v>
      </c>
      <c r="P88">
        <v>171941.98</v>
      </c>
      <c r="Q88">
        <v>3</v>
      </c>
      <c r="R88">
        <v>166</v>
      </c>
      <c r="S88">
        <v>4.2</v>
      </c>
      <c r="T88">
        <v>9</v>
      </c>
      <c r="U88">
        <v>2</v>
      </c>
    </row>
    <row r="89" spans="1:21" x14ac:dyDescent="0.3">
      <c r="A89" t="s">
        <v>188</v>
      </c>
      <c r="B89" s="2">
        <v>46013</v>
      </c>
      <c r="C89" t="s">
        <v>60</v>
      </c>
      <c r="D89" t="s">
        <v>61</v>
      </c>
      <c r="E89" t="s">
        <v>24</v>
      </c>
      <c r="F89" t="s">
        <v>66</v>
      </c>
      <c r="G89" t="s">
        <v>56</v>
      </c>
      <c r="H89" t="s">
        <v>27</v>
      </c>
      <c r="I89" t="s">
        <v>36</v>
      </c>
      <c r="J89" t="s">
        <v>29</v>
      </c>
      <c r="K89">
        <v>2</v>
      </c>
      <c r="L89">
        <v>120218</v>
      </c>
      <c r="M89">
        <v>3.5999999999999997E-2</v>
      </c>
      <c r="N89">
        <v>240436</v>
      </c>
      <c r="O89">
        <v>8655.7000000000007</v>
      </c>
      <c r="P89">
        <v>231780.3</v>
      </c>
      <c r="Q89">
        <v>5</v>
      </c>
      <c r="R89">
        <v>197</v>
      </c>
      <c r="S89">
        <v>4.2</v>
      </c>
      <c r="T89">
        <v>12</v>
      </c>
      <c r="U89">
        <v>2</v>
      </c>
    </row>
    <row r="90" spans="1:21" x14ac:dyDescent="0.3">
      <c r="A90" t="s">
        <v>189</v>
      </c>
      <c r="B90" s="2">
        <v>45669</v>
      </c>
      <c r="C90" t="s">
        <v>87</v>
      </c>
      <c r="D90" t="s">
        <v>130</v>
      </c>
      <c r="E90" t="s">
        <v>62</v>
      </c>
      <c r="F90" t="s">
        <v>80</v>
      </c>
      <c r="G90" t="s">
        <v>56</v>
      </c>
      <c r="H90" t="s">
        <v>27</v>
      </c>
      <c r="I90" t="s">
        <v>48</v>
      </c>
      <c r="J90" t="s">
        <v>148</v>
      </c>
      <c r="K90">
        <v>1</v>
      </c>
      <c r="L90">
        <v>107820</v>
      </c>
      <c r="M90">
        <v>8.2000000000000003E-2</v>
      </c>
      <c r="N90">
        <v>107820</v>
      </c>
      <c r="O90">
        <v>8841.24</v>
      </c>
      <c r="P90">
        <v>98978.76</v>
      </c>
      <c r="Q90">
        <v>5</v>
      </c>
      <c r="R90">
        <v>183</v>
      </c>
      <c r="S90">
        <v>4.4000000000000004</v>
      </c>
      <c r="T90">
        <v>13</v>
      </c>
      <c r="U90">
        <v>2</v>
      </c>
    </row>
    <row r="91" spans="1:21" x14ac:dyDescent="0.3">
      <c r="A91" t="s">
        <v>190</v>
      </c>
      <c r="B91" s="2">
        <v>45976</v>
      </c>
      <c r="C91" t="s">
        <v>31</v>
      </c>
      <c r="D91" t="s">
        <v>32</v>
      </c>
      <c r="E91" t="s">
        <v>46</v>
      </c>
      <c r="F91" t="s">
        <v>80</v>
      </c>
      <c r="G91" t="s">
        <v>67</v>
      </c>
      <c r="H91" t="s">
        <v>27</v>
      </c>
      <c r="I91" t="s">
        <v>28</v>
      </c>
      <c r="J91" t="s">
        <v>64</v>
      </c>
      <c r="K91">
        <v>1</v>
      </c>
      <c r="L91">
        <v>106164</v>
      </c>
      <c r="M91">
        <v>9.5000000000000001E-2</v>
      </c>
      <c r="N91">
        <v>106164</v>
      </c>
      <c r="O91">
        <v>10085.58</v>
      </c>
      <c r="P91">
        <v>96078.42</v>
      </c>
      <c r="Q91">
        <v>4</v>
      </c>
      <c r="R91">
        <v>188</v>
      </c>
      <c r="S91">
        <v>3.8</v>
      </c>
      <c r="T91">
        <v>5</v>
      </c>
      <c r="U91">
        <v>5</v>
      </c>
    </row>
    <row r="92" spans="1:21" x14ac:dyDescent="0.3">
      <c r="A92" t="s">
        <v>191</v>
      </c>
      <c r="B92" s="2">
        <v>45777</v>
      </c>
      <c r="C92" t="s">
        <v>87</v>
      </c>
      <c r="D92" t="s">
        <v>88</v>
      </c>
      <c r="E92" t="s">
        <v>46</v>
      </c>
      <c r="F92" t="s">
        <v>74</v>
      </c>
      <c r="G92" t="s">
        <v>26</v>
      </c>
      <c r="H92" t="s">
        <v>35</v>
      </c>
      <c r="I92" t="s">
        <v>63</v>
      </c>
      <c r="J92" t="s">
        <v>138</v>
      </c>
      <c r="K92">
        <v>1</v>
      </c>
      <c r="L92">
        <v>159302</v>
      </c>
      <c r="M92">
        <v>0.11700000000000001</v>
      </c>
      <c r="N92">
        <v>159302</v>
      </c>
      <c r="O92">
        <v>18638.330000000002</v>
      </c>
      <c r="P92">
        <v>140663.67000000001</v>
      </c>
      <c r="Q92">
        <v>5</v>
      </c>
      <c r="R92">
        <v>193</v>
      </c>
      <c r="S92">
        <v>4.3</v>
      </c>
      <c r="T92">
        <v>14</v>
      </c>
      <c r="U92">
        <v>5</v>
      </c>
    </row>
    <row r="93" spans="1:21" x14ac:dyDescent="0.3">
      <c r="A93" t="s">
        <v>192</v>
      </c>
      <c r="B93" s="2">
        <v>45683</v>
      </c>
      <c r="C93" t="s">
        <v>99</v>
      </c>
      <c r="D93" t="s">
        <v>121</v>
      </c>
      <c r="E93" t="s">
        <v>62</v>
      </c>
      <c r="F93" t="s">
        <v>41</v>
      </c>
      <c r="G93" t="s">
        <v>34</v>
      </c>
      <c r="H93" t="s">
        <v>27</v>
      </c>
      <c r="I93" t="s">
        <v>28</v>
      </c>
      <c r="J93" t="s">
        <v>81</v>
      </c>
      <c r="K93">
        <v>1</v>
      </c>
      <c r="L93">
        <v>105587</v>
      </c>
      <c r="M93">
        <v>0.114</v>
      </c>
      <c r="N93">
        <v>105587</v>
      </c>
      <c r="O93">
        <v>12036.92</v>
      </c>
      <c r="P93">
        <v>93550.080000000002</v>
      </c>
      <c r="Q93">
        <v>2</v>
      </c>
      <c r="R93">
        <v>147</v>
      </c>
      <c r="S93">
        <v>4.5999999999999996</v>
      </c>
      <c r="T93">
        <v>14</v>
      </c>
      <c r="U93">
        <v>2</v>
      </c>
    </row>
    <row r="94" spans="1:21" x14ac:dyDescent="0.3">
      <c r="A94" t="s">
        <v>193</v>
      </c>
      <c r="B94" s="2">
        <v>45684</v>
      </c>
      <c r="C94" t="s">
        <v>87</v>
      </c>
      <c r="D94" t="s">
        <v>130</v>
      </c>
      <c r="E94" t="s">
        <v>62</v>
      </c>
      <c r="F94" t="s">
        <v>47</v>
      </c>
      <c r="G94" t="s">
        <v>67</v>
      </c>
      <c r="H94" t="s">
        <v>35</v>
      </c>
      <c r="I94" t="s">
        <v>57</v>
      </c>
      <c r="J94" t="s">
        <v>37</v>
      </c>
      <c r="K94">
        <v>4</v>
      </c>
      <c r="L94">
        <v>118233</v>
      </c>
      <c r="M94">
        <v>2.3E-2</v>
      </c>
      <c r="N94">
        <v>472932</v>
      </c>
      <c r="O94">
        <v>10877.44</v>
      </c>
      <c r="P94">
        <v>462054.56</v>
      </c>
      <c r="Q94">
        <v>4</v>
      </c>
      <c r="R94">
        <v>159</v>
      </c>
      <c r="S94">
        <v>3.8</v>
      </c>
      <c r="T94">
        <v>11</v>
      </c>
      <c r="U94">
        <v>3</v>
      </c>
    </row>
    <row r="95" spans="1:21" x14ac:dyDescent="0.3">
      <c r="A95" t="s">
        <v>194</v>
      </c>
      <c r="B95" s="2">
        <v>45931</v>
      </c>
      <c r="C95" t="s">
        <v>31</v>
      </c>
      <c r="D95" t="s">
        <v>32</v>
      </c>
      <c r="E95" t="s">
        <v>24</v>
      </c>
      <c r="F95" t="s">
        <v>41</v>
      </c>
      <c r="G95" t="s">
        <v>56</v>
      </c>
      <c r="H95" t="s">
        <v>35</v>
      </c>
      <c r="I95" t="s">
        <v>94</v>
      </c>
      <c r="J95" t="s">
        <v>175</v>
      </c>
      <c r="K95">
        <v>4</v>
      </c>
      <c r="L95">
        <v>110687</v>
      </c>
      <c r="M95">
        <v>0.11700000000000001</v>
      </c>
      <c r="N95">
        <v>442748</v>
      </c>
      <c r="O95">
        <v>51801.52</v>
      </c>
      <c r="P95">
        <v>390946.48</v>
      </c>
      <c r="Q95">
        <v>3</v>
      </c>
      <c r="R95">
        <v>168</v>
      </c>
      <c r="S95">
        <v>4.3</v>
      </c>
      <c r="T95">
        <v>12</v>
      </c>
      <c r="U95">
        <v>3</v>
      </c>
    </row>
    <row r="96" spans="1:21" x14ac:dyDescent="0.3">
      <c r="A96" t="s">
        <v>195</v>
      </c>
      <c r="B96" s="2">
        <v>45973</v>
      </c>
      <c r="C96" t="s">
        <v>60</v>
      </c>
      <c r="D96" t="s">
        <v>61</v>
      </c>
      <c r="E96" t="s">
        <v>24</v>
      </c>
      <c r="F96" t="s">
        <v>70</v>
      </c>
      <c r="G96" t="s">
        <v>34</v>
      </c>
      <c r="H96" t="s">
        <v>35</v>
      </c>
      <c r="I96" t="s">
        <v>28</v>
      </c>
      <c r="J96" t="s">
        <v>109</v>
      </c>
      <c r="K96">
        <v>5</v>
      </c>
      <c r="L96">
        <v>111085</v>
      </c>
      <c r="M96">
        <v>6.6000000000000003E-2</v>
      </c>
      <c r="N96">
        <v>555425</v>
      </c>
      <c r="O96">
        <v>36658.050000000003</v>
      </c>
      <c r="P96">
        <v>518766.95</v>
      </c>
      <c r="Q96">
        <v>2</v>
      </c>
      <c r="R96">
        <v>165</v>
      </c>
      <c r="S96">
        <v>4.8</v>
      </c>
      <c r="T96">
        <v>5</v>
      </c>
      <c r="U96">
        <v>2</v>
      </c>
    </row>
    <row r="97" spans="1:21" x14ac:dyDescent="0.3">
      <c r="A97" t="s">
        <v>196</v>
      </c>
      <c r="B97" s="2">
        <v>46001</v>
      </c>
      <c r="C97" t="s">
        <v>60</v>
      </c>
      <c r="D97" t="s">
        <v>69</v>
      </c>
      <c r="E97" t="s">
        <v>46</v>
      </c>
      <c r="F97" t="s">
        <v>70</v>
      </c>
      <c r="G97" t="s">
        <v>67</v>
      </c>
      <c r="H97" t="s">
        <v>27</v>
      </c>
      <c r="I97" t="s">
        <v>57</v>
      </c>
      <c r="J97" t="s">
        <v>197</v>
      </c>
      <c r="K97">
        <v>1</v>
      </c>
      <c r="L97">
        <v>113169</v>
      </c>
      <c r="M97">
        <v>3.5000000000000003E-2</v>
      </c>
      <c r="N97">
        <v>113169</v>
      </c>
      <c r="O97">
        <v>3960.92</v>
      </c>
      <c r="P97">
        <v>109208.08</v>
      </c>
      <c r="Q97">
        <v>3</v>
      </c>
      <c r="R97">
        <v>152</v>
      </c>
      <c r="S97">
        <v>4.8</v>
      </c>
      <c r="T97">
        <v>7</v>
      </c>
      <c r="U97">
        <v>5</v>
      </c>
    </row>
    <row r="98" spans="1:21" x14ac:dyDescent="0.3">
      <c r="A98" t="s">
        <v>198</v>
      </c>
      <c r="B98" s="2">
        <v>45836</v>
      </c>
      <c r="C98" t="s">
        <v>39</v>
      </c>
      <c r="D98" t="s">
        <v>154</v>
      </c>
      <c r="E98" t="s">
        <v>24</v>
      </c>
      <c r="F98" t="s">
        <v>52</v>
      </c>
      <c r="G98" t="s">
        <v>34</v>
      </c>
      <c r="H98" t="s">
        <v>27</v>
      </c>
      <c r="I98" t="s">
        <v>36</v>
      </c>
      <c r="J98" t="s">
        <v>64</v>
      </c>
      <c r="K98">
        <v>1</v>
      </c>
      <c r="L98">
        <v>175299</v>
      </c>
      <c r="M98">
        <v>0.11899999999999999</v>
      </c>
      <c r="N98">
        <v>175299</v>
      </c>
      <c r="O98">
        <v>20860.580000000002</v>
      </c>
      <c r="P98">
        <v>154438.42000000001</v>
      </c>
      <c r="Q98">
        <v>3</v>
      </c>
      <c r="R98">
        <v>192</v>
      </c>
      <c r="T98">
        <v>5</v>
      </c>
      <c r="U98">
        <v>2</v>
      </c>
    </row>
    <row r="99" spans="1:21" x14ac:dyDescent="0.3">
      <c r="A99" t="s">
        <v>199</v>
      </c>
      <c r="B99" s="2">
        <v>45946</v>
      </c>
      <c r="C99" t="s">
        <v>200</v>
      </c>
      <c r="D99" t="s">
        <v>141</v>
      </c>
      <c r="E99" t="s">
        <v>62</v>
      </c>
      <c r="F99" t="s">
        <v>74</v>
      </c>
      <c r="G99" t="s">
        <v>34</v>
      </c>
      <c r="H99" t="s">
        <v>35</v>
      </c>
      <c r="I99" t="s">
        <v>94</v>
      </c>
      <c r="J99" t="s">
        <v>72</v>
      </c>
      <c r="K99">
        <v>4</v>
      </c>
      <c r="L99">
        <v>133217</v>
      </c>
      <c r="M99">
        <v>0.10199999999999999</v>
      </c>
      <c r="N99">
        <v>532868</v>
      </c>
      <c r="O99">
        <v>54352.54</v>
      </c>
      <c r="P99">
        <v>478515.46</v>
      </c>
      <c r="Q99">
        <v>3</v>
      </c>
      <c r="R99">
        <v>171</v>
      </c>
      <c r="S99">
        <v>3.7</v>
      </c>
      <c r="T99">
        <v>3</v>
      </c>
      <c r="U99">
        <v>3</v>
      </c>
    </row>
    <row r="100" spans="1:21" x14ac:dyDescent="0.3">
      <c r="A100" t="s">
        <v>201</v>
      </c>
      <c r="B100" s="2">
        <v>45666</v>
      </c>
      <c r="C100" t="s">
        <v>39</v>
      </c>
      <c r="D100" t="s">
        <v>154</v>
      </c>
      <c r="E100" t="s">
        <v>62</v>
      </c>
      <c r="F100" t="s">
        <v>66</v>
      </c>
      <c r="G100" t="s">
        <v>56</v>
      </c>
      <c r="H100" t="s">
        <v>27</v>
      </c>
      <c r="I100" t="s">
        <v>48</v>
      </c>
      <c r="J100" t="s">
        <v>109</v>
      </c>
      <c r="K100">
        <v>5</v>
      </c>
      <c r="L100">
        <v>170509</v>
      </c>
      <c r="M100">
        <v>7.3999999999999996E-2</v>
      </c>
      <c r="N100">
        <v>852545</v>
      </c>
      <c r="O100">
        <v>63088.33</v>
      </c>
      <c r="P100">
        <v>789456.67</v>
      </c>
      <c r="Q100">
        <v>4</v>
      </c>
      <c r="R100">
        <v>186</v>
      </c>
      <c r="S100">
        <v>4.4000000000000004</v>
      </c>
      <c r="T100">
        <v>5</v>
      </c>
      <c r="U100">
        <v>3</v>
      </c>
    </row>
    <row r="101" spans="1:21" x14ac:dyDescent="0.3">
      <c r="A101" t="s">
        <v>202</v>
      </c>
      <c r="B101" s="2">
        <v>45660</v>
      </c>
      <c r="C101" t="s">
        <v>99</v>
      </c>
      <c r="D101" t="s">
        <v>121</v>
      </c>
      <c r="E101" t="s">
        <v>62</v>
      </c>
      <c r="F101" t="s">
        <v>101</v>
      </c>
      <c r="G101" t="s">
        <v>56</v>
      </c>
      <c r="H101" t="s">
        <v>35</v>
      </c>
      <c r="I101" t="s">
        <v>28</v>
      </c>
      <c r="J101" t="s">
        <v>203</v>
      </c>
      <c r="K101">
        <v>1</v>
      </c>
      <c r="L101">
        <v>101110</v>
      </c>
      <c r="M101">
        <v>6.4000000000000001E-2</v>
      </c>
      <c r="N101">
        <v>101110</v>
      </c>
      <c r="O101">
        <v>6471.04</v>
      </c>
      <c r="P101">
        <v>94638.96</v>
      </c>
      <c r="Q101">
        <v>4</v>
      </c>
      <c r="R101">
        <v>202</v>
      </c>
      <c r="S101">
        <v>4.5999999999999996</v>
      </c>
      <c r="T101">
        <v>10</v>
      </c>
      <c r="U101">
        <v>2</v>
      </c>
    </row>
    <row r="102" spans="1:21" x14ac:dyDescent="0.3">
      <c r="A102" t="s">
        <v>204</v>
      </c>
      <c r="B102" s="2">
        <v>45878</v>
      </c>
      <c r="C102" t="s">
        <v>60</v>
      </c>
      <c r="D102" t="s">
        <v>61</v>
      </c>
      <c r="E102" t="s">
        <v>62</v>
      </c>
      <c r="F102" t="s">
        <v>33</v>
      </c>
      <c r="G102" t="s">
        <v>34</v>
      </c>
      <c r="H102" t="s">
        <v>27</v>
      </c>
      <c r="I102" t="s">
        <v>63</v>
      </c>
      <c r="J102" t="s">
        <v>72</v>
      </c>
      <c r="K102">
        <v>3</v>
      </c>
      <c r="L102">
        <v>118705</v>
      </c>
      <c r="M102">
        <v>7.0000000000000007E-2</v>
      </c>
      <c r="N102">
        <v>356115</v>
      </c>
      <c r="O102">
        <v>24928.05</v>
      </c>
      <c r="P102">
        <v>331186.95</v>
      </c>
      <c r="Q102">
        <v>4</v>
      </c>
      <c r="R102">
        <v>170</v>
      </c>
      <c r="S102">
        <v>4.4000000000000004</v>
      </c>
      <c r="T102">
        <v>9</v>
      </c>
      <c r="U102">
        <v>2</v>
      </c>
    </row>
    <row r="103" spans="1:21" x14ac:dyDescent="0.3">
      <c r="A103" t="s">
        <v>205</v>
      </c>
      <c r="B103" s="2">
        <v>45864</v>
      </c>
      <c r="C103" t="s">
        <v>60</v>
      </c>
      <c r="D103" t="s">
        <v>69</v>
      </c>
      <c r="E103" t="s">
        <v>24</v>
      </c>
      <c r="F103" t="s">
        <v>74</v>
      </c>
      <c r="G103" t="s">
        <v>56</v>
      </c>
      <c r="H103" t="s">
        <v>53</v>
      </c>
      <c r="I103" t="s">
        <v>36</v>
      </c>
      <c r="J103" t="s">
        <v>157</v>
      </c>
      <c r="K103">
        <v>1</v>
      </c>
      <c r="L103">
        <v>105500</v>
      </c>
      <c r="M103">
        <v>0.107</v>
      </c>
      <c r="N103">
        <v>105500</v>
      </c>
      <c r="O103">
        <v>11288.5</v>
      </c>
      <c r="P103">
        <v>94211.5</v>
      </c>
      <c r="Q103">
        <v>4</v>
      </c>
      <c r="R103">
        <v>176</v>
      </c>
      <c r="S103">
        <v>4.8</v>
      </c>
      <c r="T103">
        <v>5</v>
      </c>
      <c r="U103">
        <v>3</v>
      </c>
    </row>
    <row r="104" spans="1:21" x14ac:dyDescent="0.3">
      <c r="A104" t="s">
        <v>206</v>
      </c>
      <c r="B104" s="2">
        <v>45885</v>
      </c>
      <c r="C104" t="s">
        <v>60</v>
      </c>
      <c r="D104" t="s">
        <v>61</v>
      </c>
      <c r="E104" t="s">
        <v>46</v>
      </c>
      <c r="F104" t="s">
        <v>47</v>
      </c>
      <c r="G104" t="s">
        <v>34</v>
      </c>
      <c r="H104" t="s">
        <v>53</v>
      </c>
      <c r="I104" t="s">
        <v>57</v>
      </c>
      <c r="J104" t="s">
        <v>72</v>
      </c>
      <c r="K104">
        <v>4</v>
      </c>
      <c r="L104">
        <v>122601</v>
      </c>
      <c r="M104">
        <v>6.2E-2</v>
      </c>
      <c r="N104">
        <v>490404</v>
      </c>
      <c r="O104">
        <v>30405.05</v>
      </c>
      <c r="P104">
        <v>459998.95</v>
      </c>
      <c r="Q104">
        <v>3</v>
      </c>
      <c r="R104">
        <v>173</v>
      </c>
      <c r="S104">
        <v>4.2</v>
      </c>
      <c r="T104">
        <v>13</v>
      </c>
      <c r="U104">
        <v>5</v>
      </c>
    </row>
    <row r="105" spans="1:21" x14ac:dyDescent="0.3">
      <c r="A105" t="s">
        <v>207</v>
      </c>
      <c r="B105" s="2">
        <v>45744</v>
      </c>
      <c r="C105" t="s">
        <v>99</v>
      </c>
      <c r="D105" t="s">
        <v>100</v>
      </c>
      <c r="E105" t="s">
        <v>62</v>
      </c>
      <c r="F105" t="s">
        <v>52</v>
      </c>
      <c r="G105" t="s">
        <v>56</v>
      </c>
      <c r="H105" t="s">
        <v>53</v>
      </c>
      <c r="I105" t="s">
        <v>36</v>
      </c>
      <c r="J105" t="s">
        <v>29</v>
      </c>
      <c r="K105">
        <v>2</v>
      </c>
      <c r="L105">
        <v>114102</v>
      </c>
      <c r="M105">
        <v>7.0999999999999994E-2</v>
      </c>
      <c r="N105">
        <v>228204</v>
      </c>
      <c r="O105">
        <v>16202.48</v>
      </c>
      <c r="P105">
        <v>212001.52</v>
      </c>
      <c r="Q105">
        <v>3</v>
      </c>
      <c r="R105">
        <v>162</v>
      </c>
      <c r="S105">
        <v>3.8</v>
      </c>
      <c r="T105">
        <v>7</v>
      </c>
      <c r="U105">
        <v>2</v>
      </c>
    </row>
    <row r="106" spans="1:21" x14ac:dyDescent="0.3">
      <c r="A106" t="s">
        <v>208</v>
      </c>
      <c r="B106" s="2">
        <v>45802</v>
      </c>
      <c r="C106" t="s">
        <v>22</v>
      </c>
      <c r="D106" t="s">
        <v>23</v>
      </c>
      <c r="E106" t="s">
        <v>62</v>
      </c>
      <c r="F106" t="s">
        <v>101</v>
      </c>
      <c r="G106" t="s">
        <v>56</v>
      </c>
      <c r="H106" t="s">
        <v>27</v>
      </c>
      <c r="I106" t="s">
        <v>28</v>
      </c>
      <c r="J106" t="s">
        <v>89</v>
      </c>
      <c r="K106">
        <v>1</v>
      </c>
      <c r="L106">
        <v>129086</v>
      </c>
      <c r="M106">
        <v>4.5999999999999999E-2</v>
      </c>
      <c r="N106">
        <v>129086</v>
      </c>
      <c r="O106">
        <v>5937.96</v>
      </c>
      <c r="P106">
        <v>123148.04</v>
      </c>
      <c r="Q106">
        <v>4</v>
      </c>
      <c r="R106">
        <v>195</v>
      </c>
      <c r="S106">
        <v>3.8</v>
      </c>
      <c r="T106">
        <v>9</v>
      </c>
      <c r="U106">
        <v>2</v>
      </c>
    </row>
    <row r="107" spans="1:21" x14ac:dyDescent="0.3">
      <c r="A107" t="s">
        <v>209</v>
      </c>
      <c r="B107" s="2">
        <v>45923</v>
      </c>
      <c r="C107" t="s">
        <v>99</v>
      </c>
      <c r="D107" t="s">
        <v>141</v>
      </c>
      <c r="E107" t="s">
        <v>62</v>
      </c>
      <c r="F107" t="s">
        <v>25</v>
      </c>
      <c r="G107" t="s">
        <v>34</v>
      </c>
      <c r="H107" t="s">
        <v>53</v>
      </c>
      <c r="I107" t="s">
        <v>57</v>
      </c>
      <c r="J107" t="s">
        <v>92</v>
      </c>
      <c r="K107">
        <v>2</v>
      </c>
      <c r="L107">
        <v>134456</v>
      </c>
      <c r="M107">
        <v>6.5000000000000002E-2</v>
      </c>
      <c r="N107">
        <v>268912</v>
      </c>
      <c r="O107">
        <v>17479.28</v>
      </c>
      <c r="P107">
        <v>251432.72</v>
      </c>
      <c r="Q107">
        <v>4</v>
      </c>
      <c r="R107">
        <v>166</v>
      </c>
      <c r="S107">
        <v>3.4</v>
      </c>
      <c r="T107">
        <v>12</v>
      </c>
      <c r="U107">
        <v>2</v>
      </c>
    </row>
    <row r="108" spans="1:21" x14ac:dyDescent="0.3">
      <c r="A108" t="s">
        <v>210</v>
      </c>
      <c r="B108" s="2">
        <v>45969</v>
      </c>
      <c r="C108" t="s">
        <v>31</v>
      </c>
      <c r="D108" t="s">
        <v>32</v>
      </c>
      <c r="E108" t="s">
        <v>46</v>
      </c>
      <c r="F108" t="s">
        <v>74</v>
      </c>
      <c r="G108" t="s">
        <v>56</v>
      </c>
      <c r="H108" t="s">
        <v>35</v>
      </c>
      <c r="I108" t="s">
        <v>28</v>
      </c>
      <c r="J108" t="s">
        <v>131</v>
      </c>
      <c r="K108">
        <v>2</v>
      </c>
      <c r="L108">
        <v>116771</v>
      </c>
      <c r="M108">
        <v>4.1000000000000002E-2</v>
      </c>
      <c r="N108">
        <v>233542</v>
      </c>
      <c r="O108">
        <v>9575.2199999999993</v>
      </c>
      <c r="P108">
        <v>223966.78</v>
      </c>
      <c r="Q108">
        <v>2</v>
      </c>
      <c r="R108">
        <v>145</v>
      </c>
      <c r="S108">
        <v>4.0999999999999996</v>
      </c>
      <c r="T108">
        <v>6</v>
      </c>
      <c r="U108">
        <v>3</v>
      </c>
    </row>
    <row r="109" spans="1:21" x14ac:dyDescent="0.3">
      <c r="A109" t="s">
        <v>211</v>
      </c>
      <c r="B109" s="2">
        <v>45982</v>
      </c>
      <c r="C109" t="s">
        <v>60</v>
      </c>
      <c r="D109" t="s">
        <v>69</v>
      </c>
      <c r="E109" t="s">
        <v>24</v>
      </c>
      <c r="F109" t="s">
        <v>70</v>
      </c>
      <c r="G109" t="s">
        <v>56</v>
      </c>
      <c r="H109" t="s">
        <v>35</v>
      </c>
      <c r="I109" t="s">
        <v>63</v>
      </c>
      <c r="J109" t="s">
        <v>212</v>
      </c>
      <c r="K109">
        <v>1</v>
      </c>
      <c r="L109">
        <v>107294</v>
      </c>
      <c r="M109">
        <v>8.8999999999999996E-2</v>
      </c>
      <c r="N109">
        <v>107294</v>
      </c>
      <c r="O109">
        <v>9549.17</v>
      </c>
      <c r="P109">
        <v>97744.83</v>
      </c>
      <c r="Q109">
        <v>3</v>
      </c>
      <c r="R109">
        <v>187</v>
      </c>
      <c r="S109">
        <v>4</v>
      </c>
      <c r="T109">
        <v>3</v>
      </c>
      <c r="U109">
        <v>2</v>
      </c>
    </row>
    <row r="110" spans="1:21" x14ac:dyDescent="0.3">
      <c r="A110" t="s">
        <v>213</v>
      </c>
      <c r="B110" s="2">
        <v>45951</v>
      </c>
      <c r="C110" t="s">
        <v>22</v>
      </c>
      <c r="D110" t="s">
        <v>23</v>
      </c>
      <c r="E110" t="s">
        <v>46</v>
      </c>
      <c r="F110" t="s">
        <v>66</v>
      </c>
      <c r="G110" t="s">
        <v>34</v>
      </c>
      <c r="H110" t="s">
        <v>53</v>
      </c>
      <c r="I110" t="s">
        <v>28</v>
      </c>
      <c r="J110" t="s">
        <v>131</v>
      </c>
      <c r="K110">
        <v>1</v>
      </c>
      <c r="L110">
        <v>113303</v>
      </c>
      <c r="M110">
        <v>5.0999999999999997E-2</v>
      </c>
      <c r="N110">
        <v>113303</v>
      </c>
      <c r="O110">
        <v>5778.45</v>
      </c>
      <c r="P110">
        <v>107524.55</v>
      </c>
      <c r="Q110">
        <v>4</v>
      </c>
      <c r="R110">
        <v>189</v>
      </c>
      <c r="S110">
        <v>3.6</v>
      </c>
      <c r="T110">
        <v>3</v>
      </c>
      <c r="U110">
        <v>2</v>
      </c>
    </row>
    <row r="111" spans="1:21" x14ac:dyDescent="0.3">
      <c r="A111" t="s">
        <v>214</v>
      </c>
      <c r="B111" s="2">
        <v>45832</v>
      </c>
      <c r="C111" t="s">
        <v>22</v>
      </c>
      <c r="D111" t="s">
        <v>23</v>
      </c>
      <c r="E111" t="s">
        <v>46</v>
      </c>
      <c r="F111" t="s">
        <v>52</v>
      </c>
      <c r="G111" t="s">
        <v>67</v>
      </c>
      <c r="H111" t="s">
        <v>27</v>
      </c>
      <c r="I111" t="s">
        <v>36</v>
      </c>
      <c r="J111" t="s">
        <v>64</v>
      </c>
      <c r="K111">
        <v>2</v>
      </c>
      <c r="L111">
        <v>126880</v>
      </c>
      <c r="M111">
        <v>0.114</v>
      </c>
      <c r="N111">
        <v>253760</v>
      </c>
      <c r="O111">
        <v>28928.639999999999</v>
      </c>
      <c r="P111">
        <v>224831.35999999999</v>
      </c>
      <c r="Q111">
        <v>4</v>
      </c>
      <c r="R111">
        <v>210</v>
      </c>
      <c r="S111">
        <v>4.0999999999999996</v>
      </c>
      <c r="T111">
        <v>9</v>
      </c>
      <c r="U111">
        <v>5</v>
      </c>
    </row>
    <row r="112" spans="1:21" x14ac:dyDescent="0.3">
      <c r="A112" t="s">
        <v>215</v>
      </c>
      <c r="B112" s="2">
        <v>45944</v>
      </c>
      <c r="C112" t="s">
        <v>76</v>
      </c>
      <c r="D112" t="s">
        <v>117</v>
      </c>
      <c r="E112" t="s">
        <v>46</v>
      </c>
      <c r="F112" t="s">
        <v>70</v>
      </c>
      <c r="G112" t="s">
        <v>56</v>
      </c>
      <c r="H112" t="s">
        <v>27</v>
      </c>
      <c r="I112" t="s">
        <v>94</v>
      </c>
      <c r="J112" t="s">
        <v>216</v>
      </c>
      <c r="K112">
        <v>2</v>
      </c>
      <c r="L112">
        <v>134344</v>
      </c>
      <c r="M112">
        <v>8.5000000000000006E-2</v>
      </c>
      <c r="N112">
        <v>268688</v>
      </c>
      <c r="O112">
        <v>22838.48</v>
      </c>
      <c r="P112">
        <v>245849.52</v>
      </c>
      <c r="Q112">
        <v>2</v>
      </c>
      <c r="R112">
        <v>158</v>
      </c>
      <c r="S112">
        <v>4</v>
      </c>
      <c r="T112">
        <v>10</v>
      </c>
      <c r="U112">
        <v>2</v>
      </c>
    </row>
    <row r="113" spans="1:21" x14ac:dyDescent="0.3">
      <c r="A113" t="s">
        <v>217</v>
      </c>
      <c r="B113" s="2">
        <v>45759</v>
      </c>
      <c r="C113" t="s">
        <v>87</v>
      </c>
      <c r="D113" t="s">
        <v>88</v>
      </c>
      <c r="E113" t="s">
        <v>46</v>
      </c>
      <c r="F113" t="s">
        <v>25</v>
      </c>
      <c r="G113" t="s">
        <v>56</v>
      </c>
      <c r="H113" t="s">
        <v>53</v>
      </c>
      <c r="I113" t="s">
        <v>36</v>
      </c>
      <c r="J113" t="s">
        <v>157</v>
      </c>
      <c r="K113">
        <v>1</v>
      </c>
      <c r="L113">
        <v>159928</v>
      </c>
      <c r="M113">
        <v>0.108</v>
      </c>
      <c r="N113">
        <v>159928</v>
      </c>
      <c r="O113">
        <v>17272.22</v>
      </c>
      <c r="P113">
        <v>142655.78</v>
      </c>
      <c r="Q113">
        <v>3</v>
      </c>
      <c r="R113">
        <v>160</v>
      </c>
      <c r="S113">
        <v>4.5</v>
      </c>
      <c r="T113">
        <v>7</v>
      </c>
      <c r="U113">
        <v>5</v>
      </c>
    </row>
    <row r="114" spans="1:21" x14ac:dyDescent="0.3">
      <c r="A114" t="s">
        <v>218</v>
      </c>
      <c r="B114" s="2">
        <v>45973</v>
      </c>
      <c r="C114" t="s">
        <v>22</v>
      </c>
      <c r="D114" t="s">
        <v>107</v>
      </c>
      <c r="E114" t="s">
        <v>24</v>
      </c>
      <c r="F114" t="s">
        <v>101</v>
      </c>
      <c r="G114" t="s">
        <v>26</v>
      </c>
      <c r="H114" t="s">
        <v>27</v>
      </c>
      <c r="I114" t="s">
        <v>57</v>
      </c>
      <c r="J114" t="s">
        <v>72</v>
      </c>
      <c r="K114">
        <v>2</v>
      </c>
      <c r="L114">
        <v>143291</v>
      </c>
      <c r="M114">
        <v>7.4999999999999997E-2</v>
      </c>
      <c r="N114">
        <v>286582</v>
      </c>
      <c r="O114">
        <v>21493.65</v>
      </c>
      <c r="P114">
        <v>265088.34999999998</v>
      </c>
      <c r="Q114">
        <v>3</v>
      </c>
      <c r="R114">
        <v>164</v>
      </c>
      <c r="S114">
        <v>4</v>
      </c>
      <c r="T114">
        <v>9</v>
      </c>
      <c r="U114">
        <v>3</v>
      </c>
    </row>
    <row r="115" spans="1:21" x14ac:dyDescent="0.3">
      <c r="A115" t="s">
        <v>219</v>
      </c>
      <c r="B115" s="2">
        <v>45985</v>
      </c>
      <c r="C115" t="s">
        <v>60</v>
      </c>
      <c r="D115" t="s">
        <v>61</v>
      </c>
      <c r="E115" t="s">
        <v>62</v>
      </c>
      <c r="F115" t="s">
        <v>66</v>
      </c>
      <c r="G115" t="s">
        <v>26</v>
      </c>
      <c r="H115" t="s">
        <v>27</v>
      </c>
      <c r="I115" t="s">
        <v>48</v>
      </c>
      <c r="J115" t="s">
        <v>175</v>
      </c>
      <c r="K115">
        <v>2</v>
      </c>
      <c r="L115">
        <v>115814</v>
      </c>
      <c r="M115">
        <v>2.3E-2</v>
      </c>
      <c r="N115">
        <v>231628</v>
      </c>
      <c r="O115">
        <v>5327.44</v>
      </c>
      <c r="P115">
        <v>226300.56</v>
      </c>
      <c r="Q115">
        <v>3</v>
      </c>
      <c r="R115">
        <v>147</v>
      </c>
      <c r="S115">
        <v>3.4</v>
      </c>
      <c r="T115">
        <v>6</v>
      </c>
      <c r="U115">
        <v>5</v>
      </c>
    </row>
    <row r="116" spans="1:21" x14ac:dyDescent="0.3">
      <c r="A116" t="s">
        <v>220</v>
      </c>
      <c r="B116" s="2">
        <v>45678</v>
      </c>
      <c r="C116" t="s">
        <v>39</v>
      </c>
      <c r="D116" t="s">
        <v>40</v>
      </c>
      <c r="E116" t="s">
        <v>46</v>
      </c>
      <c r="F116" t="s">
        <v>80</v>
      </c>
      <c r="G116" t="s">
        <v>56</v>
      </c>
      <c r="H116" t="s">
        <v>27</v>
      </c>
      <c r="I116" t="s">
        <v>28</v>
      </c>
      <c r="J116" t="s">
        <v>104</v>
      </c>
      <c r="K116">
        <v>1</v>
      </c>
      <c r="L116">
        <v>117632</v>
      </c>
      <c r="M116">
        <v>8.5000000000000006E-2</v>
      </c>
      <c r="N116">
        <v>117632</v>
      </c>
      <c r="O116">
        <v>9998.7199999999993</v>
      </c>
      <c r="P116">
        <v>107633.28</v>
      </c>
      <c r="Q116">
        <v>5</v>
      </c>
      <c r="R116">
        <v>201</v>
      </c>
      <c r="S116">
        <v>4.0999999999999996</v>
      </c>
      <c r="T116">
        <v>5</v>
      </c>
      <c r="U116">
        <v>2</v>
      </c>
    </row>
    <row r="117" spans="1:21" x14ac:dyDescent="0.3">
      <c r="A117" t="s">
        <v>221</v>
      </c>
      <c r="B117" s="2">
        <v>45709</v>
      </c>
      <c r="C117" t="s">
        <v>44</v>
      </c>
      <c r="D117" t="s">
        <v>51</v>
      </c>
      <c r="E117" t="s">
        <v>46</v>
      </c>
      <c r="F117" t="s">
        <v>41</v>
      </c>
      <c r="G117" t="s">
        <v>26</v>
      </c>
      <c r="H117" t="s">
        <v>53</v>
      </c>
      <c r="I117" t="s">
        <v>28</v>
      </c>
      <c r="J117" t="s">
        <v>138</v>
      </c>
      <c r="K117">
        <v>2</v>
      </c>
      <c r="L117">
        <v>128417</v>
      </c>
      <c r="M117">
        <v>7.2999999999999995E-2</v>
      </c>
      <c r="N117">
        <v>256834</v>
      </c>
      <c r="O117">
        <v>18748.88</v>
      </c>
      <c r="P117">
        <v>238085.12</v>
      </c>
      <c r="Q117">
        <v>4</v>
      </c>
      <c r="R117">
        <v>185</v>
      </c>
      <c r="S117">
        <v>3.9</v>
      </c>
      <c r="T117">
        <v>3</v>
      </c>
      <c r="U117">
        <v>2</v>
      </c>
    </row>
    <row r="118" spans="1:21" x14ac:dyDescent="0.3">
      <c r="A118" t="s">
        <v>222</v>
      </c>
      <c r="B118" s="2">
        <v>45765</v>
      </c>
      <c r="C118" t="s">
        <v>22</v>
      </c>
      <c r="D118" t="s">
        <v>107</v>
      </c>
      <c r="E118" t="s">
        <v>62</v>
      </c>
      <c r="F118" t="s">
        <v>80</v>
      </c>
      <c r="G118" t="s">
        <v>67</v>
      </c>
      <c r="H118" t="s">
        <v>53</v>
      </c>
      <c r="I118" t="s">
        <v>48</v>
      </c>
      <c r="J118" t="s">
        <v>143</v>
      </c>
      <c r="K118">
        <v>1</v>
      </c>
      <c r="L118">
        <v>141893</v>
      </c>
      <c r="M118">
        <v>9.0999999999999998E-2</v>
      </c>
      <c r="N118">
        <v>141893</v>
      </c>
      <c r="O118">
        <v>12912.26</v>
      </c>
      <c r="P118">
        <v>128980.74</v>
      </c>
      <c r="Q118">
        <v>2</v>
      </c>
      <c r="R118">
        <v>126</v>
      </c>
      <c r="S118">
        <v>4.3</v>
      </c>
      <c r="T118">
        <v>5</v>
      </c>
      <c r="U118">
        <v>3</v>
      </c>
    </row>
    <row r="119" spans="1:21" x14ac:dyDescent="0.3">
      <c r="A119" t="s">
        <v>223</v>
      </c>
      <c r="B119" s="2">
        <v>45775</v>
      </c>
      <c r="C119" t="s">
        <v>39</v>
      </c>
      <c r="D119" t="s">
        <v>40</v>
      </c>
      <c r="E119" t="s">
        <v>24</v>
      </c>
      <c r="F119" t="s">
        <v>25</v>
      </c>
      <c r="G119" t="s">
        <v>34</v>
      </c>
      <c r="H119" t="s">
        <v>27</v>
      </c>
      <c r="I119" t="s">
        <v>63</v>
      </c>
      <c r="J119" t="s">
        <v>203</v>
      </c>
      <c r="K119">
        <v>2</v>
      </c>
      <c r="L119">
        <v>127886</v>
      </c>
      <c r="M119">
        <v>9.9000000000000005E-2</v>
      </c>
      <c r="N119">
        <v>255772</v>
      </c>
      <c r="O119">
        <v>25321.43</v>
      </c>
      <c r="P119">
        <v>230450.57</v>
      </c>
      <c r="Q119">
        <v>4</v>
      </c>
      <c r="R119">
        <v>176</v>
      </c>
      <c r="S119">
        <v>3.6</v>
      </c>
      <c r="T119">
        <v>11</v>
      </c>
      <c r="U119">
        <v>2</v>
      </c>
    </row>
    <row r="120" spans="1:21" x14ac:dyDescent="0.3">
      <c r="A120" t="s">
        <v>224</v>
      </c>
      <c r="B120" s="2">
        <v>45859</v>
      </c>
      <c r="C120" t="s">
        <v>44</v>
      </c>
      <c r="D120" t="s">
        <v>45</v>
      </c>
      <c r="E120" t="s">
        <v>46</v>
      </c>
      <c r="F120" t="s">
        <v>66</v>
      </c>
      <c r="G120" t="s">
        <v>67</v>
      </c>
      <c r="H120" t="s">
        <v>53</v>
      </c>
      <c r="I120" t="s">
        <v>28</v>
      </c>
      <c r="J120" t="s">
        <v>89</v>
      </c>
      <c r="K120">
        <v>3</v>
      </c>
      <c r="L120">
        <v>157099</v>
      </c>
      <c r="M120">
        <v>3.5000000000000003E-2</v>
      </c>
      <c r="N120">
        <v>471297</v>
      </c>
      <c r="O120">
        <v>16495.400000000001</v>
      </c>
      <c r="P120">
        <v>454801.6</v>
      </c>
      <c r="Q120">
        <v>3</v>
      </c>
      <c r="R120">
        <v>158</v>
      </c>
      <c r="S120">
        <v>3.8</v>
      </c>
      <c r="T120">
        <v>13</v>
      </c>
      <c r="U120">
        <v>3</v>
      </c>
    </row>
    <row r="121" spans="1:21" x14ac:dyDescent="0.3">
      <c r="A121" t="s">
        <v>225</v>
      </c>
      <c r="B121" s="2">
        <v>45817</v>
      </c>
      <c r="C121" t="s">
        <v>60</v>
      </c>
      <c r="D121" t="s">
        <v>69</v>
      </c>
      <c r="E121" t="s">
        <v>24</v>
      </c>
      <c r="F121" t="s">
        <v>33</v>
      </c>
      <c r="G121" t="s">
        <v>26</v>
      </c>
      <c r="H121" t="s">
        <v>27</v>
      </c>
      <c r="I121" t="s">
        <v>94</v>
      </c>
      <c r="J121" t="s">
        <v>42</v>
      </c>
      <c r="K121">
        <v>2</v>
      </c>
      <c r="L121">
        <v>102476</v>
      </c>
      <c r="M121">
        <v>8.3000000000000004E-2</v>
      </c>
      <c r="N121">
        <v>204952</v>
      </c>
      <c r="O121">
        <v>17011.02</v>
      </c>
      <c r="P121">
        <v>187940.98</v>
      </c>
      <c r="Q121">
        <v>2</v>
      </c>
      <c r="R121">
        <v>140</v>
      </c>
      <c r="S121">
        <v>3.8</v>
      </c>
      <c r="T121">
        <v>8</v>
      </c>
      <c r="U121">
        <v>2</v>
      </c>
    </row>
    <row r="122" spans="1:21" x14ac:dyDescent="0.3">
      <c r="A122" t="s">
        <v>226</v>
      </c>
      <c r="B122" s="2">
        <v>45937</v>
      </c>
      <c r="C122" t="s">
        <v>76</v>
      </c>
      <c r="D122" t="s">
        <v>77</v>
      </c>
      <c r="E122" t="s">
        <v>46</v>
      </c>
      <c r="F122" t="s">
        <v>41</v>
      </c>
      <c r="G122" t="s">
        <v>56</v>
      </c>
      <c r="H122" t="s">
        <v>53</v>
      </c>
      <c r="I122" t="s">
        <v>57</v>
      </c>
      <c r="J122" t="s">
        <v>58</v>
      </c>
      <c r="K122">
        <v>1</v>
      </c>
      <c r="L122">
        <v>138413</v>
      </c>
      <c r="M122">
        <v>9.1999999999999998E-2</v>
      </c>
      <c r="N122">
        <v>138413</v>
      </c>
      <c r="O122">
        <v>12734</v>
      </c>
      <c r="P122">
        <v>125679</v>
      </c>
      <c r="Q122">
        <v>4</v>
      </c>
      <c r="R122">
        <v>177</v>
      </c>
      <c r="S122">
        <v>4</v>
      </c>
      <c r="T122">
        <v>9</v>
      </c>
      <c r="U122">
        <v>2</v>
      </c>
    </row>
    <row r="123" spans="1:21" x14ac:dyDescent="0.3">
      <c r="A123" t="s">
        <v>227</v>
      </c>
      <c r="B123" s="2">
        <v>45853</v>
      </c>
      <c r="C123" t="s">
        <v>87</v>
      </c>
      <c r="D123" t="s">
        <v>130</v>
      </c>
      <c r="E123" t="s">
        <v>62</v>
      </c>
      <c r="F123" t="s">
        <v>80</v>
      </c>
      <c r="G123" t="s">
        <v>34</v>
      </c>
      <c r="H123" t="s">
        <v>53</v>
      </c>
      <c r="I123" t="s">
        <v>48</v>
      </c>
      <c r="J123" t="s">
        <v>72</v>
      </c>
      <c r="K123">
        <v>1</v>
      </c>
      <c r="L123">
        <v>116210</v>
      </c>
      <c r="M123">
        <v>8.6999999999999994E-2</v>
      </c>
      <c r="N123">
        <v>116210</v>
      </c>
      <c r="O123">
        <v>10110.27</v>
      </c>
      <c r="P123">
        <v>106099.73</v>
      </c>
      <c r="Q123">
        <v>2</v>
      </c>
      <c r="R123">
        <v>129</v>
      </c>
      <c r="S123">
        <v>4.5</v>
      </c>
      <c r="T123">
        <v>9</v>
      </c>
      <c r="U123">
        <v>3</v>
      </c>
    </row>
    <row r="124" spans="1:21" x14ac:dyDescent="0.3">
      <c r="A124" t="s">
        <v>228</v>
      </c>
      <c r="B124" s="2">
        <v>45787</v>
      </c>
      <c r="C124" t="s">
        <v>87</v>
      </c>
      <c r="D124" t="s">
        <v>88</v>
      </c>
      <c r="E124" t="s">
        <v>46</v>
      </c>
      <c r="F124" t="s">
        <v>70</v>
      </c>
      <c r="G124" t="s">
        <v>56</v>
      </c>
      <c r="H124" t="s">
        <v>27</v>
      </c>
      <c r="I124" t="s">
        <v>28</v>
      </c>
      <c r="J124" t="s">
        <v>49</v>
      </c>
      <c r="K124">
        <v>5</v>
      </c>
      <c r="L124">
        <v>154898</v>
      </c>
      <c r="M124">
        <v>7.5999999999999998E-2</v>
      </c>
      <c r="N124">
        <v>774490</v>
      </c>
      <c r="O124">
        <v>58861.24</v>
      </c>
      <c r="P124">
        <v>715628.76</v>
      </c>
      <c r="Q124">
        <v>4</v>
      </c>
      <c r="R124">
        <v>173</v>
      </c>
      <c r="S124">
        <v>4.0999999999999996</v>
      </c>
      <c r="T124">
        <v>13</v>
      </c>
      <c r="U124">
        <v>3</v>
      </c>
    </row>
    <row r="125" spans="1:21" x14ac:dyDescent="0.3">
      <c r="A125" t="s">
        <v>229</v>
      </c>
      <c r="B125" s="2">
        <v>45669</v>
      </c>
      <c r="C125" t="s">
        <v>76</v>
      </c>
      <c r="D125" t="s">
        <v>117</v>
      </c>
      <c r="E125" t="s">
        <v>46</v>
      </c>
      <c r="F125" t="s">
        <v>41</v>
      </c>
      <c r="G125" t="s">
        <v>34</v>
      </c>
      <c r="H125" t="s">
        <v>53</v>
      </c>
      <c r="I125" t="s">
        <v>57</v>
      </c>
      <c r="J125" t="s">
        <v>49</v>
      </c>
      <c r="K125">
        <v>1</v>
      </c>
      <c r="L125">
        <v>139466</v>
      </c>
      <c r="M125">
        <v>0.1</v>
      </c>
      <c r="N125">
        <v>139466</v>
      </c>
      <c r="O125">
        <v>13946.6</v>
      </c>
      <c r="P125">
        <v>125519.4</v>
      </c>
      <c r="Q125">
        <v>5</v>
      </c>
      <c r="R125">
        <v>193</v>
      </c>
      <c r="S125">
        <v>3.5</v>
      </c>
      <c r="T125">
        <v>9</v>
      </c>
      <c r="U125">
        <v>3</v>
      </c>
    </row>
    <row r="126" spans="1:21" x14ac:dyDescent="0.3">
      <c r="A126" t="s">
        <v>230</v>
      </c>
      <c r="B126" s="2">
        <v>45888</v>
      </c>
      <c r="C126" t="s">
        <v>60</v>
      </c>
      <c r="D126" t="s">
        <v>61</v>
      </c>
      <c r="E126" t="s">
        <v>24</v>
      </c>
      <c r="F126" t="s">
        <v>70</v>
      </c>
      <c r="G126" t="s">
        <v>67</v>
      </c>
      <c r="H126" t="s">
        <v>53</v>
      </c>
      <c r="I126" t="s">
        <v>63</v>
      </c>
      <c r="J126" t="s">
        <v>72</v>
      </c>
      <c r="K126">
        <v>4</v>
      </c>
      <c r="L126">
        <v>117896</v>
      </c>
      <c r="M126">
        <v>7.0999999999999994E-2</v>
      </c>
      <c r="N126">
        <v>471584</v>
      </c>
      <c r="O126">
        <v>33482.46</v>
      </c>
      <c r="P126">
        <v>438101.54</v>
      </c>
      <c r="Q126">
        <v>3</v>
      </c>
      <c r="R126">
        <v>155</v>
      </c>
      <c r="S126">
        <v>3.6</v>
      </c>
      <c r="T126">
        <v>10</v>
      </c>
      <c r="U126">
        <v>2</v>
      </c>
    </row>
    <row r="127" spans="1:21" x14ac:dyDescent="0.3">
      <c r="A127" t="s">
        <v>231</v>
      </c>
      <c r="B127" s="2">
        <v>45811</v>
      </c>
      <c r="C127" t="s">
        <v>44</v>
      </c>
      <c r="D127" t="s">
        <v>51</v>
      </c>
      <c r="E127" t="s">
        <v>24</v>
      </c>
      <c r="F127" t="s">
        <v>80</v>
      </c>
      <c r="G127" t="s">
        <v>56</v>
      </c>
      <c r="H127" t="s">
        <v>35</v>
      </c>
      <c r="I127" t="s">
        <v>36</v>
      </c>
      <c r="J127" t="s">
        <v>118</v>
      </c>
      <c r="K127">
        <v>2</v>
      </c>
      <c r="L127">
        <v>121463</v>
      </c>
      <c r="M127">
        <v>0.112</v>
      </c>
      <c r="N127">
        <v>242926</v>
      </c>
      <c r="O127">
        <v>27207.71</v>
      </c>
      <c r="P127">
        <v>215718.29</v>
      </c>
      <c r="Q127">
        <v>3</v>
      </c>
      <c r="R127">
        <v>164</v>
      </c>
      <c r="S127">
        <v>4.0999999999999996</v>
      </c>
      <c r="T127">
        <v>4</v>
      </c>
      <c r="U127">
        <v>3</v>
      </c>
    </row>
    <row r="128" spans="1:21" x14ac:dyDescent="0.3">
      <c r="A128" t="s">
        <v>232</v>
      </c>
      <c r="B128" s="2">
        <v>45820</v>
      </c>
      <c r="C128" t="s">
        <v>76</v>
      </c>
      <c r="D128" t="s">
        <v>117</v>
      </c>
      <c r="E128" t="s">
        <v>24</v>
      </c>
      <c r="F128" t="s">
        <v>74</v>
      </c>
      <c r="G128" t="s">
        <v>34</v>
      </c>
      <c r="H128" t="s">
        <v>35</v>
      </c>
      <c r="I128" t="s">
        <v>28</v>
      </c>
      <c r="J128" t="s">
        <v>64</v>
      </c>
      <c r="K128">
        <v>1</v>
      </c>
      <c r="L128">
        <v>140034</v>
      </c>
      <c r="M128">
        <v>5.5E-2</v>
      </c>
      <c r="N128">
        <v>140034</v>
      </c>
      <c r="O128">
        <v>7701.87</v>
      </c>
      <c r="P128">
        <v>132332.13</v>
      </c>
      <c r="Q128">
        <v>5</v>
      </c>
      <c r="R128">
        <v>213</v>
      </c>
      <c r="S128">
        <v>4.3</v>
      </c>
      <c r="T128">
        <v>10</v>
      </c>
      <c r="U128">
        <v>2</v>
      </c>
    </row>
    <row r="129" spans="1:21" x14ac:dyDescent="0.3">
      <c r="A129" t="s">
        <v>233</v>
      </c>
      <c r="B129" s="2">
        <v>45967</v>
      </c>
      <c r="C129" t="s">
        <v>87</v>
      </c>
      <c r="D129" t="s">
        <v>88</v>
      </c>
      <c r="E129" t="s">
        <v>46</v>
      </c>
      <c r="F129" t="s">
        <v>41</v>
      </c>
      <c r="G129" t="s">
        <v>67</v>
      </c>
      <c r="H129" t="s">
        <v>53</v>
      </c>
      <c r="I129" t="s">
        <v>28</v>
      </c>
      <c r="J129" t="s">
        <v>81</v>
      </c>
      <c r="K129">
        <v>3</v>
      </c>
      <c r="L129">
        <v>147668</v>
      </c>
      <c r="M129">
        <v>0.115</v>
      </c>
      <c r="N129">
        <v>443004</v>
      </c>
      <c r="O129">
        <v>50945.46</v>
      </c>
      <c r="P129">
        <v>392058.54</v>
      </c>
      <c r="Q129">
        <v>4</v>
      </c>
      <c r="R129">
        <v>172</v>
      </c>
      <c r="S129">
        <v>4.3</v>
      </c>
      <c r="T129">
        <v>6</v>
      </c>
      <c r="U129">
        <v>3</v>
      </c>
    </row>
    <row r="130" spans="1:21" x14ac:dyDescent="0.3">
      <c r="A130" t="s">
        <v>234</v>
      </c>
      <c r="B130" s="2">
        <v>45973</v>
      </c>
      <c r="C130" t="s">
        <v>99</v>
      </c>
      <c r="D130" t="s">
        <v>141</v>
      </c>
      <c r="E130" t="s">
        <v>24</v>
      </c>
      <c r="F130" t="s">
        <v>101</v>
      </c>
      <c r="G130" t="s">
        <v>67</v>
      </c>
      <c r="H130" t="s">
        <v>235</v>
      </c>
      <c r="I130" t="s">
        <v>28</v>
      </c>
      <c r="J130" t="s">
        <v>138</v>
      </c>
      <c r="K130">
        <v>4</v>
      </c>
      <c r="L130">
        <v>131606</v>
      </c>
      <c r="M130">
        <v>2.1999999999999999E-2</v>
      </c>
      <c r="N130">
        <v>526424</v>
      </c>
      <c r="O130">
        <v>11581.33</v>
      </c>
      <c r="P130">
        <v>514842.67</v>
      </c>
      <c r="Q130">
        <v>4</v>
      </c>
      <c r="R130">
        <v>166</v>
      </c>
      <c r="S130">
        <v>3.4</v>
      </c>
      <c r="T130">
        <v>6</v>
      </c>
      <c r="U130">
        <v>5</v>
      </c>
    </row>
    <row r="131" spans="1:21" x14ac:dyDescent="0.3">
      <c r="A131" t="s">
        <v>236</v>
      </c>
      <c r="B131" s="2">
        <v>45713</v>
      </c>
      <c r="C131" t="s">
        <v>99</v>
      </c>
      <c r="D131" t="s">
        <v>141</v>
      </c>
      <c r="E131" t="s">
        <v>62</v>
      </c>
      <c r="F131" t="s">
        <v>52</v>
      </c>
      <c r="G131" t="s">
        <v>67</v>
      </c>
      <c r="H131" t="s">
        <v>53</v>
      </c>
      <c r="I131" t="s">
        <v>36</v>
      </c>
      <c r="J131" t="s">
        <v>81</v>
      </c>
      <c r="K131">
        <v>1</v>
      </c>
      <c r="L131">
        <v>140034</v>
      </c>
      <c r="M131">
        <v>3.6999999999999998E-2</v>
      </c>
      <c r="N131">
        <v>140034</v>
      </c>
      <c r="O131">
        <v>5181.26</v>
      </c>
      <c r="P131">
        <v>134852.74</v>
      </c>
      <c r="Q131">
        <v>2</v>
      </c>
      <c r="R131">
        <v>137</v>
      </c>
      <c r="S131">
        <v>4.5</v>
      </c>
      <c r="T131">
        <v>8</v>
      </c>
      <c r="U131">
        <v>2</v>
      </c>
    </row>
    <row r="132" spans="1:21" x14ac:dyDescent="0.3">
      <c r="A132" t="s">
        <v>237</v>
      </c>
      <c r="B132" s="2">
        <v>45781</v>
      </c>
      <c r="C132" t="s">
        <v>60</v>
      </c>
      <c r="D132" t="s">
        <v>61</v>
      </c>
      <c r="E132" t="s">
        <v>24</v>
      </c>
      <c r="F132" t="s">
        <v>66</v>
      </c>
      <c r="G132" t="s">
        <v>67</v>
      </c>
      <c r="H132" t="s">
        <v>53</v>
      </c>
      <c r="I132" t="s">
        <v>28</v>
      </c>
      <c r="J132" t="s">
        <v>131</v>
      </c>
      <c r="K132">
        <v>3</v>
      </c>
      <c r="L132">
        <v>119761</v>
      </c>
      <c r="M132">
        <v>9.9000000000000005E-2</v>
      </c>
      <c r="N132">
        <v>359283</v>
      </c>
      <c r="O132">
        <v>35569.019999999997</v>
      </c>
      <c r="P132">
        <v>323713.98</v>
      </c>
      <c r="Q132">
        <v>3</v>
      </c>
      <c r="R132">
        <v>148</v>
      </c>
      <c r="S132">
        <v>4.7</v>
      </c>
      <c r="T132">
        <v>12</v>
      </c>
      <c r="U132">
        <v>3</v>
      </c>
    </row>
    <row r="133" spans="1:21" x14ac:dyDescent="0.3">
      <c r="A133" t="s">
        <v>238</v>
      </c>
      <c r="B133" s="2">
        <v>45719</v>
      </c>
      <c r="C133" t="s">
        <v>87</v>
      </c>
      <c r="D133" t="s">
        <v>130</v>
      </c>
      <c r="E133" t="s">
        <v>46</v>
      </c>
      <c r="F133" t="s">
        <v>101</v>
      </c>
      <c r="G133" t="s">
        <v>26</v>
      </c>
      <c r="H133" t="s">
        <v>53</v>
      </c>
      <c r="I133" t="s">
        <v>94</v>
      </c>
      <c r="J133" t="s">
        <v>95</v>
      </c>
      <c r="K133">
        <v>1</v>
      </c>
      <c r="L133">
        <v>103695</v>
      </c>
      <c r="M133">
        <v>4.5999999999999999E-2</v>
      </c>
      <c r="N133">
        <v>103695</v>
      </c>
      <c r="O133">
        <v>4769.97</v>
      </c>
      <c r="P133">
        <v>98925.03</v>
      </c>
      <c r="Q133">
        <v>4</v>
      </c>
      <c r="R133">
        <v>183</v>
      </c>
      <c r="S133">
        <v>3.6</v>
      </c>
      <c r="T133">
        <v>2</v>
      </c>
      <c r="U133">
        <v>2</v>
      </c>
    </row>
    <row r="134" spans="1:21" x14ac:dyDescent="0.3">
      <c r="A134" t="s">
        <v>239</v>
      </c>
      <c r="B134" s="2">
        <v>45830</v>
      </c>
      <c r="C134" t="s">
        <v>99</v>
      </c>
      <c r="D134" t="s">
        <v>141</v>
      </c>
      <c r="E134" t="s">
        <v>24</v>
      </c>
      <c r="F134" t="s">
        <v>41</v>
      </c>
      <c r="G134" t="s">
        <v>26</v>
      </c>
      <c r="H134" t="s">
        <v>27</v>
      </c>
      <c r="I134" t="s">
        <v>63</v>
      </c>
      <c r="J134" t="s">
        <v>148</v>
      </c>
      <c r="K134">
        <v>1</v>
      </c>
      <c r="L134">
        <v>138879</v>
      </c>
      <c r="M134">
        <v>4.7E-2</v>
      </c>
      <c r="N134">
        <v>138879</v>
      </c>
      <c r="O134">
        <v>6527.31</v>
      </c>
      <c r="P134">
        <v>132351.69</v>
      </c>
      <c r="Q134">
        <v>4</v>
      </c>
      <c r="R134">
        <v>161</v>
      </c>
      <c r="S134">
        <v>4.0999999999999996</v>
      </c>
      <c r="T134">
        <v>6</v>
      </c>
      <c r="U134">
        <v>3</v>
      </c>
    </row>
    <row r="135" spans="1:21" x14ac:dyDescent="0.3">
      <c r="A135" t="s">
        <v>240</v>
      </c>
      <c r="B135" s="2">
        <v>45699</v>
      </c>
      <c r="C135" t="s">
        <v>60</v>
      </c>
      <c r="D135" t="s">
        <v>61</v>
      </c>
      <c r="E135" t="s">
        <v>46</v>
      </c>
      <c r="F135" t="s">
        <v>101</v>
      </c>
      <c r="G135" t="s">
        <v>26</v>
      </c>
      <c r="H135" t="s">
        <v>27</v>
      </c>
      <c r="I135" t="s">
        <v>36</v>
      </c>
      <c r="J135" t="s">
        <v>197</v>
      </c>
      <c r="K135">
        <v>3</v>
      </c>
      <c r="L135">
        <v>122462</v>
      </c>
      <c r="M135">
        <v>0.11600000000000001</v>
      </c>
      <c r="N135">
        <v>367386</v>
      </c>
      <c r="O135">
        <v>42616.78</v>
      </c>
      <c r="P135">
        <v>324769.21999999997</v>
      </c>
      <c r="Q135">
        <v>4</v>
      </c>
      <c r="R135">
        <v>195</v>
      </c>
      <c r="S135">
        <v>3.6</v>
      </c>
      <c r="T135">
        <v>13</v>
      </c>
      <c r="U135">
        <v>2</v>
      </c>
    </row>
    <row r="136" spans="1:21" x14ac:dyDescent="0.3">
      <c r="A136" t="s">
        <v>241</v>
      </c>
      <c r="B136" s="2">
        <v>45860</v>
      </c>
      <c r="C136" t="s">
        <v>60</v>
      </c>
      <c r="D136" t="s">
        <v>61</v>
      </c>
      <c r="E136" t="s">
        <v>46</v>
      </c>
      <c r="F136" t="s">
        <v>74</v>
      </c>
      <c r="G136" t="s">
        <v>56</v>
      </c>
      <c r="H136" t="s">
        <v>53</v>
      </c>
      <c r="I136" t="s">
        <v>94</v>
      </c>
      <c r="J136" t="s">
        <v>197</v>
      </c>
      <c r="K136">
        <v>1</v>
      </c>
      <c r="L136">
        <v>114320</v>
      </c>
      <c r="M136">
        <v>6.5000000000000002E-2</v>
      </c>
      <c r="N136">
        <v>114320</v>
      </c>
      <c r="O136">
        <v>7430.8</v>
      </c>
      <c r="P136">
        <v>106889.2</v>
      </c>
      <c r="Q136">
        <v>3</v>
      </c>
      <c r="R136">
        <v>162</v>
      </c>
      <c r="S136">
        <v>4.5</v>
      </c>
      <c r="T136">
        <v>14</v>
      </c>
      <c r="U136">
        <v>5</v>
      </c>
    </row>
    <row r="137" spans="1:21" x14ac:dyDescent="0.3">
      <c r="A137" t="s">
        <v>242</v>
      </c>
      <c r="B137" s="2">
        <v>45700</v>
      </c>
      <c r="C137" t="s">
        <v>76</v>
      </c>
      <c r="D137" t="s">
        <v>117</v>
      </c>
      <c r="E137" t="s">
        <v>62</v>
      </c>
      <c r="F137" t="s">
        <v>33</v>
      </c>
      <c r="G137" t="s">
        <v>56</v>
      </c>
      <c r="H137" t="s">
        <v>35</v>
      </c>
      <c r="I137" t="s">
        <v>36</v>
      </c>
      <c r="J137" t="s">
        <v>123</v>
      </c>
      <c r="K137">
        <v>2</v>
      </c>
      <c r="L137">
        <v>142060</v>
      </c>
      <c r="M137">
        <v>3.1E-2</v>
      </c>
      <c r="N137">
        <v>284120</v>
      </c>
      <c r="O137">
        <v>8807.7199999999993</v>
      </c>
      <c r="P137">
        <v>275312.28000000003</v>
      </c>
      <c r="Q137">
        <v>2</v>
      </c>
      <c r="R137">
        <v>116</v>
      </c>
      <c r="S137">
        <v>4.2</v>
      </c>
      <c r="T137">
        <v>5</v>
      </c>
      <c r="U137">
        <v>5</v>
      </c>
    </row>
    <row r="138" spans="1:21" x14ac:dyDescent="0.3">
      <c r="A138" t="s">
        <v>243</v>
      </c>
      <c r="B138" s="2">
        <v>45918</v>
      </c>
      <c r="C138" t="s">
        <v>39</v>
      </c>
      <c r="D138" t="s">
        <v>154</v>
      </c>
      <c r="E138" t="s">
        <v>46</v>
      </c>
      <c r="F138" t="s">
        <v>70</v>
      </c>
      <c r="G138" t="s">
        <v>26</v>
      </c>
      <c r="H138" t="s">
        <v>35</v>
      </c>
      <c r="I138" t="s">
        <v>48</v>
      </c>
      <c r="J138" t="s">
        <v>72</v>
      </c>
      <c r="K138">
        <v>2</v>
      </c>
      <c r="L138">
        <v>190129</v>
      </c>
      <c r="M138">
        <v>2.7E-2</v>
      </c>
      <c r="N138">
        <v>380258</v>
      </c>
      <c r="O138">
        <v>10266.969999999999</v>
      </c>
      <c r="P138">
        <v>369991.03</v>
      </c>
      <c r="Q138">
        <v>3</v>
      </c>
      <c r="R138">
        <v>164</v>
      </c>
      <c r="S138">
        <v>3.7</v>
      </c>
      <c r="T138">
        <v>2</v>
      </c>
      <c r="U138">
        <v>5</v>
      </c>
    </row>
    <row r="139" spans="1:21" x14ac:dyDescent="0.3">
      <c r="A139" t="s">
        <v>244</v>
      </c>
      <c r="B139" s="2">
        <v>45981</v>
      </c>
      <c r="C139" t="s">
        <v>76</v>
      </c>
      <c r="D139" t="s">
        <v>115</v>
      </c>
      <c r="E139" t="s">
        <v>62</v>
      </c>
      <c r="F139" t="s">
        <v>101</v>
      </c>
      <c r="G139" t="s">
        <v>56</v>
      </c>
      <c r="H139" t="s">
        <v>53</v>
      </c>
      <c r="I139" t="s">
        <v>48</v>
      </c>
      <c r="J139" t="s">
        <v>78</v>
      </c>
      <c r="K139">
        <v>3</v>
      </c>
      <c r="L139">
        <v>133919</v>
      </c>
      <c r="M139">
        <v>7.2999999999999995E-2</v>
      </c>
      <c r="N139">
        <v>401757</v>
      </c>
      <c r="O139">
        <v>29328.26</v>
      </c>
      <c r="P139">
        <v>372428.74</v>
      </c>
      <c r="Q139">
        <v>2</v>
      </c>
      <c r="R139">
        <v>163</v>
      </c>
      <c r="S139">
        <v>4.9000000000000004</v>
      </c>
      <c r="T139">
        <v>13</v>
      </c>
      <c r="U139">
        <v>3</v>
      </c>
    </row>
    <row r="140" spans="1:21" x14ac:dyDescent="0.3">
      <c r="A140" t="s">
        <v>245</v>
      </c>
      <c r="B140" s="2">
        <v>45972</v>
      </c>
      <c r="C140" t="s">
        <v>76</v>
      </c>
      <c r="D140" t="s">
        <v>77</v>
      </c>
      <c r="E140" t="s">
        <v>46</v>
      </c>
      <c r="F140" t="s">
        <v>52</v>
      </c>
      <c r="G140" t="s">
        <v>67</v>
      </c>
      <c r="H140" t="s">
        <v>35</v>
      </c>
      <c r="I140" t="s">
        <v>48</v>
      </c>
      <c r="J140" t="s">
        <v>49</v>
      </c>
      <c r="K140">
        <v>2</v>
      </c>
      <c r="L140">
        <v>144189</v>
      </c>
      <c r="M140">
        <v>3.5999999999999997E-2</v>
      </c>
      <c r="N140">
        <v>288378</v>
      </c>
      <c r="O140">
        <v>10381.61</v>
      </c>
      <c r="P140">
        <v>277996.39</v>
      </c>
      <c r="Q140">
        <v>3</v>
      </c>
      <c r="R140">
        <v>166</v>
      </c>
      <c r="S140">
        <v>4.3</v>
      </c>
      <c r="T140">
        <v>4</v>
      </c>
      <c r="U140">
        <v>3</v>
      </c>
    </row>
    <row r="141" spans="1:21" x14ac:dyDescent="0.3">
      <c r="A141" t="s">
        <v>246</v>
      </c>
      <c r="B141" s="2">
        <v>45925</v>
      </c>
      <c r="C141" t="s">
        <v>22</v>
      </c>
      <c r="D141" t="s">
        <v>107</v>
      </c>
      <c r="E141" t="s">
        <v>62</v>
      </c>
      <c r="F141" t="s">
        <v>80</v>
      </c>
      <c r="G141" t="s">
        <v>26</v>
      </c>
      <c r="H141" t="s">
        <v>35</v>
      </c>
      <c r="I141" t="s">
        <v>57</v>
      </c>
      <c r="J141" t="s">
        <v>109</v>
      </c>
      <c r="K141">
        <v>4</v>
      </c>
      <c r="L141">
        <v>136543</v>
      </c>
      <c r="M141">
        <v>9.6000000000000002E-2</v>
      </c>
      <c r="N141">
        <v>546172</v>
      </c>
      <c r="O141">
        <v>52432.51</v>
      </c>
      <c r="P141">
        <v>493739.49</v>
      </c>
      <c r="Q141">
        <v>3</v>
      </c>
      <c r="R141">
        <v>169</v>
      </c>
      <c r="S141">
        <v>4.4000000000000004</v>
      </c>
      <c r="T141">
        <v>8</v>
      </c>
      <c r="U141">
        <v>5</v>
      </c>
    </row>
    <row r="142" spans="1:21" x14ac:dyDescent="0.3">
      <c r="A142" t="s">
        <v>247</v>
      </c>
      <c r="B142" s="2">
        <v>45926</v>
      </c>
      <c r="C142" t="s">
        <v>44</v>
      </c>
      <c r="D142" t="s">
        <v>45</v>
      </c>
      <c r="E142" t="s">
        <v>24</v>
      </c>
      <c r="F142" t="s">
        <v>25</v>
      </c>
      <c r="G142" t="s">
        <v>67</v>
      </c>
      <c r="H142" t="s">
        <v>53</v>
      </c>
      <c r="I142" t="s">
        <v>63</v>
      </c>
      <c r="J142" t="s">
        <v>109</v>
      </c>
      <c r="K142">
        <v>1</v>
      </c>
      <c r="L142">
        <v>143766</v>
      </c>
      <c r="M142">
        <v>9.2999999999999999E-2</v>
      </c>
      <c r="N142">
        <v>143766</v>
      </c>
      <c r="O142">
        <v>13370.24</v>
      </c>
      <c r="P142">
        <v>130395.76</v>
      </c>
      <c r="Q142">
        <v>4</v>
      </c>
      <c r="R142">
        <v>182</v>
      </c>
      <c r="S142">
        <v>3.4</v>
      </c>
      <c r="T142">
        <v>9</v>
      </c>
      <c r="U142">
        <v>2</v>
      </c>
    </row>
    <row r="143" spans="1:21" x14ac:dyDescent="0.3">
      <c r="A143" t="s">
        <v>248</v>
      </c>
      <c r="B143" s="2">
        <v>45687</v>
      </c>
      <c r="C143" t="s">
        <v>39</v>
      </c>
      <c r="D143" t="s">
        <v>40</v>
      </c>
      <c r="E143" t="s">
        <v>62</v>
      </c>
      <c r="F143" t="s">
        <v>74</v>
      </c>
      <c r="G143" t="s">
        <v>34</v>
      </c>
      <c r="H143" t="s">
        <v>35</v>
      </c>
      <c r="I143" t="s">
        <v>48</v>
      </c>
      <c r="J143" t="s">
        <v>29</v>
      </c>
      <c r="K143">
        <v>4</v>
      </c>
      <c r="L143">
        <v>128635</v>
      </c>
      <c r="M143">
        <v>9.6000000000000002E-2</v>
      </c>
      <c r="N143">
        <v>514540</v>
      </c>
      <c r="O143">
        <v>49395.839999999997</v>
      </c>
      <c r="P143">
        <v>465144.16</v>
      </c>
      <c r="Q143">
        <v>3</v>
      </c>
      <c r="R143">
        <v>160</v>
      </c>
      <c r="S143">
        <v>4.0999999999999996</v>
      </c>
      <c r="T143">
        <v>2</v>
      </c>
      <c r="U143">
        <v>2</v>
      </c>
    </row>
    <row r="144" spans="1:21" x14ac:dyDescent="0.3">
      <c r="A144" t="s">
        <v>249</v>
      </c>
      <c r="B144" s="2">
        <v>45667</v>
      </c>
      <c r="C144" t="s">
        <v>39</v>
      </c>
      <c r="D144" t="s">
        <v>40</v>
      </c>
      <c r="E144" t="s">
        <v>24</v>
      </c>
      <c r="F144" t="s">
        <v>101</v>
      </c>
      <c r="G144" t="s">
        <v>26</v>
      </c>
      <c r="H144" t="s">
        <v>27</v>
      </c>
      <c r="I144" t="s">
        <v>36</v>
      </c>
      <c r="J144" t="s">
        <v>92</v>
      </c>
      <c r="K144">
        <v>2</v>
      </c>
      <c r="L144">
        <v>131764</v>
      </c>
      <c r="M144">
        <v>8.1000000000000003E-2</v>
      </c>
      <c r="N144">
        <v>263528</v>
      </c>
      <c r="O144">
        <v>21345.77</v>
      </c>
      <c r="P144">
        <v>242182.23</v>
      </c>
      <c r="Q144">
        <v>4</v>
      </c>
      <c r="R144">
        <v>190</v>
      </c>
      <c r="S144">
        <v>3.1</v>
      </c>
      <c r="T144">
        <v>5</v>
      </c>
      <c r="U144">
        <v>3</v>
      </c>
    </row>
    <row r="145" spans="1:21" x14ac:dyDescent="0.3">
      <c r="A145" t="s">
        <v>250</v>
      </c>
      <c r="B145" s="2">
        <v>45778</v>
      </c>
      <c r="C145" t="s">
        <v>87</v>
      </c>
      <c r="D145" t="s">
        <v>88</v>
      </c>
      <c r="E145" t="s">
        <v>62</v>
      </c>
      <c r="F145" t="s">
        <v>41</v>
      </c>
      <c r="G145" t="s">
        <v>34</v>
      </c>
      <c r="H145" t="s">
        <v>27</v>
      </c>
      <c r="I145" t="s">
        <v>28</v>
      </c>
      <c r="J145" t="s">
        <v>72</v>
      </c>
      <c r="K145">
        <v>5</v>
      </c>
      <c r="L145">
        <v>148726</v>
      </c>
      <c r="M145">
        <v>5.2999999999999999E-2</v>
      </c>
      <c r="N145">
        <v>743630</v>
      </c>
      <c r="O145">
        <v>39412.39</v>
      </c>
      <c r="P145">
        <v>704217.61</v>
      </c>
      <c r="Q145">
        <v>3</v>
      </c>
      <c r="R145">
        <v>172</v>
      </c>
      <c r="S145">
        <v>3.9</v>
      </c>
      <c r="T145">
        <v>6</v>
      </c>
      <c r="U145">
        <v>3</v>
      </c>
    </row>
    <row r="146" spans="1:21" x14ac:dyDescent="0.3">
      <c r="A146" t="s">
        <v>251</v>
      </c>
      <c r="B146" s="2">
        <v>45887</v>
      </c>
      <c r="C146" t="s">
        <v>99</v>
      </c>
      <c r="D146" t="s">
        <v>141</v>
      </c>
      <c r="E146" t="s">
        <v>62</v>
      </c>
      <c r="F146" t="s">
        <v>66</v>
      </c>
      <c r="G146" t="s">
        <v>34</v>
      </c>
      <c r="H146" t="s">
        <v>53</v>
      </c>
      <c r="I146" t="s">
        <v>28</v>
      </c>
      <c r="J146" t="s">
        <v>72</v>
      </c>
      <c r="K146">
        <v>1</v>
      </c>
      <c r="L146">
        <v>145234</v>
      </c>
      <c r="M146">
        <v>0.02</v>
      </c>
      <c r="N146">
        <v>145234</v>
      </c>
      <c r="O146">
        <v>2904.68</v>
      </c>
      <c r="P146">
        <v>142329.32</v>
      </c>
      <c r="Q146">
        <v>4</v>
      </c>
      <c r="R146">
        <v>195</v>
      </c>
      <c r="S146">
        <v>3.8</v>
      </c>
      <c r="T146">
        <v>5</v>
      </c>
      <c r="U146">
        <v>2</v>
      </c>
    </row>
    <row r="147" spans="1:21" x14ac:dyDescent="0.3">
      <c r="A147" t="s">
        <v>252</v>
      </c>
      <c r="B147" s="2">
        <v>45993</v>
      </c>
      <c r="C147" t="s">
        <v>31</v>
      </c>
      <c r="D147" t="s">
        <v>97</v>
      </c>
      <c r="E147" t="s">
        <v>46</v>
      </c>
      <c r="F147" t="s">
        <v>33</v>
      </c>
      <c r="G147" t="s">
        <v>26</v>
      </c>
      <c r="H147" t="s">
        <v>53</v>
      </c>
      <c r="I147" t="s">
        <v>36</v>
      </c>
      <c r="J147" t="s">
        <v>49</v>
      </c>
      <c r="K147">
        <v>1</v>
      </c>
      <c r="L147">
        <v>134993</v>
      </c>
      <c r="M147">
        <v>2.5000000000000001E-2</v>
      </c>
      <c r="N147">
        <v>134993</v>
      </c>
      <c r="O147">
        <v>3374.83</v>
      </c>
      <c r="P147">
        <v>131618.17000000001</v>
      </c>
      <c r="Q147">
        <v>3</v>
      </c>
      <c r="R147">
        <v>183</v>
      </c>
      <c r="S147">
        <v>4.8</v>
      </c>
      <c r="T147">
        <v>13</v>
      </c>
      <c r="U147">
        <v>5</v>
      </c>
    </row>
    <row r="148" spans="1:21" x14ac:dyDescent="0.3">
      <c r="A148" t="s">
        <v>253</v>
      </c>
      <c r="B148" s="2">
        <v>45774</v>
      </c>
      <c r="C148" t="s">
        <v>99</v>
      </c>
      <c r="D148" t="s">
        <v>100</v>
      </c>
      <c r="E148" t="s">
        <v>46</v>
      </c>
      <c r="F148" t="s">
        <v>70</v>
      </c>
      <c r="G148" t="s">
        <v>34</v>
      </c>
      <c r="H148" t="s">
        <v>27</v>
      </c>
      <c r="I148" t="s">
        <v>94</v>
      </c>
      <c r="J148" t="s">
        <v>64</v>
      </c>
      <c r="K148">
        <v>3</v>
      </c>
      <c r="L148">
        <v>116428</v>
      </c>
      <c r="M148">
        <v>6.4000000000000001E-2</v>
      </c>
      <c r="N148">
        <v>349284</v>
      </c>
      <c r="O148">
        <v>22354.18</v>
      </c>
      <c r="P148">
        <v>326929.82</v>
      </c>
      <c r="Q148">
        <v>3</v>
      </c>
      <c r="R148">
        <v>155</v>
      </c>
      <c r="S148">
        <v>3.3</v>
      </c>
      <c r="T148">
        <v>3</v>
      </c>
      <c r="U148">
        <v>5</v>
      </c>
    </row>
    <row r="149" spans="1:21" x14ac:dyDescent="0.3">
      <c r="A149" t="s">
        <v>254</v>
      </c>
      <c r="B149" s="2">
        <v>45917</v>
      </c>
      <c r="C149" t="s">
        <v>76</v>
      </c>
      <c r="D149" t="s">
        <v>115</v>
      </c>
      <c r="E149" t="s">
        <v>46</v>
      </c>
      <c r="F149" t="s">
        <v>41</v>
      </c>
      <c r="G149" t="s">
        <v>67</v>
      </c>
      <c r="H149" t="s">
        <v>27</v>
      </c>
      <c r="I149" t="s">
        <v>48</v>
      </c>
      <c r="J149" t="s">
        <v>72</v>
      </c>
      <c r="K149">
        <v>1</v>
      </c>
      <c r="L149">
        <v>125444</v>
      </c>
      <c r="M149">
        <v>8.8999999999999996E-2</v>
      </c>
      <c r="N149">
        <v>125444</v>
      </c>
      <c r="O149">
        <v>11164.52</v>
      </c>
      <c r="P149">
        <v>114279.48</v>
      </c>
      <c r="Q149">
        <v>5</v>
      </c>
      <c r="R149">
        <v>210</v>
      </c>
      <c r="S149">
        <v>4.5</v>
      </c>
      <c r="T149">
        <v>11</v>
      </c>
      <c r="U149">
        <v>2</v>
      </c>
    </row>
    <row r="150" spans="1:21" x14ac:dyDescent="0.3">
      <c r="A150" t="s">
        <v>255</v>
      </c>
      <c r="B150" s="2">
        <v>45770</v>
      </c>
      <c r="C150" t="s">
        <v>60</v>
      </c>
      <c r="D150" t="s">
        <v>69</v>
      </c>
      <c r="E150" t="s">
        <v>46</v>
      </c>
      <c r="F150" t="s">
        <v>41</v>
      </c>
      <c r="G150" t="s">
        <v>67</v>
      </c>
      <c r="H150" t="s">
        <v>53</v>
      </c>
      <c r="I150" t="s">
        <v>48</v>
      </c>
      <c r="J150" t="s">
        <v>131</v>
      </c>
      <c r="K150">
        <v>2</v>
      </c>
      <c r="L150">
        <v>107321</v>
      </c>
      <c r="M150">
        <v>0.09</v>
      </c>
      <c r="N150">
        <v>214642</v>
      </c>
      <c r="O150">
        <v>19317.78</v>
      </c>
      <c r="P150">
        <v>195324.22</v>
      </c>
      <c r="Q150">
        <v>5</v>
      </c>
      <c r="R150">
        <v>195</v>
      </c>
      <c r="S150">
        <v>4.3</v>
      </c>
      <c r="T150">
        <v>6</v>
      </c>
      <c r="U150">
        <v>2</v>
      </c>
    </row>
    <row r="151" spans="1:21" x14ac:dyDescent="0.3">
      <c r="A151" t="s">
        <v>256</v>
      </c>
      <c r="B151" s="2">
        <v>45747</v>
      </c>
      <c r="C151" t="s">
        <v>44</v>
      </c>
      <c r="D151" t="s">
        <v>51</v>
      </c>
      <c r="E151" t="s">
        <v>46</v>
      </c>
      <c r="F151" t="s">
        <v>41</v>
      </c>
      <c r="G151" t="s">
        <v>34</v>
      </c>
      <c r="H151" t="s">
        <v>53</v>
      </c>
      <c r="I151" t="s">
        <v>36</v>
      </c>
      <c r="J151" t="s">
        <v>95</v>
      </c>
      <c r="K151">
        <v>1</v>
      </c>
      <c r="L151">
        <v>125029</v>
      </c>
      <c r="M151">
        <v>7.0000000000000007E-2</v>
      </c>
      <c r="N151">
        <v>125029</v>
      </c>
      <c r="O151">
        <v>8752.0300000000007</v>
      </c>
      <c r="P151">
        <v>116276.97</v>
      </c>
      <c r="Q151">
        <v>3</v>
      </c>
      <c r="R151">
        <v>174</v>
      </c>
      <c r="S151">
        <v>4.5</v>
      </c>
      <c r="T151">
        <v>7</v>
      </c>
      <c r="U151">
        <v>3</v>
      </c>
    </row>
    <row r="152" spans="1:21" x14ac:dyDescent="0.3">
      <c r="A152" t="s">
        <v>257</v>
      </c>
      <c r="B152" s="2">
        <v>46021</v>
      </c>
      <c r="C152" t="s">
        <v>87</v>
      </c>
      <c r="D152" t="s">
        <v>88</v>
      </c>
      <c r="E152" t="s">
        <v>24</v>
      </c>
      <c r="F152" t="s">
        <v>70</v>
      </c>
      <c r="G152" t="s">
        <v>67</v>
      </c>
      <c r="H152" t="s">
        <v>35</v>
      </c>
      <c r="I152" t="s">
        <v>36</v>
      </c>
      <c r="J152" t="s">
        <v>212</v>
      </c>
      <c r="K152">
        <v>1</v>
      </c>
      <c r="L152">
        <v>141762</v>
      </c>
      <c r="M152">
        <v>4.8000000000000001E-2</v>
      </c>
      <c r="N152">
        <v>141762</v>
      </c>
      <c r="O152">
        <v>6804.58</v>
      </c>
      <c r="P152">
        <v>134957.42000000001</v>
      </c>
      <c r="Q152">
        <v>3</v>
      </c>
      <c r="R152">
        <v>151</v>
      </c>
      <c r="S152">
        <v>3.2</v>
      </c>
      <c r="T152">
        <v>10</v>
      </c>
      <c r="U152">
        <v>2</v>
      </c>
    </row>
    <row r="153" spans="1:21" x14ac:dyDescent="0.3">
      <c r="A153" t="s">
        <v>258</v>
      </c>
      <c r="B153" s="2">
        <v>45678</v>
      </c>
      <c r="C153" t="s">
        <v>99</v>
      </c>
      <c r="D153" t="s">
        <v>121</v>
      </c>
      <c r="E153" t="s">
        <v>24</v>
      </c>
      <c r="F153" t="s">
        <v>101</v>
      </c>
      <c r="G153" t="s">
        <v>34</v>
      </c>
      <c r="H153" t="s">
        <v>27</v>
      </c>
      <c r="I153" t="s">
        <v>57</v>
      </c>
      <c r="J153" t="s">
        <v>131</v>
      </c>
      <c r="K153">
        <v>2</v>
      </c>
      <c r="L153">
        <v>104743</v>
      </c>
      <c r="M153">
        <v>5.5E-2</v>
      </c>
      <c r="N153">
        <v>209486</v>
      </c>
      <c r="O153">
        <v>11521.73</v>
      </c>
      <c r="P153">
        <v>197964.27</v>
      </c>
      <c r="Q153">
        <v>5</v>
      </c>
      <c r="R153">
        <v>200</v>
      </c>
      <c r="S153">
        <v>4.3</v>
      </c>
      <c r="T153">
        <v>8</v>
      </c>
      <c r="U153">
        <v>2</v>
      </c>
    </row>
    <row r="154" spans="1:21" x14ac:dyDescent="0.3">
      <c r="A154" t="s">
        <v>259</v>
      </c>
      <c r="B154" s="2">
        <v>45739</v>
      </c>
      <c r="C154" t="s">
        <v>99</v>
      </c>
      <c r="D154" t="s">
        <v>141</v>
      </c>
      <c r="E154" t="s">
        <v>46</v>
      </c>
      <c r="F154" t="s">
        <v>70</v>
      </c>
      <c r="G154" t="s">
        <v>67</v>
      </c>
      <c r="H154" t="s">
        <v>27</v>
      </c>
      <c r="I154" t="s">
        <v>94</v>
      </c>
      <c r="J154" t="s">
        <v>203</v>
      </c>
      <c r="K154">
        <v>1</v>
      </c>
      <c r="L154">
        <v>145813</v>
      </c>
      <c r="M154">
        <v>3.9E-2</v>
      </c>
      <c r="N154">
        <v>145813</v>
      </c>
      <c r="O154">
        <v>5686.71</v>
      </c>
      <c r="P154">
        <v>140126.29</v>
      </c>
      <c r="Q154">
        <v>3</v>
      </c>
      <c r="R154">
        <v>167</v>
      </c>
      <c r="S154">
        <v>4</v>
      </c>
      <c r="T154">
        <v>13</v>
      </c>
      <c r="U154">
        <v>2</v>
      </c>
    </row>
    <row r="155" spans="1:21" x14ac:dyDescent="0.3">
      <c r="A155" t="s">
        <v>260</v>
      </c>
      <c r="B155" s="2">
        <v>45984</v>
      </c>
      <c r="C155" t="s">
        <v>22</v>
      </c>
      <c r="D155" t="s">
        <v>23</v>
      </c>
      <c r="E155" t="s">
        <v>46</v>
      </c>
      <c r="F155" t="s">
        <v>74</v>
      </c>
      <c r="G155" t="s">
        <v>26</v>
      </c>
      <c r="H155" t="s">
        <v>27</v>
      </c>
      <c r="I155" t="s">
        <v>28</v>
      </c>
      <c r="J155" t="s">
        <v>216</v>
      </c>
      <c r="K155">
        <v>2</v>
      </c>
      <c r="L155">
        <v>121957</v>
      </c>
      <c r="M155">
        <v>0.11799999999999999</v>
      </c>
      <c r="N155">
        <v>243914</v>
      </c>
      <c r="O155">
        <v>28781.85</v>
      </c>
      <c r="P155">
        <v>215132.15</v>
      </c>
      <c r="Q155">
        <v>3</v>
      </c>
      <c r="R155">
        <v>176</v>
      </c>
      <c r="S155">
        <v>3.1</v>
      </c>
      <c r="T155">
        <v>8</v>
      </c>
      <c r="U155">
        <v>3</v>
      </c>
    </row>
    <row r="156" spans="1:21" x14ac:dyDescent="0.3">
      <c r="A156" t="s">
        <v>261</v>
      </c>
      <c r="B156" s="2">
        <v>45987</v>
      </c>
      <c r="C156" t="s">
        <v>99</v>
      </c>
      <c r="D156" t="s">
        <v>141</v>
      </c>
      <c r="E156" t="s">
        <v>24</v>
      </c>
      <c r="F156" t="s">
        <v>52</v>
      </c>
      <c r="G156" t="s">
        <v>56</v>
      </c>
      <c r="H156" t="s">
        <v>27</v>
      </c>
      <c r="I156" t="s">
        <v>36</v>
      </c>
      <c r="J156" t="s">
        <v>58</v>
      </c>
      <c r="K156">
        <v>1</v>
      </c>
      <c r="L156">
        <v>150135</v>
      </c>
      <c r="M156">
        <v>0.105</v>
      </c>
      <c r="N156">
        <v>150135</v>
      </c>
      <c r="O156">
        <v>15764.17</v>
      </c>
      <c r="P156">
        <v>134370.82999999999</v>
      </c>
      <c r="Q156">
        <v>4</v>
      </c>
      <c r="R156">
        <v>153</v>
      </c>
      <c r="S156">
        <v>3.6</v>
      </c>
      <c r="T156">
        <v>14</v>
      </c>
      <c r="U156">
        <v>5</v>
      </c>
    </row>
    <row r="157" spans="1:21" x14ac:dyDescent="0.3">
      <c r="A157" t="s">
        <v>262</v>
      </c>
      <c r="B157" s="2">
        <v>45849</v>
      </c>
      <c r="C157" t="s">
        <v>99</v>
      </c>
      <c r="D157" t="s">
        <v>121</v>
      </c>
      <c r="E157" t="s">
        <v>62</v>
      </c>
      <c r="F157" t="s">
        <v>52</v>
      </c>
      <c r="G157" t="s">
        <v>34</v>
      </c>
      <c r="H157" t="s">
        <v>53</v>
      </c>
      <c r="I157" t="s">
        <v>28</v>
      </c>
      <c r="J157" t="s">
        <v>81</v>
      </c>
      <c r="K157">
        <v>3</v>
      </c>
      <c r="L157">
        <v>106009</v>
      </c>
      <c r="M157">
        <v>5.3999999999999999E-2</v>
      </c>
      <c r="N157">
        <v>318027</v>
      </c>
      <c r="O157">
        <v>17173.46</v>
      </c>
      <c r="P157">
        <v>300853.53999999998</v>
      </c>
      <c r="Q157">
        <v>5</v>
      </c>
      <c r="R157">
        <v>218</v>
      </c>
      <c r="S157">
        <v>4.2</v>
      </c>
      <c r="T157">
        <v>5</v>
      </c>
      <c r="U157">
        <v>3</v>
      </c>
    </row>
    <row r="158" spans="1:21" x14ac:dyDescent="0.3">
      <c r="A158" t="s">
        <v>263</v>
      </c>
      <c r="B158" s="2">
        <v>45825</v>
      </c>
      <c r="C158" t="s">
        <v>44</v>
      </c>
      <c r="D158" t="s">
        <v>51</v>
      </c>
      <c r="E158" t="s">
        <v>62</v>
      </c>
      <c r="F158" t="s">
        <v>80</v>
      </c>
      <c r="G158" t="s">
        <v>56</v>
      </c>
      <c r="H158" t="s">
        <v>35</v>
      </c>
      <c r="I158" t="s">
        <v>57</v>
      </c>
      <c r="J158" t="s">
        <v>58</v>
      </c>
      <c r="K158">
        <v>5</v>
      </c>
      <c r="L158">
        <v>125769</v>
      </c>
      <c r="M158">
        <v>2.3E-2</v>
      </c>
      <c r="N158">
        <v>628845</v>
      </c>
      <c r="O158">
        <v>14463.43</v>
      </c>
      <c r="P158">
        <v>614381.56999999995</v>
      </c>
      <c r="Q158">
        <v>2</v>
      </c>
      <c r="R158">
        <v>156</v>
      </c>
      <c r="S158">
        <v>4.0999999999999996</v>
      </c>
      <c r="T158">
        <v>2</v>
      </c>
      <c r="U158">
        <v>3</v>
      </c>
    </row>
    <row r="159" spans="1:21" x14ac:dyDescent="0.3">
      <c r="A159" t="s">
        <v>264</v>
      </c>
      <c r="B159" s="2">
        <v>45854</v>
      </c>
      <c r="C159" t="s">
        <v>99</v>
      </c>
      <c r="D159" t="s">
        <v>121</v>
      </c>
      <c r="E159" t="s">
        <v>46</v>
      </c>
      <c r="F159" t="s">
        <v>52</v>
      </c>
      <c r="G159" t="s">
        <v>26</v>
      </c>
      <c r="H159" t="s">
        <v>27</v>
      </c>
      <c r="I159" t="s">
        <v>36</v>
      </c>
      <c r="J159" t="s">
        <v>81</v>
      </c>
      <c r="K159">
        <v>5</v>
      </c>
      <c r="L159">
        <v>101695</v>
      </c>
      <c r="M159">
        <v>7.1999999999999995E-2</v>
      </c>
      <c r="N159">
        <v>508475</v>
      </c>
      <c r="O159">
        <v>36610.199999999997</v>
      </c>
      <c r="P159">
        <v>471864.8</v>
      </c>
      <c r="Q159">
        <v>3</v>
      </c>
      <c r="R159">
        <v>168</v>
      </c>
      <c r="S159">
        <v>4.7</v>
      </c>
      <c r="T159">
        <v>6</v>
      </c>
      <c r="U159">
        <v>5</v>
      </c>
    </row>
    <row r="160" spans="1:21" x14ac:dyDescent="0.3">
      <c r="A160" t="s">
        <v>265</v>
      </c>
      <c r="B160" s="2">
        <v>45920</v>
      </c>
      <c r="C160" t="s">
        <v>87</v>
      </c>
      <c r="D160" t="s">
        <v>88</v>
      </c>
      <c r="E160" t="s">
        <v>62</v>
      </c>
      <c r="F160" t="s">
        <v>25</v>
      </c>
      <c r="G160" t="s">
        <v>34</v>
      </c>
      <c r="H160" t="s">
        <v>27</v>
      </c>
      <c r="I160" t="s">
        <v>28</v>
      </c>
      <c r="J160" t="s">
        <v>118</v>
      </c>
      <c r="K160">
        <v>2</v>
      </c>
      <c r="L160">
        <v>148625</v>
      </c>
      <c r="M160">
        <v>0.11</v>
      </c>
      <c r="N160">
        <v>297250</v>
      </c>
      <c r="O160">
        <v>32697.5</v>
      </c>
      <c r="P160">
        <v>264552.5</v>
      </c>
      <c r="Q160">
        <v>3</v>
      </c>
      <c r="R160">
        <v>194</v>
      </c>
      <c r="S160">
        <v>4.2</v>
      </c>
      <c r="T160">
        <v>8</v>
      </c>
      <c r="U160">
        <v>2</v>
      </c>
    </row>
    <row r="161" spans="1:21" x14ac:dyDescent="0.3">
      <c r="A161" t="s">
        <v>266</v>
      </c>
      <c r="B161" s="2">
        <v>45689</v>
      </c>
      <c r="C161" t="s">
        <v>87</v>
      </c>
      <c r="D161" t="s">
        <v>130</v>
      </c>
      <c r="E161" t="s">
        <v>24</v>
      </c>
      <c r="F161" t="s">
        <v>101</v>
      </c>
      <c r="G161" t="s">
        <v>56</v>
      </c>
      <c r="H161" t="s">
        <v>35</v>
      </c>
      <c r="I161" t="s">
        <v>63</v>
      </c>
      <c r="J161" t="s">
        <v>131</v>
      </c>
      <c r="K161">
        <v>1</v>
      </c>
      <c r="L161">
        <v>114791</v>
      </c>
      <c r="M161">
        <v>5.1999999999999998E-2</v>
      </c>
      <c r="N161">
        <v>114791</v>
      </c>
      <c r="O161">
        <v>5969.13</v>
      </c>
      <c r="P161">
        <v>108821.87</v>
      </c>
      <c r="Q161">
        <v>5</v>
      </c>
      <c r="R161">
        <v>187</v>
      </c>
      <c r="S161">
        <v>4.0999999999999996</v>
      </c>
      <c r="T161">
        <v>14</v>
      </c>
      <c r="U161">
        <v>3</v>
      </c>
    </row>
    <row r="162" spans="1:21" x14ac:dyDescent="0.3">
      <c r="A162" t="s">
        <v>267</v>
      </c>
      <c r="B162" s="2">
        <v>46010</v>
      </c>
      <c r="C162" t="s">
        <v>76</v>
      </c>
      <c r="D162" t="s">
        <v>117</v>
      </c>
      <c r="E162" t="s">
        <v>46</v>
      </c>
      <c r="F162" t="s">
        <v>47</v>
      </c>
      <c r="G162" t="s">
        <v>56</v>
      </c>
      <c r="H162" t="s">
        <v>53</v>
      </c>
      <c r="I162" t="s">
        <v>94</v>
      </c>
      <c r="J162" t="s">
        <v>85</v>
      </c>
      <c r="K162">
        <v>1</v>
      </c>
      <c r="L162">
        <v>142453</v>
      </c>
      <c r="M162">
        <v>4.1000000000000002E-2</v>
      </c>
      <c r="N162">
        <v>142453</v>
      </c>
      <c r="O162">
        <v>5840.57</v>
      </c>
      <c r="P162">
        <v>136612.43</v>
      </c>
      <c r="Q162">
        <v>3</v>
      </c>
      <c r="R162">
        <v>169</v>
      </c>
      <c r="S162">
        <v>4</v>
      </c>
      <c r="T162">
        <v>7</v>
      </c>
      <c r="U162">
        <v>5</v>
      </c>
    </row>
    <row r="163" spans="1:21" x14ac:dyDescent="0.3">
      <c r="A163" t="s">
        <v>268</v>
      </c>
      <c r="B163" s="2">
        <v>45788</v>
      </c>
      <c r="C163" t="s">
        <v>99</v>
      </c>
      <c r="D163" t="s">
        <v>100</v>
      </c>
      <c r="E163" t="s">
        <v>46</v>
      </c>
      <c r="F163" t="s">
        <v>33</v>
      </c>
      <c r="G163" t="s">
        <v>56</v>
      </c>
      <c r="H163" t="s">
        <v>27</v>
      </c>
      <c r="I163" t="s">
        <v>48</v>
      </c>
      <c r="J163" t="s">
        <v>138</v>
      </c>
      <c r="K163">
        <v>4</v>
      </c>
      <c r="L163">
        <v>116559</v>
      </c>
      <c r="N163">
        <v>466236</v>
      </c>
      <c r="O163">
        <v>20514.38</v>
      </c>
      <c r="P163">
        <v>445721.62</v>
      </c>
      <c r="Q163">
        <v>2</v>
      </c>
      <c r="R163">
        <v>148</v>
      </c>
      <c r="S163">
        <v>3.9</v>
      </c>
      <c r="T163">
        <v>4</v>
      </c>
      <c r="U163">
        <v>3</v>
      </c>
    </row>
    <row r="164" spans="1:21" x14ac:dyDescent="0.3">
      <c r="A164" t="s">
        <v>269</v>
      </c>
      <c r="B164" s="2">
        <v>45833</v>
      </c>
      <c r="C164" t="s">
        <v>76</v>
      </c>
      <c r="D164" t="s">
        <v>117</v>
      </c>
      <c r="E164" t="s">
        <v>62</v>
      </c>
      <c r="F164" t="s">
        <v>80</v>
      </c>
      <c r="G164" t="s">
        <v>67</v>
      </c>
      <c r="H164" t="s">
        <v>53</v>
      </c>
      <c r="I164" t="s">
        <v>63</v>
      </c>
      <c r="J164" t="s">
        <v>203</v>
      </c>
      <c r="K164">
        <v>2</v>
      </c>
      <c r="L164">
        <v>140849</v>
      </c>
      <c r="M164">
        <v>0.10100000000000001</v>
      </c>
      <c r="N164">
        <v>281698</v>
      </c>
      <c r="O164">
        <v>28451.5</v>
      </c>
      <c r="P164">
        <v>253246.5</v>
      </c>
      <c r="Q164">
        <v>5</v>
      </c>
      <c r="R164">
        <v>194</v>
      </c>
      <c r="S164">
        <v>4.2</v>
      </c>
      <c r="T164">
        <v>4</v>
      </c>
      <c r="U164">
        <v>5</v>
      </c>
    </row>
    <row r="165" spans="1:21" x14ac:dyDescent="0.3">
      <c r="A165" t="s">
        <v>270</v>
      </c>
      <c r="B165" s="2">
        <v>45960</v>
      </c>
      <c r="C165" t="s">
        <v>99</v>
      </c>
      <c r="D165" t="s">
        <v>141</v>
      </c>
      <c r="E165" t="s">
        <v>62</v>
      </c>
      <c r="F165" t="s">
        <v>70</v>
      </c>
      <c r="G165" t="s">
        <v>56</v>
      </c>
      <c r="H165" t="s">
        <v>53</v>
      </c>
      <c r="I165" t="s">
        <v>48</v>
      </c>
      <c r="J165" t="s">
        <v>123</v>
      </c>
      <c r="K165">
        <v>1</v>
      </c>
      <c r="L165">
        <v>135767</v>
      </c>
      <c r="M165">
        <v>2.3E-2</v>
      </c>
      <c r="N165">
        <v>135767</v>
      </c>
      <c r="O165">
        <v>3122.64</v>
      </c>
      <c r="P165">
        <v>132644.35999999999</v>
      </c>
      <c r="Q165">
        <v>3</v>
      </c>
      <c r="R165">
        <v>170</v>
      </c>
      <c r="S165">
        <v>4.2</v>
      </c>
      <c r="T165">
        <v>13</v>
      </c>
      <c r="U165">
        <v>2</v>
      </c>
    </row>
    <row r="166" spans="1:21" x14ac:dyDescent="0.3">
      <c r="A166" t="s">
        <v>271</v>
      </c>
      <c r="B166" s="2">
        <v>45908</v>
      </c>
      <c r="C166" t="s">
        <v>76</v>
      </c>
      <c r="D166" t="s">
        <v>115</v>
      </c>
      <c r="E166" t="s">
        <v>24</v>
      </c>
      <c r="F166" t="s">
        <v>41</v>
      </c>
      <c r="G166" t="s">
        <v>67</v>
      </c>
      <c r="H166" t="s">
        <v>53</v>
      </c>
      <c r="I166" t="s">
        <v>28</v>
      </c>
      <c r="J166" t="s">
        <v>157</v>
      </c>
      <c r="K166">
        <v>1</v>
      </c>
      <c r="L166">
        <v>125277</v>
      </c>
      <c r="M166">
        <v>5.8999999999999997E-2</v>
      </c>
      <c r="N166">
        <v>125277</v>
      </c>
      <c r="O166">
        <v>7391.34</v>
      </c>
      <c r="P166">
        <v>117885.66</v>
      </c>
      <c r="Q166">
        <v>3</v>
      </c>
      <c r="R166">
        <v>157</v>
      </c>
      <c r="S166">
        <v>3.5</v>
      </c>
      <c r="T166">
        <v>4</v>
      </c>
      <c r="U166">
        <v>5</v>
      </c>
    </row>
    <row r="167" spans="1:21" x14ac:dyDescent="0.3">
      <c r="A167" t="s">
        <v>272</v>
      </c>
      <c r="B167" s="2">
        <v>45807</v>
      </c>
      <c r="C167" t="s">
        <v>87</v>
      </c>
      <c r="D167" t="s">
        <v>130</v>
      </c>
      <c r="E167" t="s">
        <v>62</v>
      </c>
      <c r="F167" t="s">
        <v>41</v>
      </c>
      <c r="G167" t="s">
        <v>26</v>
      </c>
      <c r="H167" t="s">
        <v>27</v>
      </c>
      <c r="I167" t="s">
        <v>94</v>
      </c>
      <c r="J167" t="s">
        <v>104</v>
      </c>
      <c r="K167">
        <v>4</v>
      </c>
      <c r="L167">
        <v>107900</v>
      </c>
      <c r="M167">
        <v>0.111</v>
      </c>
      <c r="N167">
        <v>431600</v>
      </c>
      <c r="O167">
        <v>47907.6</v>
      </c>
      <c r="P167">
        <v>383692.4</v>
      </c>
      <c r="Q167">
        <v>4</v>
      </c>
      <c r="R167">
        <v>192</v>
      </c>
      <c r="S167">
        <v>3.9</v>
      </c>
      <c r="T167">
        <v>13</v>
      </c>
      <c r="U167">
        <v>5</v>
      </c>
    </row>
    <row r="168" spans="1:21" x14ac:dyDescent="0.3">
      <c r="A168" t="s">
        <v>273</v>
      </c>
      <c r="B168" s="2">
        <v>45943</v>
      </c>
      <c r="C168" t="s">
        <v>44</v>
      </c>
      <c r="D168" t="s">
        <v>51</v>
      </c>
      <c r="E168" t="s">
        <v>46</v>
      </c>
      <c r="F168" t="s">
        <v>80</v>
      </c>
      <c r="G168" t="s">
        <v>67</v>
      </c>
      <c r="H168" t="s">
        <v>35</v>
      </c>
      <c r="I168" t="s">
        <v>94</v>
      </c>
      <c r="J168" t="s">
        <v>49</v>
      </c>
      <c r="K168">
        <v>1</v>
      </c>
      <c r="L168">
        <v>122328</v>
      </c>
      <c r="M168">
        <v>4.8000000000000001E-2</v>
      </c>
      <c r="N168">
        <v>122328</v>
      </c>
      <c r="O168">
        <v>5871.74</v>
      </c>
      <c r="P168">
        <v>116456.26</v>
      </c>
      <c r="Q168">
        <v>4</v>
      </c>
      <c r="R168">
        <v>189</v>
      </c>
      <c r="S168">
        <v>4.8</v>
      </c>
      <c r="T168">
        <v>12</v>
      </c>
      <c r="U168">
        <v>3</v>
      </c>
    </row>
    <row r="169" spans="1:21" x14ac:dyDescent="0.3">
      <c r="A169" t="s">
        <v>274</v>
      </c>
      <c r="B169" s="2">
        <v>45925</v>
      </c>
      <c r="C169" t="s">
        <v>76</v>
      </c>
      <c r="D169" t="s">
        <v>115</v>
      </c>
      <c r="E169" t="s">
        <v>46</v>
      </c>
      <c r="F169" t="s">
        <v>70</v>
      </c>
      <c r="G169" t="s">
        <v>34</v>
      </c>
      <c r="H169" t="s">
        <v>35</v>
      </c>
      <c r="I169" t="s">
        <v>57</v>
      </c>
      <c r="J169" t="s">
        <v>29</v>
      </c>
      <c r="K169">
        <v>2</v>
      </c>
      <c r="L169">
        <v>140316</v>
      </c>
      <c r="M169">
        <v>0.106</v>
      </c>
      <c r="N169">
        <v>280632</v>
      </c>
      <c r="O169">
        <v>29746.99</v>
      </c>
      <c r="P169">
        <v>250885.01</v>
      </c>
      <c r="Q169">
        <v>4</v>
      </c>
      <c r="R169">
        <v>170</v>
      </c>
      <c r="S169">
        <v>4.2</v>
      </c>
      <c r="T169">
        <v>14</v>
      </c>
      <c r="U169">
        <v>2</v>
      </c>
    </row>
    <row r="170" spans="1:21" x14ac:dyDescent="0.3">
      <c r="A170" t="s">
        <v>275</v>
      </c>
      <c r="B170" s="2">
        <v>45722</v>
      </c>
      <c r="C170" t="s">
        <v>31</v>
      </c>
      <c r="D170" t="s">
        <v>32</v>
      </c>
      <c r="E170" t="s">
        <v>46</v>
      </c>
      <c r="F170" t="s">
        <v>80</v>
      </c>
      <c r="G170" t="s">
        <v>34</v>
      </c>
      <c r="H170" t="s">
        <v>53</v>
      </c>
      <c r="I170" t="s">
        <v>63</v>
      </c>
      <c r="J170" t="s">
        <v>216</v>
      </c>
      <c r="K170">
        <v>1</v>
      </c>
      <c r="L170">
        <v>114094</v>
      </c>
      <c r="M170">
        <v>2.8000000000000001E-2</v>
      </c>
      <c r="N170">
        <v>114094</v>
      </c>
      <c r="O170">
        <v>3194.63</v>
      </c>
      <c r="P170">
        <v>110899.37</v>
      </c>
      <c r="Q170">
        <v>5</v>
      </c>
      <c r="R170">
        <v>186</v>
      </c>
      <c r="T170">
        <v>4</v>
      </c>
      <c r="U170">
        <v>3</v>
      </c>
    </row>
    <row r="171" spans="1:21" x14ac:dyDescent="0.3">
      <c r="A171" t="s">
        <v>276</v>
      </c>
      <c r="B171" s="2">
        <v>45814</v>
      </c>
      <c r="C171" t="s">
        <v>44</v>
      </c>
      <c r="D171" t="s">
        <v>45</v>
      </c>
      <c r="E171" t="s">
        <v>46</v>
      </c>
      <c r="F171" t="s">
        <v>74</v>
      </c>
      <c r="G171" t="s">
        <v>34</v>
      </c>
      <c r="H171" t="s">
        <v>35</v>
      </c>
      <c r="I171" t="s">
        <v>28</v>
      </c>
      <c r="J171" t="s">
        <v>216</v>
      </c>
      <c r="K171">
        <v>2</v>
      </c>
      <c r="L171">
        <v>155204</v>
      </c>
      <c r="M171">
        <v>3.3000000000000002E-2</v>
      </c>
      <c r="N171">
        <v>310408</v>
      </c>
      <c r="O171">
        <v>10243.459999999999</v>
      </c>
      <c r="P171">
        <v>300164.53999999998</v>
      </c>
      <c r="Q171">
        <v>3</v>
      </c>
      <c r="R171">
        <v>153</v>
      </c>
      <c r="S171">
        <v>3.7</v>
      </c>
      <c r="T171">
        <v>12</v>
      </c>
      <c r="U171">
        <v>5</v>
      </c>
    </row>
    <row r="172" spans="1:21" x14ac:dyDescent="0.3">
      <c r="A172" t="s">
        <v>277</v>
      </c>
      <c r="B172" s="2">
        <v>45867</v>
      </c>
      <c r="C172" t="s">
        <v>87</v>
      </c>
      <c r="D172" t="s">
        <v>130</v>
      </c>
      <c r="E172" t="s">
        <v>62</v>
      </c>
      <c r="F172" t="s">
        <v>41</v>
      </c>
      <c r="G172" t="s">
        <v>34</v>
      </c>
      <c r="H172" t="s">
        <v>53</v>
      </c>
      <c r="I172" t="s">
        <v>94</v>
      </c>
      <c r="J172" t="s">
        <v>104</v>
      </c>
      <c r="K172">
        <v>1</v>
      </c>
      <c r="L172">
        <v>110676</v>
      </c>
      <c r="M172">
        <v>2.5000000000000001E-2</v>
      </c>
      <c r="N172">
        <v>110676</v>
      </c>
      <c r="O172">
        <v>2766.9</v>
      </c>
      <c r="P172">
        <v>107909.1</v>
      </c>
      <c r="Q172">
        <v>3</v>
      </c>
      <c r="R172">
        <v>161</v>
      </c>
      <c r="S172">
        <v>3.2</v>
      </c>
      <c r="T172">
        <v>9</v>
      </c>
      <c r="U172">
        <v>3</v>
      </c>
    </row>
    <row r="173" spans="1:21" x14ac:dyDescent="0.3">
      <c r="A173" t="s">
        <v>278</v>
      </c>
      <c r="B173" s="2">
        <v>45959</v>
      </c>
      <c r="C173" t="s">
        <v>87</v>
      </c>
      <c r="D173" t="s">
        <v>130</v>
      </c>
      <c r="E173" t="s">
        <v>24</v>
      </c>
      <c r="F173" t="s">
        <v>70</v>
      </c>
      <c r="G173" t="s">
        <v>67</v>
      </c>
      <c r="H173" t="s">
        <v>53</v>
      </c>
      <c r="I173" t="s">
        <v>57</v>
      </c>
      <c r="J173" t="s">
        <v>148</v>
      </c>
      <c r="K173">
        <v>1</v>
      </c>
      <c r="L173">
        <v>116233</v>
      </c>
      <c r="M173">
        <v>0.104</v>
      </c>
      <c r="N173">
        <v>116233</v>
      </c>
      <c r="O173">
        <v>12088.23</v>
      </c>
      <c r="P173">
        <v>104144.77</v>
      </c>
      <c r="Q173">
        <v>3</v>
      </c>
      <c r="R173">
        <v>135</v>
      </c>
      <c r="S173">
        <v>3.5</v>
      </c>
      <c r="T173">
        <v>11</v>
      </c>
      <c r="U173">
        <v>5</v>
      </c>
    </row>
    <row r="174" spans="1:21" x14ac:dyDescent="0.3">
      <c r="A174" t="s">
        <v>279</v>
      </c>
      <c r="B174" s="2">
        <v>45964</v>
      </c>
      <c r="C174" t="s">
        <v>76</v>
      </c>
      <c r="D174" t="s">
        <v>77</v>
      </c>
      <c r="E174" t="s">
        <v>62</v>
      </c>
      <c r="F174" t="s">
        <v>52</v>
      </c>
      <c r="G174" t="s">
        <v>34</v>
      </c>
      <c r="H174" t="s">
        <v>53</v>
      </c>
      <c r="I174" t="s">
        <v>94</v>
      </c>
      <c r="J174" t="s">
        <v>102</v>
      </c>
      <c r="K174">
        <v>4</v>
      </c>
      <c r="L174">
        <v>147968</v>
      </c>
      <c r="M174">
        <v>2.3E-2</v>
      </c>
      <c r="N174">
        <v>591872</v>
      </c>
      <c r="O174">
        <v>13613.06</v>
      </c>
      <c r="P174">
        <v>578258.93999999994</v>
      </c>
      <c r="Q174">
        <v>4</v>
      </c>
      <c r="R174">
        <v>181</v>
      </c>
      <c r="S174">
        <v>3.8</v>
      </c>
      <c r="T174">
        <v>14</v>
      </c>
      <c r="U174">
        <v>2</v>
      </c>
    </row>
    <row r="175" spans="1:21" x14ac:dyDescent="0.3">
      <c r="A175" t="s">
        <v>280</v>
      </c>
      <c r="B175" s="2">
        <v>45897</v>
      </c>
      <c r="C175" t="s">
        <v>44</v>
      </c>
      <c r="D175" t="s">
        <v>45</v>
      </c>
      <c r="E175" t="s">
        <v>24</v>
      </c>
      <c r="F175" t="s">
        <v>47</v>
      </c>
      <c r="G175" t="s">
        <v>26</v>
      </c>
      <c r="H175" t="s">
        <v>27</v>
      </c>
      <c r="I175" t="s">
        <v>57</v>
      </c>
      <c r="J175" t="s">
        <v>203</v>
      </c>
      <c r="K175">
        <v>1</v>
      </c>
      <c r="L175">
        <v>156087</v>
      </c>
      <c r="M175">
        <v>0.115</v>
      </c>
      <c r="N175">
        <v>156087</v>
      </c>
      <c r="O175">
        <v>17950.009999999998</v>
      </c>
      <c r="P175">
        <v>138136.99</v>
      </c>
      <c r="Q175">
        <v>4</v>
      </c>
      <c r="R175">
        <v>191</v>
      </c>
      <c r="S175">
        <v>4.3</v>
      </c>
      <c r="T175">
        <v>2</v>
      </c>
      <c r="U175">
        <v>5</v>
      </c>
    </row>
    <row r="176" spans="1:21" x14ac:dyDescent="0.3">
      <c r="A176" t="s">
        <v>281</v>
      </c>
      <c r="B176" s="2">
        <v>45804</v>
      </c>
      <c r="C176" t="s">
        <v>99</v>
      </c>
      <c r="D176" t="s">
        <v>141</v>
      </c>
      <c r="E176" t="s">
        <v>46</v>
      </c>
      <c r="F176" t="s">
        <v>70</v>
      </c>
      <c r="G176" t="s">
        <v>26</v>
      </c>
      <c r="H176" t="s">
        <v>27</v>
      </c>
      <c r="I176" t="s">
        <v>63</v>
      </c>
      <c r="J176" t="s">
        <v>138</v>
      </c>
      <c r="K176">
        <v>2</v>
      </c>
      <c r="L176">
        <v>142371</v>
      </c>
      <c r="M176">
        <v>0.11</v>
      </c>
      <c r="N176">
        <v>284742</v>
      </c>
      <c r="O176">
        <v>31321.62</v>
      </c>
      <c r="P176">
        <v>253420.38</v>
      </c>
      <c r="Q176">
        <v>3</v>
      </c>
      <c r="R176">
        <v>177</v>
      </c>
      <c r="S176">
        <v>3.7</v>
      </c>
      <c r="T176">
        <v>3</v>
      </c>
      <c r="U176">
        <v>5</v>
      </c>
    </row>
    <row r="177" spans="1:21" x14ac:dyDescent="0.3">
      <c r="A177" t="s">
        <v>282</v>
      </c>
      <c r="B177" s="2">
        <v>45867</v>
      </c>
      <c r="C177" t="s">
        <v>60</v>
      </c>
      <c r="D177" t="s">
        <v>61</v>
      </c>
      <c r="E177" t="s">
        <v>62</v>
      </c>
      <c r="F177" t="s">
        <v>52</v>
      </c>
      <c r="G177" t="s">
        <v>26</v>
      </c>
      <c r="H177" t="s">
        <v>53</v>
      </c>
      <c r="I177" t="s">
        <v>57</v>
      </c>
      <c r="J177" t="s">
        <v>49</v>
      </c>
      <c r="K177">
        <v>1</v>
      </c>
      <c r="L177">
        <v>109963</v>
      </c>
      <c r="M177">
        <v>3.5000000000000003E-2</v>
      </c>
      <c r="N177">
        <v>109963</v>
      </c>
      <c r="O177">
        <v>3848.71</v>
      </c>
      <c r="P177">
        <v>106114.29</v>
      </c>
      <c r="Q177">
        <v>3</v>
      </c>
      <c r="R177">
        <v>179</v>
      </c>
      <c r="S177">
        <v>4.4000000000000004</v>
      </c>
      <c r="T177">
        <v>14</v>
      </c>
      <c r="U177">
        <v>3</v>
      </c>
    </row>
    <row r="178" spans="1:21" x14ac:dyDescent="0.3">
      <c r="A178" t="s">
        <v>283</v>
      </c>
      <c r="B178" s="2">
        <v>45892</v>
      </c>
      <c r="C178" t="s">
        <v>44</v>
      </c>
      <c r="D178" t="s">
        <v>45</v>
      </c>
      <c r="E178" t="s">
        <v>24</v>
      </c>
      <c r="F178" t="s">
        <v>25</v>
      </c>
      <c r="G178" t="s">
        <v>26</v>
      </c>
      <c r="H178" t="s">
        <v>35</v>
      </c>
      <c r="I178" t="s">
        <v>48</v>
      </c>
      <c r="J178" t="s">
        <v>203</v>
      </c>
      <c r="K178">
        <v>1</v>
      </c>
      <c r="L178">
        <v>153121</v>
      </c>
      <c r="M178">
        <v>2.4E-2</v>
      </c>
      <c r="N178">
        <v>153121</v>
      </c>
      <c r="O178">
        <v>3674.9</v>
      </c>
      <c r="P178">
        <v>149446.1</v>
      </c>
      <c r="Q178">
        <v>3</v>
      </c>
      <c r="R178">
        <v>140</v>
      </c>
      <c r="S178">
        <v>4.4000000000000004</v>
      </c>
      <c r="T178">
        <v>8</v>
      </c>
      <c r="U178">
        <v>2</v>
      </c>
    </row>
    <row r="179" spans="1:21" x14ac:dyDescent="0.3">
      <c r="A179" t="s">
        <v>284</v>
      </c>
      <c r="B179" s="2">
        <v>45730</v>
      </c>
      <c r="C179" t="s">
        <v>39</v>
      </c>
      <c r="D179" t="s">
        <v>40</v>
      </c>
      <c r="E179" t="s">
        <v>62</v>
      </c>
      <c r="F179" t="s">
        <v>52</v>
      </c>
      <c r="G179" t="s">
        <v>56</v>
      </c>
      <c r="H179" t="s">
        <v>27</v>
      </c>
      <c r="I179" t="s">
        <v>63</v>
      </c>
      <c r="J179" t="s">
        <v>37</v>
      </c>
      <c r="K179">
        <v>1</v>
      </c>
      <c r="L179">
        <v>131307</v>
      </c>
      <c r="M179">
        <v>6.5000000000000002E-2</v>
      </c>
      <c r="N179">
        <v>131307</v>
      </c>
      <c r="O179">
        <v>8534.9500000000007</v>
      </c>
      <c r="P179">
        <v>122772.05</v>
      </c>
      <c r="Q179">
        <v>4</v>
      </c>
      <c r="R179">
        <v>185</v>
      </c>
      <c r="S179">
        <v>4.2</v>
      </c>
      <c r="T179">
        <v>10</v>
      </c>
      <c r="U179">
        <v>5</v>
      </c>
    </row>
    <row r="180" spans="1:21" x14ac:dyDescent="0.3">
      <c r="A180" t="s">
        <v>285</v>
      </c>
      <c r="B180" s="2">
        <v>45824</v>
      </c>
      <c r="C180" t="s">
        <v>87</v>
      </c>
      <c r="D180" t="s">
        <v>88</v>
      </c>
      <c r="E180" t="s">
        <v>62</v>
      </c>
      <c r="F180" t="s">
        <v>74</v>
      </c>
      <c r="G180" t="s">
        <v>67</v>
      </c>
      <c r="H180" t="s">
        <v>27</v>
      </c>
      <c r="I180" t="s">
        <v>94</v>
      </c>
      <c r="J180" t="s">
        <v>197</v>
      </c>
      <c r="K180">
        <v>2</v>
      </c>
      <c r="L180">
        <v>144478</v>
      </c>
      <c r="M180">
        <v>8.5000000000000006E-2</v>
      </c>
      <c r="N180">
        <v>288956</v>
      </c>
      <c r="O180">
        <v>24561.26</v>
      </c>
      <c r="P180">
        <v>264394.74</v>
      </c>
      <c r="Q180">
        <v>2</v>
      </c>
      <c r="R180">
        <v>148</v>
      </c>
      <c r="S180">
        <v>3.1</v>
      </c>
      <c r="T180">
        <v>3</v>
      </c>
      <c r="U180">
        <v>5</v>
      </c>
    </row>
    <row r="181" spans="1:21" x14ac:dyDescent="0.3">
      <c r="A181" t="s">
        <v>286</v>
      </c>
      <c r="B181" s="2">
        <v>45978</v>
      </c>
      <c r="C181" t="s">
        <v>99</v>
      </c>
      <c r="D181" t="s">
        <v>100</v>
      </c>
      <c r="E181" t="s">
        <v>62</v>
      </c>
      <c r="F181" t="s">
        <v>80</v>
      </c>
      <c r="G181" t="s">
        <v>56</v>
      </c>
      <c r="H181" t="s">
        <v>35</v>
      </c>
      <c r="I181" t="s">
        <v>48</v>
      </c>
      <c r="J181" t="s">
        <v>123</v>
      </c>
      <c r="K181">
        <v>1</v>
      </c>
      <c r="L181">
        <v>110794</v>
      </c>
      <c r="M181">
        <v>0.11700000000000001</v>
      </c>
      <c r="N181">
        <v>110794</v>
      </c>
      <c r="O181">
        <v>12962.9</v>
      </c>
      <c r="P181">
        <v>97831.1</v>
      </c>
      <c r="Q181">
        <v>3</v>
      </c>
      <c r="R181">
        <v>164</v>
      </c>
      <c r="S181">
        <v>4.3</v>
      </c>
      <c r="T181">
        <v>14</v>
      </c>
      <c r="U181">
        <v>3</v>
      </c>
    </row>
    <row r="182" spans="1:21" x14ac:dyDescent="0.3">
      <c r="A182" t="s">
        <v>287</v>
      </c>
      <c r="B182" s="2">
        <v>45972</v>
      </c>
      <c r="C182" t="s">
        <v>99</v>
      </c>
      <c r="D182" t="s">
        <v>100</v>
      </c>
      <c r="E182" t="s">
        <v>24</v>
      </c>
      <c r="F182" t="s">
        <v>41</v>
      </c>
      <c r="G182" t="s">
        <v>26</v>
      </c>
      <c r="H182" t="s">
        <v>53</v>
      </c>
      <c r="I182" t="s">
        <v>57</v>
      </c>
      <c r="J182" t="s">
        <v>104</v>
      </c>
      <c r="K182">
        <v>1</v>
      </c>
      <c r="L182">
        <v>115954</v>
      </c>
      <c r="M182">
        <v>3.3000000000000002E-2</v>
      </c>
      <c r="N182">
        <v>115954</v>
      </c>
      <c r="O182">
        <v>3826.48</v>
      </c>
      <c r="P182">
        <v>112127.52</v>
      </c>
      <c r="Q182">
        <v>5</v>
      </c>
      <c r="R182">
        <v>183</v>
      </c>
      <c r="S182">
        <v>3.4</v>
      </c>
      <c r="T182">
        <v>4</v>
      </c>
      <c r="U182">
        <v>5</v>
      </c>
    </row>
    <row r="183" spans="1:21" x14ac:dyDescent="0.3">
      <c r="A183" t="s">
        <v>288</v>
      </c>
      <c r="B183" s="2">
        <v>45783</v>
      </c>
      <c r="C183" t="s">
        <v>60</v>
      </c>
      <c r="D183" t="s">
        <v>69</v>
      </c>
      <c r="E183" t="s">
        <v>24</v>
      </c>
      <c r="F183" t="s">
        <v>25</v>
      </c>
      <c r="G183" t="s">
        <v>56</v>
      </c>
      <c r="H183" t="s">
        <v>35</v>
      </c>
      <c r="I183" t="s">
        <v>63</v>
      </c>
      <c r="J183" t="s">
        <v>72</v>
      </c>
      <c r="K183">
        <v>1</v>
      </c>
      <c r="L183">
        <v>104367</v>
      </c>
      <c r="M183">
        <v>5.3999999999999999E-2</v>
      </c>
      <c r="N183">
        <v>104367</v>
      </c>
      <c r="O183">
        <v>5635.82</v>
      </c>
      <c r="P183">
        <v>98731.18</v>
      </c>
      <c r="Q183">
        <v>4</v>
      </c>
      <c r="R183">
        <v>184</v>
      </c>
      <c r="S183">
        <v>3.6</v>
      </c>
      <c r="T183">
        <v>3</v>
      </c>
      <c r="U183">
        <v>2</v>
      </c>
    </row>
    <row r="184" spans="1:21" x14ac:dyDescent="0.3">
      <c r="A184" t="s">
        <v>289</v>
      </c>
      <c r="B184" s="2">
        <v>45766</v>
      </c>
      <c r="C184" t="s">
        <v>99</v>
      </c>
      <c r="D184" t="s">
        <v>100</v>
      </c>
      <c r="E184" t="s">
        <v>62</v>
      </c>
      <c r="F184" t="s">
        <v>52</v>
      </c>
      <c r="G184" t="s">
        <v>67</v>
      </c>
      <c r="H184" t="s">
        <v>35</v>
      </c>
      <c r="I184" t="s">
        <v>94</v>
      </c>
      <c r="J184" t="s">
        <v>143</v>
      </c>
      <c r="K184">
        <v>1</v>
      </c>
      <c r="L184">
        <v>109028</v>
      </c>
      <c r="M184">
        <v>5.3999999999999999E-2</v>
      </c>
      <c r="N184">
        <v>109028</v>
      </c>
      <c r="O184">
        <v>5887.51</v>
      </c>
      <c r="P184">
        <v>103140.49</v>
      </c>
      <c r="Q184">
        <v>3</v>
      </c>
      <c r="R184">
        <v>164</v>
      </c>
      <c r="S184">
        <v>4.3</v>
      </c>
      <c r="T184">
        <v>4</v>
      </c>
      <c r="U184">
        <v>2</v>
      </c>
    </row>
    <row r="185" spans="1:21" x14ac:dyDescent="0.3">
      <c r="A185" t="s">
        <v>290</v>
      </c>
      <c r="B185" s="2">
        <v>45930</v>
      </c>
      <c r="C185" t="s">
        <v>99</v>
      </c>
      <c r="D185" t="s">
        <v>121</v>
      </c>
      <c r="E185" t="s">
        <v>46</v>
      </c>
      <c r="F185" t="s">
        <v>25</v>
      </c>
      <c r="G185" t="s">
        <v>34</v>
      </c>
      <c r="H185" t="s">
        <v>27</v>
      </c>
      <c r="I185" t="s">
        <v>63</v>
      </c>
      <c r="J185" t="s">
        <v>58</v>
      </c>
      <c r="K185">
        <v>2</v>
      </c>
      <c r="L185">
        <v>103117</v>
      </c>
      <c r="M185">
        <v>5.2999999999999999E-2</v>
      </c>
      <c r="N185">
        <v>206234</v>
      </c>
      <c r="O185">
        <v>10930.4</v>
      </c>
      <c r="P185">
        <v>195303.6</v>
      </c>
      <c r="Q185">
        <v>4</v>
      </c>
      <c r="R185">
        <v>202</v>
      </c>
      <c r="S185">
        <v>4</v>
      </c>
      <c r="T185">
        <v>9</v>
      </c>
      <c r="U185">
        <v>2</v>
      </c>
    </row>
    <row r="186" spans="1:21" x14ac:dyDescent="0.3">
      <c r="A186" t="s">
        <v>291</v>
      </c>
      <c r="B186" s="2">
        <v>45924</v>
      </c>
      <c r="C186" t="s">
        <v>60</v>
      </c>
      <c r="D186" t="s">
        <v>61</v>
      </c>
      <c r="E186" t="s">
        <v>24</v>
      </c>
      <c r="F186" t="s">
        <v>101</v>
      </c>
      <c r="G186" t="s">
        <v>34</v>
      </c>
      <c r="H186" t="s">
        <v>27</v>
      </c>
      <c r="I186" t="s">
        <v>57</v>
      </c>
      <c r="J186" t="s">
        <v>123</v>
      </c>
      <c r="K186">
        <v>1</v>
      </c>
      <c r="L186">
        <v>115481</v>
      </c>
      <c r="M186">
        <v>2.4E-2</v>
      </c>
      <c r="N186">
        <v>115481</v>
      </c>
      <c r="O186">
        <v>2771.54</v>
      </c>
      <c r="P186">
        <v>112709.46</v>
      </c>
      <c r="Q186">
        <v>4</v>
      </c>
      <c r="R186">
        <v>173</v>
      </c>
      <c r="T186">
        <v>9</v>
      </c>
      <c r="U186">
        <v>2</v>
      </c>
    </row>
    <row r="187" spans="1:21" x14ac:dyDescent="0.3">
      <c r="A187" t="s">
        <v>292</v>
      </c>
      <c r="B187" s="2">
        <v>45961</v>
      </c>
      <c r="C187" t="s">
        <v>39</v>
      </c>
      <c r="D187" t="s">
        <v>154</v>
      </c>
      <c r="E187" t="s">
        <v>62</v>
      </c>
      <c r="F187" t="s">
        <v>70</v>
      </c>
      <c r="G187" t="s">
        <v>56</v>
      </c>
      <c r="H187" t="s">
        <v>27</v>
      </c>
      <c r="I187" t="s">
        <v>57</v>
      </c>
      <c r="J187" t="s">
        <v>123</v>
      </c>
      <c r="K187">
        <v>1</v>
      </c>
      <c r="L187">
        <v>188216</v>
      </c>
      <c r="M187">
        <v>6.9000000000000006E-2</v>
      </c>
      <c r="N187">
        <v>188216</v>
      </c>
      <c r="O187">
        <v>12986.9</v>
      </c>
      <c r="P187">
        <v>175229.1</v>
      </c>
      <c r="Q187">
        <v>3</v>
      </c>
      <c r="R187">
        <v>203</v>
      </c>
      <c r="S187">
        <v>3.5</v>
      </c>
      <c r="T187">
        <v>9</v>
      </c>
      <c r="U187">
        <v>5</v>
      </c>
    </row>
    <row r="188" spans="1:21" x14ac:dyDescent="0.3">
      <c r="A188" t="s">
        <v>293</v>
      </c>
      <c r="B188" s="2">
        <v>45876</v>
      </c>
      <c r="C188" t="s">
        <v>60</v>
      </c>
      <c r="D188" t="s">
        <v>61</v>
      </c>
      <c r="E188" t="s">
        <v>62</v>
      </c>
      <c r="F188" t="s">
        <v>80</v>
      </c>
      <c r="G188" t="s">
        <v>56</v>
      </c>
      <c r="H188" t="s">
        <v>35</v>
      </c>
      <c r="I188" t="s">
        <v>94</v>
      </c>
      <c r="J188" t="s">
        <v>102</v>
      </c>
      <c r="K188">
        <v>1</v>
      </c>
      <c r="L188">
        <v>121423</v>
      </c>
      <c r="M188">
        <v>9.6000000000000002E-2</v>
      </c>
      <c r="N188">
        <v>121423</v>
      </c>
      <c r="O188">
        <v>11656.61</v>
      </c>
      <c r="P188">
        <v>109766.39</v>
      </c>
      <c r="Q188">
        <v>4</v>
      </c>
      <c r="R188">
        <v>195</v>
      </c>
      <c r="S188">
        <v>4</v>
      </c>
      <c r="T188">
        <v>9</v>
      </c>
      <c r="U188">
        <v>5</v>
      </c>
    </row>
    <row r="189" spans="1:21" x14ac:dyDescent="0.3">
      <c r="A189" t="s">
        <v>294</v>
      </c>
      <c r="B189" s="2">
        <v>45846</v>
      </c>
      <c r="C189" t="s">
        <v>22</v>
      </c>
      <c r="D189" t="s">
        <v>23</v>
      </c>
      <c r="E189" t="s">
        <v>46</v>
      </c>
      <c r="F189" t="s">
        <v>47</v>
      </c>
      <c r="G189" t="s">
        <v>67</v>
      </c>
      <c r="H189" t="s">
        <v>35</v>
      </c>
      <c r="I189" t="s">
        <v>28</v>
      </c>
      <c r="J189" t="s">
        <v>37</v>
      </c>
      <c r="K189">
        <v>4</v>
      </c>
      <c r="L189">
        <v>113121</v>
      </c>
      <c r="M189">
        <v>6.8000000000000005E-2</v>
      </c>
      <c r="N189">
        <v>452484</v>
      </c>
      <c r="O189">
        <v>30768.91</v>
      </c>
      <c r="P189">
        <v>421715.09</v>
      </c>
      <c r="Q189">
        <v>4</v>
      </c>
      <c r="R189">
        <v>193</v>
      </c>
      <c r="S189">
        <v>4.5999999999999996</v>
      </c>
      <c r="T189">
        <v>11</v>
      </c>
      <c r="U189">
        <v>3</v>
      </c>
    </row>
    <row r="190" spans="1:21" x14ac:dyDescent="0.3">
      <c r="A190" t="s">
        <v>295</v>
      </c>
      <c r="B190" s="2">
        <v>45820</v>
      </c>
      <c r="C190" t="s">
        <v>87</v>
      </c>
      <c r="D190" t="s">
        <v>130</v>
      </c>
      <c r="E190" t="s">
        <v>46</v>
      </c>
      <c r="G190" t="s">
        <v>56</v>
      </c>
      <c r="H190" t="s">
        <v>53</v>
      </c>
      <c r="I190" t="s">
        <v>36</v>
      </c>
      <c r="J190" t="s">
        <v>72</v>
      </c>
      <c r="K190">
        <v>5</v>
      </c>
      <c r="L190">
        <v>113823</v>
      </c>
      <c r="M190">
        <v>0.10299999999999999</v>
      </c>
      <c r="N190">
        <v>569115</v>
      </c>
      <c r="O190">
        <v>58618.84</v>
      </c>
      <c r="P190">
        <v>510496.16</v>
      </c>
      <c r="Q190">
        <v>3</v>
      </c>
      <c r="R190">
        <v>170</v>
      </c>
      <c r="S190">
        <v>4.4000000000000004</v>
      </c>
      <c r="T190">
        <v>6</v>
      </c>
      <c r="U190">
        <v>2</v>
      </c>
    </row>
    <row r="191" spans="1:21" x14ac:dyDescent="0.3">
      <c r="A191" t="s">
        <v>296</v>
      </c>
      <c r="B191" s="2">
        <v>45761</v>
      </c>
      <c r="C191" t="s">
        <v>99</v>
      </c>
      <c r="D191" t="s">
        <v>121</v>
      </c>
      <c r="E191" t="s">
        <v>24</v>
      </c>
      <c r="F191" t="s">
        <v>33</v>
      </c>
      <c r="G191" t="s">
        <v>56</v>
      </c>
      <c r="H191" t="s">
        <v>27</v>
      </c>
      <c r="I191" t="s">
        <v>48</v>
      </c>
      <c r="J191" t="s">
        <v>197</v>
      </c>
      <c r="K191">
        <v>1</v>
      </c>
      <c r="L191">
        <v>109330</v>
      </c>
      <c r="M191">
        <v>4.8000000000000001E-2</v>
      </c>
      <c r="N191">
        <v>109330</v>
      </c>
      <c r="O191">
        <v>5247.84</v>
      </c>
      <c r="P191">
        <v>104082.16</v>
      </c>
      <c r="Q191">
        <v>4</v>
      </c>
      <c r="R191">
        <v>207</v>
      </c>
      <c r="S191">
        <v>4.5</v>
      </c>
      <c r="T191">
        <v>14</v>
      </c>
      <c r="U191">
        <v>2</v>
      </c>
    </row>
    <row r="192" spans="1:21" x14ac:dyDescent="0.3">
      <c r="A192" t="s">
        <v>297</v>
      </c>
      <c r="B192" s="2">
        <v>45819</v>
      </c>
      <c r="C192" t="s">
        <v>76</v>
      </c>
      <c r="D192" t="s">
        <v>117</v>
      </c>
      <c r="E192" t="s">
        <v>62</v>
      </c>
      <c r="F192" t="s">
        <v>33</v>
      </c>
      <c r="G192" t="s">
        <v>34</v>
      </c>
      <c r="H192" t="s">
        <v>35</v>
      </c>
      <c r="I192" t="s">
        <v>28</v>
      </c>
      <c r="J192" t="s">
        <v>85</v>
      </c>
      <c r="K192">
        <v>3</v>
      </c>
      <c r="L192">
        <v>140263</v>
      </c>
      <c r="M192">
        <v>2.5000000000000001E-2</v>
      </c>
      <c r="N192">
        <v>420789</v>
      </c>
      <c r="O192">
        <v>10519.73</v>
      </c>
      <c r="P192">
        <v>410269.27</v>
      </c>
      <c r="Q192">
        <v>2</v>
      </c>
      <c r="R192">
        <v>126</v>
      </c>
      <c r="S192">
        <v>3.8</v>
      </c>
      <c r="T192">
        <v>13</v>
      </c>
      <c r="U192">
        <v>3</v>
      </c>
    </row>
    <row r="193" spans="1:21" x14ac:dyDescent="0.3">
      <c r="A193" t="s">
        <v>298</v>
      </c>
      <c r="B193" s="2">
        <v>45684</v>
      </c>
      <c r="C193" t="s">
        <v>87</v>
      </c>
      <c r="D193" t="s">
        <v>130</v>
      </c>
      <c r="E193" t="s">
        <v>62</v>
      </c>
      <c r="F193" t="s">
        <v>74</v>
      </c>
      <c r="G193" t="s">
        <v>56</v>
      </c>
      <c r="H193" t="s">
        <v>35</v>
      </c>
      <c r="I193" t="s">
        <v>28</v>
      </c>
      <c r="J193" t="s">
        <v>83</v>
      </c>
      <c r="K193">
        <v>1</v>
      </c>
      <c r="L193">
        <v>112382</v>
      </c>
      <c r="M193">
        <v>0.104</v>
      </c>
      <c r="N193">
        <v>112382</v>
      </c>
      <c r="O193">
        <v>11687.73</v>
      </c>
      <c r="P193">
        <v>100694.27</v>
      </c>
      <c r="Q193">
        <v>4</v>
      </c>
      <c r="R193">
        <v>177</v>
      </c>
      <c r="S193">
        <v>3.5</v>
      </c>
      <c r="T193">
        <v>10</v>
      </c>
      <c r="U193">
        <v>3</v>
      </c>
    </row>
    <row r="194" spans="1:21" x14ac:dyDescent="0.3">
      <c r="A194" t="s">
        <v>299</v>
      </c>
      <c r="B194" s="2">
        <v>45709</v>
      </c>
      <c r="C194" t="s">
        <v>99</v>
      </c>
      <c r="D194" t="s">
        <v>100</v>
      </c>
      <c r="E194" t="s">
        <v>62</v>
      </c>
      <c r="F194" t="s">
        <v>66</v>
      </c>
      <c r="G194" t="s">
        <v>34</v>
      </c>
      <c r="H194" t="s">
        <v>27</v>
      </c>
      <c r="I194" t="s">
        <v>36</v>
      </c>
      <c r="J194" t="s">
        <v>78</v>
      </c>
      <c r="K194">
        <v>2</v>
      </c>
      <c r="L194">
        <v>116573</v>
      </c>
      <c r="M194">
        <v>6.6000000000000003E-2</v>
      </c>
      <c r="N194">
        <v>233146</v>
      </c>
      <c r="O194">
        <v>15387.64</v>
      </c>
      <c r="P194">
        <v>217758.36</v>
      </c>
      <c r="Q194">
        <v>3</v>
      </c>
      <c r="R194">
        <v>150</v>
      </c>
      <c r="S194">
        <v>3.6</v>
      </c>
      <c r="T194">
        <v>5</v>
      </c>
      <c r="U194">
        <v>2</v>
      </c>
    </row>
    <row r="195" spans="1:21" x14ac:dyDescent="0.3">
      <c r="A195" t="s">
        <v>300</v>
      </c>
      <c r="B195" s="2">
        <v>45947</v>
      </c>
      <c r="C195" t="s">
        <v>22</v>
      </c>
      <c r="D195" t="s">
        <v>23</v>
      </c>
      <c r="E195" t="s">
        <v>46</v>
      </c>
      <c r="F195" t="s">
        <v>66</v>
      </c>
      <c r="G195" t="s">
        <v>34</v>
      </c>
      <c r="H195" t="s">
        <v>27</v>
      </c>
      <c r="I195" t="s">
        <v>57</v>
      </c>
      <c r="J195" t="s">
        <v>216</v>
      </c>
      <c r="K195">
        <v>1</v>
      </c>
      <c r="L195">
        <v>123376</v>
      </c>
      <c r="M195">
        <v>2.5000000000000001E-2</v>
      </c>
      <c r="N195">
        <v>123376</v>
      </c>
      <c r="O195">
        <v>3084.4</v>
      </c>
      <c r="P195">
        <v>120291.6</v>
      </c>
      <c r="Q195">
        <v>4</v>
      </c>
      <c r="R195">
        <v>174</v>
      </c>
      <c r="S195">
        <v>4.0999999999999996</v>
      </c>
      <c r="T195">
        <v>7</v>
      </c>
      <c r="U195">
        <v>3</v>
      </c>
    </row>
    <row r="196" spans="1:21" x14ac:dyDescent="0.3">
      <c r="A196" t="s">
        <v>301</v>
      </c>
      <c r="B196" s="2">
        <v>45977</v>
      </c>
      <c r="C196" t="s">
        <v>60</v>
      </c>
      <c r="D196" t="s">
        <v>61</v>
      </c>
      <c r="E196" t="s">
        <v>62</v>
      </c>
      <c r="F196" t="s">
        <v>33</v>
      </c>
      <c r="G196" t="s">
        <v>67</v>
      </c>
      <c r="H196" t="s">
        <v>35</v>
      </c>
      <c r="I196" t="s">
        <v>57</v>
      </c>
      <c r="J196" t="s">
        <v>216</v>
      </c>
      <c r="K196">
        <v>1</v>
      </c>
      <c r="L196">
        <v>109740</v>
      </c>
      <c r="M196">
        <v>5.6000000000000001E-2</v>
      </c>
      <c r="N196">
        <v>109740</v>
      </c>
      <c r="O196">
        <v>6145.44</v>
      </c>
      <c r="P196">
        <v>103594.56</v>
      </c>
      <c r="Q196">
        <v>3</v>
      </c>
      <c r="R196">
        <v>158</v>
      </c>
      <c r="S196">
        <v>4.5</v>
      </c>
      <c r="T196">
        <v>5</v>
      </c>
      <c r="U196">
        <v>3</v>
      </c>
    </row>
    <row r="197" spans="1:21" x14ac:dyDescent="0.3">
      <c r="A197" t="s">
        <v>302</v>
      </c>
      <c r="B197" s="2">
        <v>45836</v>
      </c>
      <c r="C197" t="s">
        <v>31</v>
      </c>
      <c r="D197" t="s">
        <v>32</v>
      </c>
      <c r="E197" t="s">
        <v>62</v>
      </c>
      <c r="F197" t="s">
        <v>25</v>
      </c>
      <c r="G197" t="s">
        <v>67</v>
      </c>
      <c r="H197" t="s">
        <v>35</v>
      </c>
      <c r="I197" t="s">
        <v>94</v>
      </c>
      <c r="J197" t="s">
        <v>131</v>
      </c>
      <c r="K197">
        <v>1</v>
      </c>
      <c r="L197">
        <v>113980</v>
      </c>
      <c r="M197">
        <v>6.9000000000000006E-2</v>
      </c>
      <c r="N197">
        <v>113980</v>
      </c>
      <c r="O197">
        <v>7864.62</v>
      </c>
      <c r="P197">
        <v>106115.38</v>
      </c>
      <c r="Q197">
        <v>3</v>
      </c>
      <c r="R197">
        <v>181</v>
      </c>
      <c r="S197">
        <v>4.5</v>
      </c>
      <c r="T197">
        <v>11</v>
      </c>
      <c r="U197">
        <v>5</v>
      </c>
    </row>
    <row r="198" spans="1:21" x14ac:dyDescent="0.3">
      <c r="A198" t="s">
        <v>303</v>
      </c>
      <c r="B198" s="2">
        <v>45930</v>
      </c>
      <c r="C198" t="s">
        <v>76</v>
      </c>
      <c r="D198" t="s">
        <v>117</v>
      </c>
      <c r="E198" t="s">
        <v>62</v>
      </c>
      <c r="F198" t="s">
        <v>47</v>
      </c>
      <c r="G198" t="s">
        <v>34</v>
      </c>
      <c r="H198" t="s">
        <v>27</v>
      </c>
      <c r="I198" t="s">
        <v>63</v>
      </c>
      <c r="J198" t="s">
        <v>175</v>
      </c>
      <c r="K198">
        <v>2</v>
      </c>
      <c r="L198">
        <v>144741</v>
      </c>
      <c r="M198">
        <v>4.7E-2</v>
      </c>
      <c r="N198">
        <v>289482</v>
      </c>
      <c r="O198">
        <v>13605.65</v>
      </c>
      <c r="P198">
        <v>275876.34999999998</v>
      </c>
      <c r="Q198">
        <v>3</v>
      </c>
      <c r="R198">
        <v>163</v>
      </c>
      <c r="S198">
        <v>3.7</v>
      </c>
      <c r="T198">
        <v>8</v>
      </c>
      <c r="U198">
        <v>2</v>
      </c>
    </row>
    <row r="199" spans="1:21" x14ac:dyDescent="0.3">
      <c r="A199" t="s">
        <v>304</v>
      </c>
      <c r="B199" s="2">
        <v>45670</v>
      </c>
      <c r="C199" t="s">
        <v>76</v>
      </c>
      <c r="D199" t="s">
        <v>117</v>
      </c>
      <c r="E199" t="s">
        <v>46</v>
      </c>
      <c r="F199" t="s">
        <v>41</v>
      </c>
      <c r="G199" t="s">
        <v>67</v>
      </c>
      <c r="H199" t="s">
        <v>35</v>
      </c>
      <c r="I199" t="s">
        <v>94</v>
      </c>
      <c r="J199" t="s">
        <v>102</v>
      </c>
      <c r="K199">
        <v>1</v>
      </c>
      <c r="L199">
        <v>142439</v>
      </c>
      <c r="M199">
        <v>0.105</v>
      </c>
      <c r="N199">
        <v>142439</v>
      </c>
      <c r="O199">
        <v>14956.09</v>
      </c>
      <c r="P199">
        <v>127482.91</v>
      </c>
      <c r="Q199">
        <v>3</v>
      </c>
      <c r="R199">
        <v>159</v>
      </c>
      <c r="S199">
        <v>5</v>
      </c>
      <c r="T199">
        <v>9</v>
      </c>
      <c r="U199">
        <v>3</v>
      </c>
    </row>
    <row r="200" spans="1:21" x14ac:dyDescent="0.3">
      <c r="A200" t="s">
        <v>305</v>
      </c>
      <c r="B200" s="2">
        <v>45873</v>
      </c>
      <c r="C200" t="s">
        <v>99</v>
      </c>
      <c r="D200" t="s">
        <v>141</v>
      </c>
      <c r="E200" t="s">
        <v>46</v>
      </c>
      <c r="F200" t="s">
        <v>41</v>
      </c>
      <c r="G200" t="s">
        <v>67</v>
      </c>
      <c r="H200" t="s">
        <v>35</v>
      </c>
      <c r="I200" t="s">
        <v>63</v>
      </c>
      <c r="J200" t="s">
        <v>102</v>
      </c>
      <c r="K200">
        <v>5</v>
      </c>
      <c r="L200">
        <v>134064</v>
      </c>
      <c r="M200">
        <v>9.4E-2</v>
      </c>
      <c r="N200">
        <v>670320</v>
      </c>
      <c r="O200">
        <v>63010.080000000002</v>
      </c>
      <c r="P200">
        <v>607309.92000000004</v>
      </c>
      <c r="Q200">
        <v>5</v>
      </c>
      <c r="R200">
        <v>201</v>
      </c>
      <c r="S200">
        <v>3.9</v>
      </c>
      <c r="T200">
        <v>7</v>
      </c>
      <c r="U200">
        <v>3</v>
      </c>
    </row>
    <row r="201" spans="1:21" x14ac:dyDescent="0.3">
      <c r="A201" t="s">
        <v>306</v>
      </c>
      <c r="B201" s="2">
        <v>45775</v>
      </c>
      <c r="C201" t="s">
        <v>76</v>
      </c>
      <c r="D201" t="s">
        <v>77</v>
      </c>
      <c r="E201" t="s">
        <v>46</v>
      </c>
      <c r="F201" t="s">
        <v>41</v>
      </c>
      <c r="G201" t="s">
        <v>26</v>
      </c>
      <c r="H201" t="s">
        <v>27</v>
      </c>
      <c r="I201" t="s">
        <v>63</v>
      </c>
      <c r="J201" t="s">
        <v>37</v>
      </c>
      <c r="K201">
        <v>3</v>
      </c>
      <c r="L201">
        <v>147339</v>
      </c>
      <c r="M201">
        <v>0.03</v>
      </c>
      <c r="N201">
        <v>442017</v>
      </c>
      <c r="O201">
        <v>13260.51</v>
      </c>
      <c r="P201">
        <v>428756.49</v>
      </c>
      <c r="Q201">
        <v>4</v>
      </c>
      <c r="R201">
        <v>185</v>
      </c>
      <c r="S201">
        <v>4</v>
      </c>
      <c r="T201">
        <v>3</v>
      </c>
      <c r="U201">
        <v>3</v>
      </c>
    </row>
    <row r="202" spans="1:21" x14ac:dyDescent="0.3">
      <c r="A202" t="s">
        <v>307</v>
      </c>
      <c r="B202" s="2">
        <v>45759</v>
      </c>
      <c r="C202" t="s">
        <v>39</v>
      </c>
      <c r="D202" t="s">
        <v>40</v>
      </c>
      <c r="E202" t="s">
        <v>62</v>
      </c>
      <c r="F202" t="s">
        <v>74</v>
      </c>
      <c r="G202" t="s">
        <v>34</v>
      </c>
      <c r="H202" t="s">
        <v>27</v>
      </c>
      <c r="I202" t="s">
        <v>36</v>
      </c>
      <c r="J202" t="s">
        <v>58</v>
      </c>
      <c r="K202">
        <v>2</v>
      </c>
      <c r="L202">
        <v>127914</v>
      </c>
      <c r="N202">
        <v>255828</v>
      </c>
      <c r="O202">
        <v>5372.39</v>
      </c>
      <c r="P202">
        <v>250455.61</v>
      </c>
      <c r="Q202">
        <v>3</v>
      </c>
      <c r="R202">
        <v>164</v>
      </c>
      <c r="S202">
        <v>4.3</v>
      </c>
      <c r="T202">
        <v>7</v>
      </c>
      <c r="U202">
        <v>2</v>
      </c>
    </row>
    <row r="203" spans="1:21" x14ac:dyDescent="0.3">
      <c r="A203" t="s">
        <v>308</v>
      </c>
      <c r="B203" s="2">
        <v>45827</v>
      </c>
      <c r="C203" t="s">
        <v>87</v>
      </c>
      <c r="D203" t="s">
        <v>130</v>
      </c>
      <c r="E203" t="s">
        <v>24</v>
      </c>
      <c r="F203" t="s">
        <v>25</v>
      </c>
      <c r="G203" t="s">
        <v>34</v>
      </c>
      <c r="H203" t="s">
        <v>53</v>
      </c>
      <c r="I203" t="s">
        <v>36</v>
      </c>
      <c r="J203" t="s">
        <v>143</v>
      </c>
      <c r="K203">
        <v>3</v>
      </c>
      <c r="L203">
        <v>115830</v>
      </c>
      <c r="M203">
        <v>3.2000000000000001E-2</v>
      </c>
      <c r="N203">
        <v>347490</v>
      </c>
      <c r="O203">
        <v>11119.68</v>
      </c>
      <c r="P203">
        <v>336370.32</v>
      </c>
      <c r="Q203">
        <v>3</v>
      </c>
      <c r="R203">
        <v>165</v>
      </c>
      <c r="S203">
        <v>4.8</v>
      </c>
      <c r="T203">
        <v>5</v>
      </c>
      <c r="U203">
        <v>2</v>
      </c>
    </row>
    <row r="204" spans="1:21" x14ac:dyDescent="0.3">
      <c r="A204" t="s">
        <v>309</v>
      </c>
      <c r="B204" s="2">
        <v>45817</v>
      </c>
      <c r="C204" t="s">
        <v>39</v>
      </c>
      <c r="D204" t="s">
        <v>40</v>
      </c>
      <c r="E204" t="s">
        <v>46</v>
      </c>
      <c r="F204" t="s">
        <v>47</v>
      </c>
      <c r="G204" t="s">
        <v>26</v>
      </c>
      <c r="H204" t="s">
        <v>53</v>
      </c>
      <c r="I204" t="s">
        <v>36</v>
      </c>
      <c r="J204" t="s">
        <v>78</v>
      </c>
      <c r="K204">
        <v>4</v>
      </c>
      <c r="L204">
        <v>131205</v>
      </c>
      <c r="M204">
        <v>9.8000000000000004E-2</v>
      </c>
      <c r="N204">
        <v>524820</v>
      </c>
      <c r="O204">
        <v>51432.36</v>
      </c>
      <c r="P204">
        <v>473387.64</v>
      </c>
      <c r="Q204">
        <v>3</v>
      </c>
      <c r="R204">
        <v>144</v>
      </c>
      <c r="S204">
        <v>3.7</v>
      </c>
      <c r="T204">
        <v>4</v>
      </c>
      <c r="U204">
        <v>2</v>
      </c>
    </row>
    <row r="205" spans="1:21" x14ac:dyDescent="0.3">
      <c r="A205" t="s">
        <v>310</v>
      </c>
      <c r="B205" s="2">
        <v>45661</v>
      </c>
      <c r="C205" t="s">
        <v>44</v>
      </c>
      <c r="D205" t="s">
        <v>51</v>
      </c>
      <c r="E205" t="s">
        <v>46</v>
      </c>
      <c r="F205" t="s">
        <v>74</v>
      </c>
      <c r="G205" t="s">
        <v>56</v>
      </c>
      <c r="H205" t="s">
        <v>27</v>
      </c>
      <c r="I205" t="s">
        <v>36</v>
      </c>
      <c r="J205" t="s">
        <v>42</v>
      </c>
      <c r="K205">
        <v>5</v>
      </c>
      <c r="L205">
        <v>128637</v>
      </c>
      <c r="M205">
        <v>9.9000000000000005E-2</v>
      </c>
      <c r="N205">
        <v>643185</v>
      </c>
      <c r="O205">
        <v>63675.32</v>
      </c>
      <c r="P205">
        <v>579509.68000000005</v>
      </c>
      <c r="Q205">
        <v>5</v>
      </c>
      <c r="R205">
        <v>206</v>
      </c>
      <c r="S205">
        <v>4.0999999999999996</v>
      </c>
      <c r="T205">
        <v>13</v>
      </c>
      <c r="U205">
        <v>3</v>
      </c>
    </row>
    <row r="206" spans="1:21" x14ac:dyDescent="0.3">
      <c r="A206" t="s">
        <v>311</v>
      </c>
      <c r="B206" s="2">
        <v>45683</v>
      </c>
      <c r="C206" t="s">
        <v>99</v>
      </c>
      <c r="D206" t="s">
        <v>141</v>
      </c>
      <c r="E206" t="s">
        <v>62</v>
      </c>
      <c r="F206" t="s">
        <v>74</v>
      </c>
      <c r="G206" t="s">
        <v>67</v>
      </c>
      <c r="H206" t="s">
        <v>35</v>
      </c>
      <c r="I206" t="s">
        <v>36</v>
      </c>
      <c r="J206" t="s">
        <v>216</v>
      </c>
      <c r="K206">
        <v>3</v>
      </c>
      <c r="L206">
        <v>137776</v>
      </c>
      <c r="M206">
        <v>4.8000000000000001E-2</v>
      </c>
      <c r="N206">
        <v>413328</v>
      </c>
      <c r="O206">
        <v>19839.740000000002</v>
      </c>
      <c r="P206">
        <v>393488.26</v>
      </c>
      <c r="Q206">
        <v>5</v>
      </c>
      <c r="R206">
        <v>210</v>
      </c>
      <c r="S206">
        <v>4.0999999999999996</v>
      </c>
      <c r="T206">
        <v>13</v>
      </c>
      <c r="U206">
        <v>5</v>
      </c>
    </row>
    <row r="207" spans="1:21" x14ac:dyDescent="0.3">
      <c r="A207" t="s">
        <v>312</v>
      </c>
      <c r="B207" s="2">
        <v>45845</v>
      </c>
      <c r="C207" t="s">
        <v>31</v>
      </c>
      <c r="D207" t="s">
        <v>32</v>
      </c>
      <c r="E207" t="s">
        <v>24</v>
      </c>
      <c r="F207" t="s">
        <v>74</v>
      </c>
      <c r="G207" t="s">
        <v>26</v>
      </c>
      <c r="H207" t="s">
        <v>27</v>
      </c>
      <c r="I207" t="s">
        <v>63</v>
      </c>
      <c r="J207" t="s">
        <v>29</v>
      </c>
      <c r="K207">
        <v>2</v>
      </c>
      <c r="L207">
        <v>104333</v>
      </c>
      <c r="M207">
        <v>8.8999999999999996E-2</v>
      </c>
      <c r="N207">
        <v>208666</v>
      </c>
      <c r="O207">
        <v>18571.27</v>
      </c>
      <c r="P207">
        <v>190094.73</v>
      </c>
      <c r="Q207">
        <v>4</v>
      </c>
      <c r="R207">
        <v>181</v>
      </c>
      <c r="S207">
        <v>4.4000000000000004</v>
      </c>
      <c r="T207">
        <v>10</v>
      </c>
      <c r="U207">
        <v>5</v>
      </c>
    </row>
    <row r="208" spans="1:21" x14ac:dyDescent="0.3">
      <c r="A208" t="s">
        <v>313</v>
      </c>
      <c r="B208" s="2">
        <v>45718</v>
      </c>
      <c r="C208" t="s">
        <v>22</v>
      </c>
      <c r="D208" t="s">
        <v>23</v>
      </c>
      <c r="E208" t="s">
        <v>24</v>
      </c>
      <c r="F208" t="s">
        <v>33</v>
      </c>
      <c r="G208" t="s">
        <v>26</v>
      </c>
      <c r="H208" t="s">
        <v>27</v>
      </c>
      <c r="I208" t="s">
        <v>94</v>
      </c>
      <c r="J208" t="s">
        <v>197</v>
      </c>
      <c r="K208">
        <v>5</v>
      </c>
      <c r="L208">
        <v>128966</v>
      </c>
      <c r="M208">
        <v>8.2000000000000003E-2</v>
      </c>
      <c r="N208">
        <v>644830</v>
      </c>
      <c r="O208">
        <v>52876.06</v>
      </c>
      <c r="P208">
        <v>591953.93999999994</v>
      </c>
      <c r="Q208">
        <v>5</v>
      </c>
      <c r="R208">
        <v>203</v>
      </c>
      <c r="S208">
        <v>4.8</v>
      </c>
      <c r="T208">
        <v>14</v>
      </c>
      <c r="U208">
        <v>5</v>
      </c>
    </row>
    <row r="209" spans="1:21" x14ac:dyDescent="0.3">
      <c r="A209" t="s">
        <v>314</v>
      </c>
      <c r="B209" s="2">
        <v>45892</v>
      </c>
      <c r="C209" t="s">
        <v>44</v>
      </c>
      <c r="D209" t="s">
        <v>45</v>
      </c>
      <c r="E209" t="s">
        <v>62</v>
      </c>
      <c r="F209" t="s">
        <v>101</v>
      </c>
      <c r="G209" t="s">
        <v>26</v>
      </c>
      <c r="H209" t="s">
        <v>235</v>
      </c>
      <c r="I209" t="s">
        <v>36</v>
      </c>
      <c r="J209" t="s">
        <v>138</v>
      </c>
      <c r="K209">
        <v>2</v>
      </c>
      <c r="L209">
        <v>143876</v>
      </c>
      <c r="M209">
        <v>0.11899999999999999</v>
      </c>
      <c r="N209">
        <v>287752</v>
      </c>
      <c r="O209">
        <v>34242.49</v>
      </c>
      <c r="P209">
        <v>253509.51</v>
      </c>
      <c r="Q209">
        <v>4</v>
      </c>
      <c r="R209">
        <v>201</v>
      </c>
      <c r="S209">
        <v>3.6</v>
      </c>
      <c r="T209">
        <v>10</v>
      </c>
      <c r="U209">
        <v>5</v>
      </c>
    </row>
    <row r="210" spans="1:21" x14ac:dyDescent="0.3">
      <c r="A210" t="s">
        <v>315</v>
      </c>
      <c r="B210" s="2">
        <v>45931</v>
      </c>
      <c r="C210" t="s">
        <v>60</v>
      </c>
      <c r="D210" t="s">
        <v>69</v>
      </c>
      <c r="E210" t="s">
        <v>24</v>
      </c>
      <c r="F210" t="s">
        <v>74</v>
      </c>
      <c r="G210" t="s">
        <v>56</v>
      </c>
      <c r="H210" t="s">
        <v>35</v>
      </c>
      <c r="I210" t="s">
        <v>94</v>
      </c>
      <c r="J210" t="s">
        <v>89</v>
      </c>
      <c r="K210">
        <v>2</v>
      </c>
      <c r="L210">
        <v>99774</v>
      </c>
      <c r="M210">
        <v>8.2000000000000003E-2</v>
      </c>
      <c r="N210">
        <v>199548</v>
      </c>
      <c r="O210">
        <v>16362.94</v>
      </c>
      <c r="P210">
        <v>183185.06</v>
      </c>
      <c r="Q210">
        <v>5</v>
      </c>
      <c r="R210">
        <v>206</v>
      </c>
      <c r="S210">
        <v>3.8</v>
      </c>
      <c r="T210">
        <v>12</v>
      </c>
      <c r="U210">
        <v>2</v>
      </c>
    </row>
    <row r="211" spans="1:21" x14ac:dyDescent="0.3">
      <c r="A211" t="s">
        <v>316</v>
      </c>
      <c r="B211" s="2">
        <v>45904</v>
      </c>
      <c r="C211" t="s">
        <v>99</v>
      </c>
      <c r="D211" t="s">
        <v>100</v>
      </c>
      <c r="E211" t="s">
        <v>24</v>
      </c>
      <c r="F211" t="s">
        <v>80</v>
      </c>
      <c r="G211" t="s">
        <v>67</v>
      </c>
      <c r="H211" t="s">
        <v>27</v>
      </c>
      <c r="I211" t="s">
        <v>36</v>
      </c>
      <c r="J211" t="s">
        <v>148</v>
      </c>
      <c r="K211">
        <v>1</v>
      </c>
      <c r="L211">
        <v>121852</v>
      </c>
      <c r="M211">
        <v>9.7000000000000003E-2</v>
      </c>
      <c r="N211">
        <v>121852</v>
      </c>
      <c r="O211">
        <v>11819.64</v>
      </c>
      <c r="P211">
        <v>110032.36</v>
      </c>
      <c r="Q211">
        <v>3</v>
      </c>
      <c r="R211">
        <v>161</v>
      </c>
      <c r="S211">
        <v>3.4</v>
      </c>
      <c r="T211">
        <v>2</v>
      </c>
      <c r="U211">
        <v>5</v>
      </c>
    </row>
    <row r="212" spans="1:21" x14ac:dyDescent="0.3">
      <c r="A212" t="s">
        <v>317</v>
      </c>
      <c r="B212" s="2">
        <v>45693</v>
      </c>
      <c r="C212" t="s">
        <v>60</v>
      </c>
      <c r="D212" t="s">
        <v>61</v>
      </c>
      <c r="E212" t="s">
        <v>62</v>
      </c>
      <c r="F212" t="s">
        <v>80</v>
      </c>
      <c r="G212" t="s">
        <v>67</v>
      </c>
      <c r="H212" t="s">
        <v>35</v>
      </c>
      <c r="I212" t="s">
        <v>57</v>
      </c>
      <c r="J212" t="s">
        <v>104</v>
      </c>
      <c r="K212">
        <v>1</v>
      </c>
      <c r="L212">
        <v>123011</v>
      </c>
      <c r="M212">
        <v>4.2999999999999997E-2</v>
      </c>
      <c r="N212">
        <v>123011</v>
      </c>
      <c r="O212">
        <v>5289.47</v>
      </c>
      <c r="P212">
        <v>117721.53</v>
      </c>
      <c r="Q212">
        <v>4</v>
      </c>
      <c r="R212">
        <v>173</v>
      </c>
      <c r="S212">
        <v>3.6</v>
      </c>
      <c r="T212">
        <v>3</v>
      </c>
      <c r="U212">
        <v>5</v>
      </c>
    </row>
    <row r="213" spans="1:21" x14ac:dyDescent="0.3">
      <c r="A213" t="s">
        <v>318</v>
      </c>
      <c r="B213" s="2">
        <v>45798</v>
      </c>
      <c r="C213" t="s">
        <v>39</v>
      </c>
      <c r="D213" t="s">
        <v>154</v>
      </c>
      <c r="E213" t="s">
        <v>62</v>
      </c>
      <c r="F213" t="s">
        <v>74</v>
      </c>
      <c r="G213" t="s">
        <v>56</v>
      </c>
      <c r="H213" t="s">
        <v>53</v>
      </c>
      <c r="I213" t="s">
        <v>28</v>
      </c>
      <c r="J213" t="s">
        <v>72</v>
      </c>
      <c r="K213">
        <v>1</v>
      </c>
      <c r="L213">
        <v>191914</v>
      </c>
      <c r="M213">
        <v>3.5000000000000003E-2</v>
      </c>
      <c r="N213">
        <v>191914</v>
      </c>
      <c r="O213">
        <v>6716.99</v>
      </c>
      <c r="P213">
        <v>185197.01</v>
      </c>
      <c r="Q213">
        <v>5</v>
      </c>
      <c r="R213">
        <v>199</v>
      </c>
      <c r="S213">
        <v>4.4000000000000004</v>
      </c>
      <c r="T213">
        <v>10</v>
      </c>
      <c r="U213">
        <v>2</v>
      </c>
    </row>
    <row r="214" spans="1:21" x14ac:dyDescent="0.3">
      <c r="A214" t="s">
        <v>319</v>
      </c>
      <c r="B214" s="2">
        <v>46016</v>
      </c>
      <c r="C214" t="s">
        <v>39</v>
      </c>
      <c r="D214" t="s">
        <v>40</v>
      </c>
      <c r="E214" t="s">
        <v>24</v>
      </c>
      <c r="F214" t="s">
        <v>74</v>
      </c>
      <c r="G214" t="s">
        <v>26</v>
      </c>
      <c r="H214" t="s">
        <v>27</v>
      </c>
      <c r="I214" t="s">
        <v>94</v>
      </c>
      <c r="J214" t="s">
        <v>81</v>
      </c>
      <c r="K214">
        <v>2</v>
      </c>
      <c r="L214">
        <v>123749</v>
      </c>
      <c r="M214">
        <v>9.9000000000000005E-2</v>
      </c>
      <c r="N214">
        <v>247498</v>
      </c>
      <c r="O214">
        <v>24502.3</v>
      </c>
      <c r="P214">
        <v>222995.7</v>
      </c>
      <c r="Q214">
        <v>3</v>
      </c>
      <c r="R214">
        <v>140</v>
      </c>
      <c r="S214">
        <v>4.5</v>
      </c>
      <c r="T214">
        <v>5</v>
      </c>
      <c r="U214">
        <v>2</v>
      </c>
    </row>
    <row r="215" spans="1:21" x14ac:dyDescent="0.3">
      <c r="A215" t="s">
        <v>320</v>
      </c>
      <c r="B215" s="2">
        <v>45923</v>
      </c>
      <c r="C215" t="s">
        <v>44</v>
      </c>
      <c r="D215" t="s">
        <v>45</v>
      </c>
      <c r="E215" t="s">
        <v>46</v>
      </c>
      <c r="F215" t="s">
        <v>52</v>
      </c>
      <c r="G215" t="s">
        <v>56</v>
      </c>
      <c r="H215" t="s">
        <v>53</v>
      </c>
      <c r="I215" t="s">
        <v>63</v>
      </c>
      <c r="J215" t="s">
        <v>175</v>
      </c>
      <c r="K215">
        <v>3</v>
      </c>
      <c r="L215">
        <v>156787</v>
      </c>
      <c r="M215">
        <v>4.2999999999999997E-2</v>
      </c>
      <c r="N215">
        <v>470361</v>
      </c>
      <c r="O215">
        <v>20225.52</v>
      </c>
      <c r="P215">
        <v>450135.48</v>
      </c>
      <c r="Q215">
        <v>5</v>
      </c>
      <c r="R215">
        <v>205</v>
      </c>
      <c r="S215">
        <v>3.7</v>
      </c>
      <c r="T215">
        <v>10</v>
      </c>
      <c r="U215">
        <v>2</v>
      </c>
    </row>
    <row r="216" spans="1:21" x14ac:dyDescent="0.3">
      <c r="A216" t="s">
        <v>321</v>
      </c>
      <c r="B216" s="2">
        <v>45766</v>
      </c>
      <c r="C216" t="s">
        <v>99</v>
      </c>
      <c r="D216" t="s">
        <v>121</v>
      </c>
      <c r="E216" t="s">
        <v>24</v>
      </c>
      <c r="F216" t="s">
        <v>41</v>
      </c>
      <c r="G216" t="s">
        <v>67</v>
      </c>
      <c r="H216" t="s">
        <v>53</v>
      </c>
      <c r="I216" t="s">
        <v>57</v>
      </c>
      <c r="J216" t="s">
        <v>89</v>
      </c>
      <c r="K216">
        <v>1</v>
      </c>
      <c r="L216">
        <v>111843</v>
      </c>
      <c r="M216">
        <v>0.115</v>
      </c>
      <c r="N216">
        <v>111843</v>
      </c>
      <c r="O216">
        <v>12861.94</v>
      </c>
      <c r="P216">
        <v>98981.06</v>
      </c>
      <c r="Q216">
        <v>5</v>
      </c>
      <c r="R216">
        <v>216</v>
      </c>
      <c r="S216">
        <v>3.9</v>
      </c>
      <c r="T216">
        <v>11</v>
      </c>
      <c r="U216">
        <v>5</v>
      </c>
    </row>
    <row r="217" spans="1:21" x14ac:dyDescent="0.3">
      <c r="A217" t="s">
        <v>322</v>
      </c>
      <c r="B217" s="2">
        <v>45760</v>
      </c>
      <c r="C217" t="s">
        <v>39</v>
      </c>
      <c r="D217" t="s">
        <v>154</v>
      </c>
      <c r="E217" t="s">
        <v>62</v>
      </c>
      <c r="F217" t="s">
        <v>41</v>
      </c>
      <c r="G217" t="s">
        <v>26</v>
      </c>
      <c r="H217" t="s">
        <v>53</v>
      </c>
      <c r="I217" t="s">
        <v>48</v>
      </c>
      <c r="J217" t="s">
        <v>203</v>
      </c>
      <c r="K217">
        <v>1</v>
      </c>
      <c r="L217">
        <v>185228</v>
      </c>
      <c r="M217">
        <v>5.6000000000000001E-2</v>
      </c>
      <c r="N217">
        <v>185228</v>
      </c>
      <c r="O217">
        <v>10372.77</v>
      </c>
      <c r="P217">
        <v>174855.23</v>
      </c>
      <c r="Q217">
        <v>3</v>
      </c>
      <c r="R217">
        <v>162</v>
      </c>
      <c r="S217">
        <v>4.5999999999999996</v>
      </c>
      <c r="T217">
        <v>9</v>
      </c>
      <c r="U217">
        <v>5</v>
      </c>
    </row>
    <row r="218" spans="1:21" x14ac:dyDescent="0.3">
      <c r="A218" t="s">
        <v>323</v>
      </c>
      <c r="B218" s="2">
        <v>45838</v>
      </c>
      <c r="C218" t="s">
        <v>39</v>
      </c>
      <c r="D218" t="s">
        <v>154</v>
      </c>
      <c r="E218" t="s">
        <v>24</v>
      </c>
      <c r="F218" t="s">
        <v>52</v>
      </c>
      <c r="G218" t="s">
        <v>56</v>
      </c>
      <c r="H218" t="s">
        <v>35</v>
      </c>
      <c r="I218" t="s">
        <v>28</v>
      </c>
      <c r="J218" t="s">
        <v>95</v>
      </c>
      <c r="K218">
        <v>1</v>
      </c>
      <c r="L218">
        <v>179915</v>
      </c>
      <c r="M218">
        <v>2.4E-2</v>
      </c>
      <c r="N218">
        <v>179915</v>
      </c>
      <c r="O218">
        <v>4317.96</v>
      </c>
      <c r="P218">
        <v>175597.04</v>
      </c>
      <c r="Q218">
        <v>3</v>
      </c>
      <c r="R218">
        <v>172</v>
      </c>
      <c r="S218">
        <v>3</v>
      </c>
      <c r="T218">
        <v>6</v>
      </c>
      <c r="U218">
        <v>2</v>
      </c>
    </row>
    <row r="219" spans="1:21" x14ac:dyDescent="0.3">
      <c r="A219" t="s">
        <v>324</v>
      </c>
      <c r="B219" s="2">
        <v>45660</v>
      </c>
      <c r="C219" t="s">
        <v>60</v>
      </c>
      <c r="D219" t="s">
        <v>61</v>
      </c>
      <c r="E219" t="s">
        <v>46</v>
      </c>
      <c r="F219" t="s">
        <v>66</v>
      </c>
      <c r="G219" t="s">
        <v>26</v>
      </c>
      <c r="H219" t="s">
        <v>27</v>
      </c>
      <c r="I219" t="s">
        <v>28</v>
      </c>
      <c r="J219" t="s">
        <v>49</v>
      </c>
      <c r="K219">
        <v>4</v>
      </c>
      <c r="L219">
        <v>108935</v>
      </c>
      <c r="M219">
        <v>3.9E-2</v>
      </c>
      <c r="N219">
        <v>435740</v>
      </c>
      <c r="O219">
        <v>16993.86</v>
      </c>
      <c r="P219">
        <v>418746.14</v>
      </c>
      <c r="Q219">
        <v>3</v>
      </c>
      <c r="R219">
        <v>173</v>
      </c>
      <c r="S219">
        <v>4.7</v>
      </c>
      <c r="T219">
        <v>10</v>
      </c>
      <c r="U219">
        <v>2</v>
      </c>
    </row>
    <row r="220" spans="1:21" x14ac:dyDescent="0.3">
      <c r="A220" t="s">
        <v>325</v>
      </c>
      <c r="B220" s="2">
        <v>45769</v>
      </c>
      <c r="C220" t="s">
        <v>60</v>
      </c>
      <c r="D220" t="s">
        <v>69</v>
      </c>
      <c r="E220" t="s">
        <v>62</v>
      </c>
      <c r="F220" t="s">
        <v>66</v>
      </c>
      <c r="G220" t="s">
        <v>56</v>
      </c>
      <c r="H220" t="s">
        <v>27</v>
      </c>
      <c r="I220" t="s">
        <v>48</v>
      </c>
      <c r="J220" t="s">
        <v>58</v>
      </c>
      <c r="K220">
        <v>3</v>
      </c>
      <c r="L220">
        <v>101369</v>
      </c>
      <c r="M220">
        <v>5.7000000000000002E-2</v>
      </c>
      <c r="N220">
        <v>304107</v>
      </c>
      <c r="O220">
        <v>17334.099999999999</v>
      </c>
      <c r="P220">
        <v>286772.90000000002</v>
      </c>
      <c r="Q220">
        <v>5</v>
      </c>
      <c r="R220">
        <v>192</v>
      </c>
      <c r="S220">
        <v>4.7</v>
      </c>
      <c r="T220">
        <v>6</v>
      </c>
      <c r="U220">
        <v>2</v>
      </c>
    </row>
    <row r="221" spans="1:21" x14ac:dyDescent="0.3">
      <c r="A221" t="s">
        <v>326</v>
      </c>
      <c r="B221" s="2">
        <v>45911</v>
      </c>
      <c r="C221" t="s">
        <v>99</v>
      </c>
      <c r="D221" t="s">
        <v>121</v>
      </c>
      <c r="E221" t="s">
        <v>46</v>
      </c>
      <c r="F221" t="s">
        <v>25</v>
      </c>
      <c r="G221" t="s">
        <v>26</v>
      </c>
      <c r="H221" t="s">
        <v>53</v>
      </c>
      <c r="I221" t="s">
        <v>57</v>
      </c>
      <c r="J221" t="s">
        <v>37</v>
      </c>
      <c r="K221">
        <v>2</v>
      </c>
      <c r="L221">
        <v>112697</v>
      </c>
      <c r="M221">
        <v>2.4E-2</v>
      </c>
      <c r="N221">
        <v>225394</v>
      </c>
      <c r="O221">
        <v>5409.46</v>
      </c>
      <c r="P221">
        <v>219984.54</v>
      </c>
      <c r="Q221">
        <v>3</v>
      </c>
      <c r="R221">
        <v>144</v>
      </c>
      <c r="S221">
        <v>4.5</v>
      </c>
      <c r="T221">
        <v>10</v>
      </c>
      <c r="U221">
        <v>5</v>
      </c>
    </row>
    <row r="222" spans="1:21" x14ac:dyDescent="0.3">
      <c r="A222" t="s">
        <v>327</v>
      </c>
      <c r="B222" s="2">
        <v>45738</v>
      </c>
      <c r="C222" t="s">
        <v>39</v>
      </c>
      <c r="D222" t="s">
        <v>154</v>
      </c>
      <c r="E222" t="s">
        <v>62</v>
      </c>
      <c r="F222" t="s">
        <v>70</v>
      </c>
      <c r="G222" t="s">
        <v>67</v>
      </c>
      <c r="H222" t="s">
        <v>27</v>
      </c>
      <c r="I222" t="s">
        <v>63</v>
      </c>
      <c r="J222" t="s">
        <v>148</v>
      </c>
      <c r="K222">
        <v>5</v>
      </c>
      <c r="L222">
        <v>190053</v>
      </c>
      <c r="M222">
        <v>0.09</v>
      </c>
      <c r="N222">
        <v>950265</v>
      </c>
      <c r="O222">
        <v>85523.85</v>
      </c>
      <c r="P222">
        <v>864741.15</v>
      </c>
      <c r="Q222">
        <v>4</v>
      </c>
      <c r="R222">
        <v>191</v>
      </c>
      <c r="S222">
        <v>4.0999999999999996</v>
      </c>
      <c r="T222">
        <v>8</v>
      </c>
      <c r="U222">
        <v>3</v>
      </c>
    </row>
    <row r="223" spans="1:21" x14ac:dyDescent="0.3">
      <c r="A223" t="s">
        <v>328</v>
      </c>
      <c r="B223" s="2">
        <v>45798</v>
      </c>
      <c r="C223" t="s">
        <v>60</v>
      </c>
      <c r="D223" t="s">
        <v>69</v>
      </c>
      <c r="E223" t="s">
        <v>46</v>
      </c>
      <c r="F223" t="s">
        <v>74</v>
      </c>
      <c r="G223" t="s">
        <v>56</v>
      </c>
      <c r="H223" t="s">
        <v>27</v>
      </c>
      <c r="I223" t="s">
        <v>36</v>
      </c>
      <c r="J223" t="s">
        <v>203</v>
      </c>
      <c r="K223">
        <v>1</v>
      </c>
      <c r="L223">
        <v>108477</v>
      </c>
      <c r="M223">
        <v>3.5999999999999997E-2</v>
      </c>
      <c r="N223">
        <v>108477</v>
      </c>
      <c r="O223">
        <v>3905.17</v>
      </c>
      <c r="P223">
        <v>104571.83</v>
      </c>
      <c r="Q223">
        <v>2</v>
      </c>
      <c r="R223">
        <v>154</v>
      </c>
      <c r="S223">
        <v>4.5999999999999996</v>
      </c>
      <c r="T223">
        <v>14</v>
      </c>
      <c r="U223">
        <v>5</v>
      </c>
    </row>
    <row r="224" spans="1:21" x14ac:dyDescent="0.3">
      <c r="A224" t="s">
        <v>329</v>
      </c>
      <c r="B224" s="2">
        <v>45996</v>
      </c>
      <c r="C224" t="s">
        <v>99</v>
      </c>
      <c r="D224" t="s">
        <v>141</v>
      </c>
      <c r="E224" t="s">
        <v>46</v>
      </c>
      <c r="F224" t="s">
        <v>74</v>
      </c>
      <c r="G224" t="s">
        <v>34</v>
      </c>
      <c r="H224" t="s">
        <v>35</v>
      </c>
      <c r="I224" t="s">
        <v>94</v>
      </c>
      <c r="J224" t="s">
        <v>64</v>
      </c>
      <c r="K224">
        <v>3</v>
      </c>
      <c r="L224">
        <v>134037</v>
      </c>
      <c r="M224">
        <v>0.1</v>
      </c>
      <c r="N224">
        <v>402111</v>
      </c>
      <c r="O224">
        <v>40211.1</v>
      </c>
      <c r="P224">
        <v>361899.9</v>
      </c>
      <c r="Q224">
        <v>4</v>
      </c>
      <c r="R224">
        <v>182</v>
      </c>
      <c r="S224">
        <v>5</v>
      </c>
      <c r="T224">
        <v>7</v>
      </c>
      <c r="U224">
        <v>2</v>
      </c>
    </row>
    <row r="225" spans="1:21" x14ac:dyDescent="0.3">
      <c r="A225" t="s">
        <v>330</v>
      </c>
      <c r="B225" s="2">
        <v>45993</v>
      </c>
      <c r="C225" t="s">
        <v>60</v>
      </c>
      <c r="D225" t="s">
        <v>69</v>
      </c>
      <c r="E225" t="s">
        <v>62</v>
      </c>
      <c r="F225" t="s">
        <v>41</v>
      </c>
      <c r="G225" t="s">
        <v>34</v>
      </c>
      <c r="H225" t="s">
        <v>35</v>
      </c>
      <c r="I225" t="s">
        <v>48</v>
      </c>
      <c r="J225" t="s">
        <v>85</v>
      </c>
      <c r="K225">
        <v>4</v>
      </c>
      <c r="L225">
        <v>101335</v>
      </c>
      <c r="M225">
        <v>0.1</v>
      </c>
      <c r="N225">
        <v>405340</v>
      </c>
      <c r="O225">
        <v>40534</v>
      </c>
      <c r="P225">
        <v>364806</v>
      </c>
      <c r="Q225">
        <v>4</v>
      </c>
      <c r="R225">
        <v>170</v>
      </c>
      <c r="S225">
        <v>4</v>
      </c>
      <c r="T225">
        <v>11</v>
      </c>
      <c r="U225">
        <v>2</v>
      </c>
    </row>
    <row r="226" spans="1:21" x14ac:dyDescent="0.3">
      <c r="A226" t="s">
        <v>331</v>
      </c>
      <c r="B226" s="2">
        <v>45970</v>
      </c>
      <c r="C226" t="s">
        <v>87</v>
      </c>
      <c r="D226" t="s">
        <v>130</v>
      </c>
      <c r="E226" t="s">
        <v>46</v>
      </c>
      <c r="G226" t="s">
        <v>26</v>
      </c>
      <c r="H226" t="s">
        <v>53</v>
      </c>
      <c r="I226" t="s">
        <v>94</v>
      </c>
      <c r="J226" t="s">
        <v>37</v>
      </c>
      <c r="K226">
        <v>3</v>
      </c>
      <c r="L226">
        <v>107257</v>
      </c>
      <c r="M226">
        <v>8.2000000000000003E-2</v>
      </c>
      <c r="N226">
        <v>321771</v>
      </c>
      <c r="O226">
        <v>26385.22</v>
      </c>
      <c r="P226">
        <v>295385.78000000003</v>
      </c>
      <c r="Q226">
        <v>4</v>
      </c>
      <c r="R226">
        <v>182</v>
      </c>
      <c r="S226">
        <v>3.8</v>
      </c>
      <c r="T226">
        <v>6</v>
      </c>
      <c r="U226">
        <v>5</v>
      </c>
    </row>
    <row r="227" spans="1:21" x14ac:dyDescent="0.3">
      <c r="A227" t="s">
        <v>332</v>
      </c>
      <c r="B227" s="2">
        <v>45726</v>
      </c>
      <c r="C227" t="s">
        <v>44</v>
      </c>
      <c r="D227" t="s">
        <v>51</v>
      </c>
      <c r="E227" t="s">
        <v>62</v>
      </c>
      <c r="F227" t="s">
        <v>66</v>
      </c>
      <c r="G227" t="s">
        <v>34</v>
      </c>
      <c r="H227" t="s">
        <v>53</v>
      </c>
      <c r="I227" t="s">
        <v>94</v>
      </c>
      <c r="J227" t="s">
        <v>81</v>
      </c>
      <c r="K227">
        <v>1</v>
      </c>
      <c r="L227">
        <v>125967</v>
      </c>
      <c r="M227">
        <v>4.9000000000000002E-2</v>
      </c>
      <c r="N227">
        <v>125967</v>
      </c>
      <c r="O227">
        <v>6172.38</v>
      </c>
      <c r="P227">
        <v>119794.62</v>
      </c>
      <c r="Q227">
        <v>3</v>
      </c>
      <c r="R227">
        <v>150</v>
      </c>
      <c r="S227">
        <v>4.7</v>
      </c>
      <c r="T227">
        <v>3</v>
      </c>
      <c r="U227">
        <v>3</v>
      </c>
    </row>
    <row r="228" spans="1:21" x14ac:dyDescent="0.3">
      <c r="A228" t="s">
        <v>333</v>
      </c>
      <c r="B228" s="2">
        <v>45736</v>
      </c>
      <c r="C228" t="s">
        <v>87</v>
      </c>
      <c r="D228" t="s">
        <v>130</v>
      </c>
      <c r="E228" t="s">
        <v>24</v>
      </c>
      <c r="F228" t="s">
        <v>80</v>
      </c>
      <c r="G228" t="s">
        <v>26</v>
      </c>
      <c r="H228" t="s">
        <v>53</v>
      </c>
      <c r="I228" t="s">
        <v>36</v>
      </c>
      <c r="J228" t="s">
        <v>49</v>
      </c>
      <c r="K228">
        <v>1</v>
      </c>
      <c r="L228">
        <v>115427</v>
      </c>
      <c r="M228">
        <v>9.9000000000000005E-2</v>
      </c>
      <c r="N228">
        <v>115427</v>
      </c>
      <c r="O228">
        <v>11427.27</v>
      </c>
      <c r="P228">
        <v>103999.73</v>
      </c>
      <c r="Q228">
        <v>4</v>
      </c>
      <c r="R228">
        <v>181</v>
      </c>
      <c r="S228">
        <v>4</v>
      </c>
      <c r="T228">
        <v>11</v>
      </c>
      <c r="U228">
        <v>2</v>
      </c>
    </row>
    <row r="229" spans="1:21" x14ac:dyDescent="0.3">
      <c r="A229" t="s">
        <v>334</v>
      </c>
      <c r="B229" s="2">
        <v>45739</v>
      </c>
      <c r="C229" t="s">
        <v>76</v>
      </c>
      <c r="D229" t="s">
        <v>77</v>
      </c>
      <c r="E229" t="s">
        <v>24</v>
      </c>
      <c r="F229" t="s">
        <v>52</v>
      </c>
      <c r="G229" t="s">
        <v>26</v>
      </c>
      <c r="H229" t="s">
        <v>27</v>
      </c>
      <c r="I229" t="s">
        <v>28</v>
      </c>
      <c r="J229" t="s">
        <v>157</v>
      </c>
      <c r="K229">
        <v>2</v>
      </c>
      <c r="L229">
        <v>144881</v>
      </c>
      <c r="M229">
        <v>5.5E-2</v>
      </c>
      <c r="N229">
        <v>289762</v>
      </c>
      <c r="O229">
        <v>15936.91</v>
      </c>
      <c r="P229">
        <v>273825.09000000003</v>
      </c>
      <c r="Q229">
        <v>3</v>
      </c>
      <c r="R229">
        <v>154</v>
      </c>
      <c r="S229">
        <v>3.8</v>
      </c>
      <c r="T229">
        <v>10</v>
      </c>
      <c r="U229">
        <v>5</v>
      </c>
    </row>
    <row r="230" spans="1:21" x14ac:dyDescent="0.3">
      <c r="A230" t="s">
        <v>335</v>
      </c>
      <c r="B230" s="2">
        <v>45952</v>
      </c>
      <c r="C230" t="s">
        <v>39</v>
      </c>
      <c r="D230" t="s">
        <v>40</v>
      </c>
      <c r="E230" t="s">
        <v>24</v>
      </c>
      <c r="F230" t="s">
        <v>25</v>
      </c>
      <c r="G230" t="s">
        <v>26</v>
      </c>
      <c r="H230" t="s">
        <v>27</v>
      </c>
      <c r="I230" t="s">
        <v>63</v>
      </c>
      <c r="J230" t="s">
        <v>216</v>
      </c>
      <c r="K230">
        <v>1</v>
      </c>
      <c r="L230">
        <v>133696</v>
      </c>
      <c r="M230">
        <v>2.7E-2</v>
      </c>
      <c r="N230">
        <v>133696</v>
      </c>
      <c r="O230">
        <v>3609.79</v>
      </c>
      <c r="P230">
        <v>130086.21</v>
      </c>
      <c r="Q230">
        <v>3</v>
      </c>
      <c r="R230">
        <v>159</v>
      </c>
      <c r="S230">
        <v>4.9000000000000004</v>
      </c>
      <c r="T230">
        <v>4</v>
      </c>
      <c r="U230">
        <v>5</v>
      </c>
    </row>
    <row r="231" spans="1:21" x14ac:dyDescent="0.3">
      <c r="A231" t="s">
        <v>336</v>
      </c>
      <c r="B231" s="2">
        <v>45923</v>
      </c>
      <c r="C231" t="s">
        <v>22</v>
      </c>
      <c r="D231" t="s">
        <v>107</v>
      </c>
      <c r="E231" t="s">
        <v>62</v>
      </c>
      <c r="F231" t="s">
        <v>25</v>
      </c>
      <c r="G231" t="s">
        <v>56</v>
      </c>
      <c r="H231" t="s">
        <v>27</v>
      </c>
      <c r="I231" t="s">
        <v>36</v>
      </c>
      <c r="J231" t="s">
        <v>29</v>
      </c>
      <c r="K231">
        <v>1</v>
      </c>
      <c r="L231">
        <v>144772</v>
      </c>
      <c r="M231">
        <v>7.8E-2</v>
      </c>
      <c r="N231">
        <v>144772</v>
      </c>
      <c r="O231">
        <v>11292.22</v>
      </c>
      <c r="P231">
        <v>133479.78</v>
      </c>
      <c r="Q231">
        <v>4</v>
      </c>
      <c r="R231">
        <v>207</v>
      </c>
      <c r="S231">
        <v>3.7</v>
      </c>
      <c r="T231">
        <v>12</v>
      </c>
      <c r="U231">
        <v>3</v>
      </c>
    </row>
    <row r="232" spans="1:21" x14ac:dyDescent="0.3">
      <c r="A232" t="s">
        <v>337</v>
      </c>
      <c r="B232" s="2">
        <v>45941</v>
      </c>
      <c r="C232" t="s">
        <v>87</v>
      </c>
      <c r="D232" t="s">
        <v>130</v>
      </c>
      <c r="E232" t="s">
        <v>46</v>
      </c>
      <c r="F232" t="s">
        <v>101</v>
      </c>
      <c r="G232" t="s">
        <v>26</v>
      </c>
      <c r="H232" t="s">
        <v>35</v>
      </c>
      <c r="I232" t="s">
        <v>28</v>
      </c>
      <c r="J232" t="s">
        <v>212</v>
      </c>
      <c r="K232">
        <v>2</v>
      </c>
      <c r="L232">
        <v>109338</v>
      </c>
      <c r="M232">
        <v>0.114</v>
      </c>
      <c r="N232">
        <v>218676</v>
      </c>
      <c r="O232">
        <v>24929.06</v>
      </c>
      <c r="P232">
        <v>193746.94</v>
      </c>
      <c r="Q232">
        <v>4</v>
      </c>
      <c r="R232">
        <v>191</v>
      </c>
      <c r="S232">
        <v>4.8</v>
      </c>
      <c r="T232">
        <v>7</v>
      </c>
      <c r="U232">
        <v>3</v>
      </c>
    </row>
    <row r="233" spans="1:21" x14ac:dyDescent="0.3">
      <c r="A233" t="s">
        <v>338</v>
      </c>
      <c r="B233" s="2">
        <v>45998</v>
      </c>
      <c r="C233" t="s">
        <v>39</v>
      </c>
      <c r="D233" t="s">
        <v>154</v>
      </c>
      <c r="E233" t="s">
        <v>24</v>
      </c>
      <c r="F233" t="s">
        <v>47</v>
      </c>
      <c r="G233" t="s">
        <v>34</v>
      </c>
      <c r="H233" t="s">
        <v>53</v>
      </c>
      <c r="I233" t="s">
        <v>57</v>
      </c>
      <c r="J233" t="s">
        <v>95</v>
      </c>
      <c r="K233">
        <v>4</v>
      </c>
      <c r="L233">
        <v>180137</v>
      </c>
      <c r="M233">
        <v>4.5999999999999999E-2</v>
      </c>
      <c r="N233">
        <v>720548</v>
      </c>
      <c r="O233">
        <v>33145.21</v>
      </c>
      <c r="P233">
        <v>687402.79</v>
      </c>
      <c r="Q233">
        <v>3</v>
      </c>
      <c r="R233">
        <v>184</v>
      </c>
      <c r="S233">
        <v>4.7</v>
      </c>
      <c r="T233">
        <v>10</v>
      </c>
      <c r="U233">
        <v>2</v>
      </c>
    </row>
    <row r="234" spans="1:21" x14ac:dyDescent="0.3">
      <c r="A234" t="s">
        <v>339</v>
      </c>
      <c r="B234" s="2">
        <v>45704</v>
      </c>
      <c r="C234" t="s">
        <v>22</v>
      </c>
      <c r="D234" t="s">
        <v>107</v>
      </c>
      <c r="E234" t="s">
        <v>24</v>
      </c>
      <c r="F234" t="s">
        <v>101</v>
      </c>
      <c r="G234" t="s">
        <v>67</v>
      </c>
      <c r="H234" t="s">
        <v>35</v>
      </c>
      <c r="I234" t="s">
        <v>48</v>
      </c>
      <c r="J234" t="s">
        <v>49</v>
      </c>
      <c r="K234">
        <v>1</v>
      </c>
      <c r="L234">
        <v>138577</v>
      </c>
      <c r="M234">
        <v>2.1999999999999999E-2</v>
      </c>
      <c r="N234">
        <v>138577</v>
      </c>
      <c r="O234">
        <v>3048.69</v>
      </c>
      <c r="P234">
        <v>135528.31</v>
      </c>
      <c r="Q234">
        <v>2</v>
      </c>
      <c r="R234">
        <v>143</v>
      </c>
      <c r="S234">
        <v>4.4000000000000004</v>
      </c>
      <c r="T234">
        <v>3</v>
      </c>
      <c r="U234">
        <v>5</v>
      </c>
    </row>
    <row r="235" spans="1:21" x14ac:dyDescent="0.3">
      <c r="A235" t="s">
        <v>340</v>
      </c>
      <c r="B235" s="2">
        <v>45795</v>
      </c>
      <c r="C235" t="s">
        <v>31</v>
      </c>
      <c r="D235" t="s">
        <v>97</v>
      </c>
      <c r="E235" t="s">
        <v>62</v>
      </c>
      <c r="F235" t="s">
        <v>52</v>
      </c>
      <c r="G235" t="s">
        <v>56</v>
      </c>
      <c r="H235" t="s">
        <v>27</v>
      </c>
      <c r="I235" t="s">
        <v>63</v>
      </c>
      <c r="J235" t="s">
        <v>118</v>
      </c>
      <c r="K235">
        <v>4</v>
      </c>
      <c r="L235">
        <v>129175</v>
      </c>
      <c r="M235">
        <v>6.9000000000000006E-2</v>
      </c>
      <c r="N235">
        <v>516700</v>
      </c>
      <c r="O235">
        <v>35652.300000000003</v>
      </c>
      <c r="P235">
        <v>481047.7</v>
      </c>
      <c r="Q235">
        <v>3</v>
      </c>
      <c r="R235">
        <v>158</v>
      </c>
      <c r="S235">
        <v>4.7</v>
      </c>
      <c r="T235">
        <v>7</v>
      </c>
      <c r="U235">
        <v>2</v>
      </c>
    </row>
    <row r="236" spans="1:21" x14ac:dyDescent="0.3">
      <c r="A236" t="s">
        <v>341</v>
      </c>
      <c r="B236" s="2">
        <v>45730</v>
      </c>
      <c r="C236" t="s">
        <v>99</v>
      </c>
      <c r="D236" t="s">
        <v>141</v>
      </c>
      <c r="E236" t="s">
        <v>24</v>
      </c>
      <c r="F236" t="s">
        <v>52</v>
      </c>
      <c r="G236" t="s">
        <v>34</v>
      </c>
      <c r="H236" t="s">
        <v>27</v>
      </c>
      <c r="I236" t="s">
        <v>36</v>
      </c>
      <c r="J236" t="s">
        <v>138</v>
      </c>
      <c r="K236">
        <v>1</v>
      </c>
      <c r="L236">
        <v>147274</v>
      </c>
      <c r="M236">
        <v>5.2999999999999999E-2</v>
      </c>
      <c r="N236">
        <v>147274</v>
      </c>
      <c r="O236">
        <v>7805.52</v>
      </c>
      <c r="P236">
        <v>139468.48000000001</v>
      </c>
      <c r="Q236">
        <v>5</v>
      </c>
      <c r="R236">
        <v>211</v>
      </c>
      <c r="S236">
        <v>4</v>
      </c>
      <c r="T236">
        <v>12</v>
      </c>
      <c r="U236">
        <v>3</v>
      </c>
    </row>
    <row r="237" spans="1:21" x14ac:dyDescent="0.3">
      <c r="A237" t="s">
        <v>342</v>
      </c>
      <c r="B237" s="2">
        <v>45749</v>
      </c>
      <c r="C237" t="s">
        <v>60</v>
      </c>
      <c r="D237" t="s">
        <v>69</v>
      </c>
      <c r="E237" t="s">
        <v>62</v>
      </c>
      <c r="F237" t="s">
        <v>80</v>
      </c>
      <c r="G237" t="s">
        <v>34</v>
      </c>
      <c r="H237" t="s">
        <v>35</v>
      </c>
      <c r="I237" t="s">
        <v>57</v>
      </c>
      <c r="J237" t="s">
        <v>78</v>
      </c>
      <c r="K237">
        <v>1</v>
      </c>
      <c r="L237">
        <v>106051</v>
      </c>
      <c r="M237">
        <v>9.9000000000000005E-2</v>
      </c>
      <c r="N237">
        <v>106051</v>
      </c>
      <c r="O237">
        <v>10499.05</v>
      </c>
      <c r="P237">
        <v>95551.95</v>
      </c>
      <c r="Q237">
        <v>4</v>
      </c>
      <c r="R237">
        <v>186</v>
      </c>
      <c r="S237">
        <v>3.5</v>
      </c>
      <c r="T237">
        <v>8</v>
      </c>
      <c r="U237">
        <v>2</v>
      </c>
    </row>
    <row r="238" spans="1:21" x14ac:dyDescent="0.3">
      <c r="A238" t="s">
        <v>343</v>
      </c>
      <c r="B238" s="2">
        <v>45899</v>
      </c>
      <c r="C238" t="s">
        <v>39</v>
      </c>
      <c r="D238" t="s">
        <v>154</v>
      </c>
      <c r="E238" t="s">
        <v>62</v>
      </c>
      <c r="F238" t="s">
        <v>41</v>
      </c>
      <c r="G238" t="s">
        <v>67</v>
      </c>
      <c r="H238" t="s">
        <v>53</v>
      </c>
      <c r="I238" t="s">
        <v>36</v>
      </c>
      <c r="J238" t="s">
        <v>175</v>
      </c>
      <c r="K238">
        <v>1</v>
      </c>
      <c r="L238">
        <v>192485</v>
      </c>
      <c r="M238">
        <v>3.1E-2</v>
      </c>
      <c r="N238">
        <v>192485</v>
      </c>
      <c r="O238">
        <v>5967.03</v>
      </c>
      <c r="P238">
        <v>186517.97</v>
      </c>
      <c r="Q238">
        <v>4</v>
      </c>
      <c r="R238">
        <v>192</v>
      </c>
      <c r="S238">
        <v>4.5</v>
      </c>
      <c r="T238">
        <v>5</v>
      </c>
      <c r="U238">
        <v>5</v>
      </c>
    </row>
    <row r="239" spans="1:21" x14ac:dyDescent="0.3">
      <c r="A239" t="s">
        <v>344</v>
      </c>
      <c r="B239" s="2">
        <v>45969</v>
      </c>
      <c r="C239" t="s">
        <v>44</v>
      </c>
      <c r="D239" t="s">
        <v>45</v>
      </c>
      <c r="E239" t="s">
        <v>24</v>
      </c>
      <c r="F239" t="s">
        <v>101</v>
      </c>
      <c r="G239" t="s">
        <v>67</v>
      </c>
      <c r="H239" t="s">
        <v>27</v>
      </c>
      <c r="I239" t="s">
        <v>48</v>
      </c>
      <c r="J239" t="s">
        <v>42</v>
      </c>
      <c r="K239">
        <v>2</v>
      </c>
      <c r="L239">
        <v>146352</v>
      </c>
      <c r="M239">
        <v>9.4E-2</v>
      </c>
      <c r="N239">
        <v>292704</v>
      </c>
      <c r="O239">
        <v>27514.18</v>
      </c>
      <c r="P239">
        <v>265189.82</v>
      </c>
      <c r="Q239">
        <v>2</v>
      </c>
      <c r="R239">
        <v>147</v>
      </c>
      <c r="S239">
        <v>4.2</v>
      </c>
      <c r="T239">
        <v>8</v>
      </c>
      <c r="U239">
        <v>2</v>
      </c>
    </row>
    <row r="240" spans="1:21" x14ac:dyDescent="0.3">
      <c r="A240" t="s">
        <v>345</v>
      </c>
      <c r="B240" s="2">
        <v>45870</v>
      </c>
      <c r="C240" t="s">
        <v>31</v>
      </c>
      <c r="D240" t="s">
        <v>97</v>
      </c>
      <c r="E240" t="s">
        <v>62</v>
      </c>
      <c r="F240" t="s">
        <v>33</v>
      </c>
      <c r="G240" t="s">
        <v>26</v>
      </c>
      <c r="H240" t="s">
        <v>53</v>
      </c>
      <c r="I240" t="s">
        <v>28</v>
      </c>
      <c r="J240" t="s">
        <v>148</v>
      </c>
      <c r="K240">
        <v>4</v>
      </c>
      <c r="L240">
        <v>123613</v>
      </c>
      <c r="M240">
        <v>0.10299999999999999</v>
      </c>
      <c r="N240">
        <v>494452</v>
      </c>
      <c r="O240">
        <v>50928.56</v>
      </c>
      <c r="P240">
        <v>443523.44</v>
      </c>
      <c r="Q240">
        <v>3</v>
      </c>
      <c r="R240">
        <v>181</v>
      </c>
      <c r="S240">
        <v>4.0999999999999996</v>
      </c>
      <c r="T240">
        <v>8</v>
      </c>
      <c r="U240">
        <v>2</v>
      </c>
    </row>
    <row r="241" spans="1:21" x14ac:dyDescent="0.3">
      <c r="A241" t="s">
        <v>346</v>
      </c>
      <c r="B241" s="2">
        <v>45822</v>
      </c>
      <c r="C241" t="s">
        <v>60</v>
      </c>
      <c r="D241" t="s">
        <v>69</v>
      </c>
      <c r="E241" t="s">
        <v>46</v>
      </c>
      <c r="F241" t="s">
        <v>80</v>
      </c>
      <c r="G241" t="s">
        <v>34</v>
      </c>
      <c r="H241" t="s">
        <v>27</v>
      </c>
      <c r="I241" t="s">
        <v>28</v>
      </c>
      <c r="J241" t="s">
        <v>109</v>
      </c>
      <c r="K241">
        <v>1</v>
      </c>
      <c r="L241">
        <v>109312</v>
      </c>
      <c r="M241">
        <v>5.8000000000000003E-2</v>
      </c>
      <c r="N241">
        <v>109312</v>
      </c>
      <c r="O241">
        <v>6340.1</v>
      </c>
      <c r="P241">
        <v>102971.9</v>
      </c>
      <c r="Q241">
        <v>3</v>
      </c>
      <c r="R241">
        <v>183</v>
      </c>
      <c r="S241">
        <v>3.9</v>
      </c>
      <c r="T241">
        <v>6</v>
      </c>
      <c r="U241">
        <v>3</v>
      </c>
    </row>
    <row r="242" spans="1:21" x14ac:dyDescent="0.3">
      <c r="A242" t="s">
        <v>347</v>
      </c>
      <c r="B242" s="2">
        <v>45866</v>
      </c>
      <c r="C242" t="s">
        <v>87</v>
      </c>
      <c r="D242" t="s">
        <v>130</v>
      </c>
      <c r="E242" t="s">
        <v>24</v>
      </c>
      <c r="F242" t="s">
        <v>66</v>
      </c>
      <c r="G242" t="s">
        <v>56</v>
      </c>
      <c r="H242" t="s">
        <v>35</v>
      </c>
      <c r="I242" t="s">
        <v>28</v>
      </c>
      <c r="J242" t="s">
        <v>123</v>
      </c>
      <c r="K242">
        <v>1</v>
      </c>
      <c r="L242">
        <v>114679</v>
      </c>
      <c r="M242">
        <v>0.108</v>
      </c>
      <c r="N242">
        <v>114679</v>
      </c>
      <c r="O242">
        <v>12385.33</v>
      </c>
      <c r="P242">
        <v>102293.67</v>
      </c>
      <c r="Q242">
        <v>3</v>
      </c>
      <c r="R242">
        <v>177</v>
      </c>
      <c r="S242">
        <v>4.9000000000000004</v>
      </c>
      <c r="T242">
        <v>3</v>
      </c>
      <c r="U242">
        <v>2</v>
      </c>
    </row>
    <row r="243" spans="1:21" x14ac:dyDescent="0.3">
      <c r="A243" t="s">
        <v>348</v>
      </c>
      <c r="B243" s="2">
        <v>45809</v>
      </c>
      <c r="C243" t="s">
        <v>87</v>
      </c>
      <c r="D243" t="s">
        <v>130</v>
      </c>
      <c r="E243" t="s">
        <v>46</v>
      </c>
      <c r="F243" t="s">
        <v>47</v>
      </c>
      <c r="G243" t="s">
        <v>26</v>
      </c>
      <c r="H243" t="s">
        <v>35</v>
      </c>
      <c r="I243" t="s">
        <v>94</v>
      </c>
      <c r="J243" t="s">
        <v>109</v>
      </c>
      <c r="K243">
        <v>2</v>
      </c>
      <c r="L243">
        <v>111975</v>
      </c>
      <c r="M243">
        <v>6.2E-2</v>
      </c>
      <c r="N243">
        <v>223950</v>
      </c>
      <c r="O243">
        <v>13884.9</v>
      </c>
      <c r="P243">
        <v>210065.1</v>
      </c>
      <c r="Q243">
        <v>3</v>
      </c>
      <c r="R243">
        <v>186</v>
      </c>
      <c r="S243">
        <v>4.3</v>
      </c>
      <c r="T243">
        <v>11</v>
      </c>
      <c r="U243">
        <v>2</v>
      </c>
    </row>
    <row r="244" spans="1:21" x14ac:dyDescent="0.3">
      <c r="A244" t="s">
        <v>349</v>
      </c>
      <c r="B244" s="2">
        <v>45750</v>
      </c>
      <c r="C244" t="s">
        <v>76</v>
      </c>
      <c r="D244" t="s">
        <v>115</v>
      </c>
      <c r="E244" t="s">
        <v>62</v>
      </c>
      <c r="F244" t="s">
        <v>25</v>
      </c>
      <c r="G244" t="s">
        <v>26</v>
      </c>
      <c r="H244" t="s">
        <v>53</v>
      </c>
      <c r="I244" t="s">
        <v>63</v>
      </c>
      <c r="J244" t="s">
        <v>42</v>
      </c>
      <c r="K244">
        <v>2</v>
      </c>
      <c r="L244">
        <v>124300</v>
      </c>
      <c r="M244">
        <v>8.1000000000000003E-2</v>
      </c>
      <c r="N244">
        <v>248600</v>
      </c>
      <c r="O244">
        <v>20136.599999999999</v>
      </c>
      <c r="P244">
        <v>228463.4</v>
      </c>
      <c r="Q244">
        <v>2</v>
      </c>
      <c r="R244">
        <v>135</v>
      </c>
      <c r="S244">
        <v>3.9</v>
      </c>
      <c r="T244">
        <v>11</v>
      </c>
      <c r="U244">
        <v>2</v>
      </c>
    </row>
    <row r="245" spans="1:21" x14ac:dyDescent="0.3">
      <c r="A245" t="s">
        <v>350</v>
      </c>
      <c r="B245" s="2">
        <v>45760</v>
      </c>
      <c r="C245" t="s">
        <v>99</v>
      </c>
      <c r="D245" t="s">
        <v>141</v>
      </c>
      <c r="E245" t="s">
        <v>24</v>
      </c>
      <c r="F245" t="s">
        <v>70</v>
      </c>
      <c r="G245" t="s">
        <v>26</v>
      </c>
      <c r="H245" t="s">
        <v>53</v>
      </c>
      <c r="I245" t="s">
        <v>57</v>
      </c>
      <c r="J245" t="s">
        <v>104</v>
      </c>
      <c r="K245">
        <v>1</v>
      </c>
      <c r="L245">
        <v>131955</v>
      </c>
      <c r="N245">
        <v>131955</v>
      </c>
      <c r="O245">
        <v>13063.55</v>
      </c>
      <c r="P245">
        <v>118891.45</v>
      </c>
      <c r="Q245">
        <v>2</v>
      </c>
      <c r="R245">
        <v>177</v>
      </c>
      <c r="S245">
        <v>3.6</v>
      </c>
      <c r="T245">
        <v>6</v>
      </c>
      <c r="U245">
        <v>5</v>
      </c>
    </row>
    <row r="246" spans="1:21" x14ac:dyDescent="0.3">
      <c r="A246" t="s">
        <v>351</v>
      </c>
      <c r="B246" s="2">
        <v>45993</v>
      </c>
      <c r="C246" t="s">
        <v>76</v>
      </c>
      <c r="D246" t="s">
        <v>115</v>
      </c>
      <c r="E246" t="s">
        <v>62</v>
      </c>
      <c r="F246" t="s">
        <v>33</v>
      </c>
      <c r="G246" t="s">
        <v>56</v>
      </c>
      <c r="H246" t="s">
        <v>53</v>
      </c>
      <c r="I246" t="s">
        <v>28</v>
      </c>
      <c r="J246" t="s">
        <v>49</v>
      </c>
      <c r="K246">
        <v>1</v>
      </c>
      <c r="L246">
        <v>124518</v>
      </c>
      <c r="M246">
        <v>4.9000000000000002E-2</v>
      </c>
      <c r="N246">
        <v>124518</v>
      </c>
      <c r="O246">
        <v>6101.38</v>
      </c>
      <c r="P246">
        <v>118416.62</v>
      </c>
      <c r="Q246">
        <v>4</v>
      </c>
      <c r="R246">
        <v>197</v>
      </c>
      <c r="S246">
        <v>4.0999999999999996</v>
      </c>
      <c r="T246">
        <v>10</v>
      </c>
      <c r="U246">
        <v>2</v>
      </c>
    </row>
    <row r="247" spans="1:21" x14ac:dyDescent="0.3">
      <c r="A247" t="s">
        <v>352</v>
      </c>
      <c r="B247" s="2">
        <v>45705</v>
      </c>
      <c r="C247" t="s">
        <v>76</v>
      </c>
      <c r="D247" t="s">
        <v>115</v>
      </c>
      <c r="E247" t="s">
        <v>46</v>
      </c>
      <c r="F247" t="s">
        <v>47</v>
      </c>
      <c r="G247" t="s">
        <v>26</v>
      </c>
      <c r="H247" t="s">
        <v>53</v>
      </c>
      <c r="I247" t="s">
        <v>94</v>
      </c>
      <c r="J247" t="s">
        <v>109</v>
      </c>
      <c r="K247">
        <v>1</v>
      </c>
      <c r="L247">
        <v>122964</v>
      </c>
      <c r="M247">
        <v>6.8000000000000005E-2</v>
      </c>
      <c r="N247">
        <v>122964</v>
      </c>
      <c r="O247">
        <v>8361.5499999999993</v>
      </c>
      <c r="P247">
        <v>114602.45</v>
      </c>
      <c r="Q247">
        <v>3</v>
      </c>
      <c r="R247">
        <v>171</v>
      </c>
      <c r="S247">
        <v>4.3</v>
      </c>
      <c r="T247">
        <v>5</v>
      </c>
      <c r="U247">
        <v>2</v>
      </c>
    </row>
    <row r="248" spans="1:21" x14ac:dyDescent="0.3">
      <c r="A248" t="s">
        <v>353</v>
      </c>
      <c r="B248" s="2">
        <v>45878</v>
      </c>
      <c r="C248" t="s">
        <v>22</v>
      </c>
      <c r="D248" t="s">
        <v>23</v>
      </c>
      <c r="E248" t="s">
        <v>62</v>
      </c>
      <c r="F248" t="s">
        <v>101</v>
      </c>
      <c r="G248" t="s">
        <v>56</v>
      </c>
      <c r="H248" t="s">
        <v>35</v>
      </c>
      <c r="I248" t="s">
        <v>63</v>
      </c>
      <c r="J248" t="s">
        <v>49</v>
      </c>
      <c r="K248">
        <v>2</v>
      </c>
      <c r="L248">
        <v>118195</v>
      </c>
      <c r="N248">
        <v>236390</v>
      </c>
      <c r="O248">
        <v>9928.3799999999992</v>
      </c>
      <c r="P248">
        <v>226461.62</v>
      </c>
      <c r="Q248">
        <v>3</v>
      </c>
      <c r="R248">
        <v>156</v>
      </c>
      <c r="S248">
        <v>4</v>
      </c>
      <c r="T248">
        <v>5</v>
      </c>
      <c r="U248">
        <v>5</v>
      </c>
    </row>
    <row r="249" spans="1:21" x14ac:dyDescent="0.3">
      <c r="A249" t="s">
        <v>354</v>
      </c>
      <c r="B249" s="2">
        <v>45719</v>
      </c>
      <c r="C249" t="s">
        <v>39</v>
      </c>
      <c r="D249" t="s">
        <v>154</v>
      </c>
      <c r="E249" t="s">
        <v>46</v>
      </c>
      <c r="F249" t="s">
        <v>66</v>
      </c>
      <c r="G249" t="s">
        <v>34</v>
      </c>
      <c r="H249" t="s">
        <v>27</v>
      </c>
      <c r="I249" t="s">
        <v>36</v>
      </c>
      <c r="J249" t="s">
        <v>92</v>
      </c>
      <c r="K249">
        <v>3</v>
      </c>
      <c r="L249">
        <v>178605</v>
      </c>
      <c r="M249">
        <v>8.3000000000000004E-2</v>
      </c>
      <c r="N249">
        <v>535815</v>
      </c>
      <c r="O249">
        <v>44472.65</v>
      </c>
      <c r="P249">
        <v>491342.35</v>
      </c>
      <c r="Q249">
        <v>2</v>
      </c>
      <c r="R249">
        <v>126</v>
      </c>
      <c r="S249">
        <v>4.9000000000000004</v>
      </c>
      <c r="T249">
        <v>11</v>
      </c>
      <c r="U249">
        <v>2</v>
      </c>
    </row>
    <row r="250" spans="1:21" x14ac:dyDescent="0.3">
      <c r="A250" t="s">
        <v>355</v>
      </c>
      <c r="B250" s="2">
        <v>45868</v>
      </c>
      <c r="C250" t="s">
        <v>39</v>
      </c>
      <c r="D250" t="s">
        <v>40</v>
      </c>
      <c r="E250" t="s">
        <v>62</v>
      </c>
      <c r="F250" t="s">
        <v>33</v>
      </c>
      <c r="G250" t="s">
        <v>67</v>
      </c>
      <c r="H250" t="s">
        <v>27</v>
      </c>
      <c r="I250" t="s">
        <v>36</v>
      </c>
      <c r="J250" t="s">
        <v>83</v>
      </c>
      <c r="K250">
        <v>2</v>
      </c>
      <c r="L250">
        <v>130489</v>
      </c>
      <c r="M250">
        <v>3.6999999999999998E-2</v>
      </c>
      <c r="N250">
        <v>260978</v>
      </c>
      <c r="O250">
        <v>9656.19</v>
      </c>
      <c r="P250">
        <v>251321.81</v>
      </c>
      <c r="Q250">
        <v>3</v>
      </c>
      <c r="R250">
        <v>167</v>
      </c>
      <c r="S250">
        <v>4.3</v>
      </c>
      <c r="T250">
        <v>2</v>
      </c>
      <c r="U250">
        <v>5</v>
      </c>
    </row>
    <row r="251" spans="1:21" x14ac:dyDescent="0.3">
      <c r="A251" t="s">
        <v>356</v>
      </c>
      <c r="B251" s="2">
        <v>45719</v>
      </c>
      <c r="C251" t="s">
        <v>60</v>
      </c>
      <c r="D251" t="s">
        <v>69</v>
      </c>
      <c r="E251" t="s">
        <v>62</v>
      </c>
      <c r="F251" t="s">
        <v>47</v>
      </c>
      <c r="G251" t="s">
        <v>26</v>
      </c>
      <c r="H251" t="s">
        <v>27</v>
      </c>
      <c r="I251" t="s">
        <v>36</v>
      </c>
      <c r="J251" t="s">
        <v>83</v>
      </c>
      <c r="K251">
        <v>1</v>
      </c>
      <c r="L251">
        <v>105666</v>
      </c>
      <c r="M251">
        <v>9.1999999999999998E-2</v>
      </c>
      <c r="N251">
        <v>105666</v>
      </c>
      <c r="O251">
        <v>9721.27</v>
      </c>
      <c r="P251">
        <v>95944.73</v>
      </c>
      <c r="Q251">
        <v>3</v>
      </c>
      <c r="R251">
        <v>156</v>
      </c>
      <c r="S251">
        <v>3.6</v>
      </c>
      <c r="T251">
        <v>9</v>
      </c>
      <c r="U251">
        <v>2</v>
      </c>
    </row>
    <row r="252" spans="1:21" x14ac:dyDescent="0.3">
      <c r="A252" t="s">
        <v>357</v>
      </c>
      <c r="B252" s="2">
        <v>45864</v>
      </c>
      <c r="C252" t="s">
        <v>44</v>
      </c>
      <c r="D252" t="s">
        <v>45</v>
      </c>
      <c r="E252" t="s">
        <v>24</v>
      </c>
      <c r="F252" t="s">
        <v>70</v>
      </c>
      <c r="G252" t="s">
        <v>56</v>
      </c>
      <c r="H252" t="s">
        <v>35</v>
      </c>
      <c r="I252" t="s">
        <v>28</v>
      </c>
      <c r="J252" t="s">
        <v>72</v>
      </c>
      <c r="K252">
        <v>2</v>
      </c>
      <c r="L252">
        <v>153278</v>
      </c>
      <c r="M252">
        <v>3.3000000000000002E-2</v>
      </c>
      <c r="N252">
        <v>306556</v>
      </c>
      <c r="O252">
        <v>10116.35</v>
      </c>
      <c r="P252">
        <v>296439.65000000002</v>
      </c>
      <c r="Q252">
        <v>3</v>
      </c>
      <c r="R252">
        <v>170</v>
      </c>
      <c r="S252">
        <v>4.0999999999999996</v>
      </c>
      <c r="T252">
        <v>2</v>
      </c>
      <c r="U252">
        <v>3</v>
      </c>
    </row>
    <row r="253" spans="1:21" x14ac:dyDescent="0.3">
      <c r="A253" t="s">
        <v>358</v>
      </c>
      <c r="B253" s="2">
        <v>45786</v>
      </c>
      <c r="C253" t="s">
        <v>87</v>
      </c>
      <c r="D253" t="s">
        <v>130</v>
      </c>
      <c r="E253" t="s">
        <v>46</v>
      </c>
      <c r="F253" t="s">
        <v>41</v>
      </c>
      <c r="G253" t="s">
        <v>34</v>
      </c>
      <c r="H253" t="s">
        <v>35</v>
      </c>
      <c r="I253" t="s">
        <v>28</v>
      </c>
      <c r="J253" t="s">
        <v>85</v>
      </c>
      <c r="K253">
        <v>2</v>
      </c>
      <c r="L253">
        <v>116119</v>
      </c>
      <c r="M253">
        <v>6.6000000000000003E-2</v>
      </c>
      <c r="N253">
        <v>232238</v>
      </c>
      <c r="O253">
        <v>15327.71</v>
      </c>
      <c r="P253">
        <v>216910.29</v>
      </c>
      <c r="Q253">
        <v>3</v>
      </c>
      <c r="R253">
        <v>176</v>
      </c>
      <c r="S253">
        <v>4.3</v>
      </c>
      <c r="T253">
        <v>11</v>
      </c>
      <c r="U253">
        <v>5</v>
      </c>
    </row>
    <row r="254" spans="1:21" x14ac:dyDescent="0.3">
      <c r="A254" t="s">
        <v>359</v>
      </c>
      <c r="B254" s="2">
        <v>46014</v>
      </c>
      <c r="C254" t="s">
        <v>44</v>
      </c>
      <c r="D254" t="s">
        <v>51</v>
      </c>
      <c r="E254" t="s">
        <v>46</v>
      </c>
      <c r="F254" t="s">
        <v>52</v>
      </c>
      <c r="G254" t="s">
        <v>26</v>
      </c>
      <c r="H254" t="s">
        <v>27</v>
      </c>
      <c r="I254" t="s">
        <v>28</v>
      </c>
      <c r="J254" t="s">
        <v>37</v>
      </c>
      <c r="K254">
        <v>2</v>
      </c>
      <c r="L254">
        <v>115330</v>
      </c>
      <c r="M254">
        <v>4.2000000000000003E-2</v>
      </c>
      <c r="N254">
        <v>230660</v>
      </c>
      <c r="O254">
        <v>9687.7199999999993</v>
      </c>
      <c r="P254">
        <v>220972.28</v>
      </c>
      <c r="Q254">
        <v>3</v>
      </c>
      <c r="R254">
        <v>157</v>
      </c>
      <c r="S254">
        <v>3.4</v>
      </c>
      <c r="T254">
        <v>4</v>
      </c>
      <c r="U254">
        <v>5</v>
      </c>
    </row>
    <row r="255" spans="1:21" x14ac:dyDescent="0.3">
      <c r="A255" t="s">
        <v>360</v>
      </c>
      <c r="B255" s="2">
        <v>45844</v>
      </c>
      <c r="C255" t="s">
        <v>31</v>
      </c>
      <c r="D255" t="s">
        <v>32</v>
      </c>
      <c r="E255" t="s">
        <v>46</v>
      </c>
      <c r="F255" t="s">
        <v>80</v>
      </c>
      <c r="G255" t="s">
        <v>34</v>
      </c>
      <c r="H255" t="s">
        <v>35</v>
      </c>
      <c r="I255" t="s">
        <v>36</v>
      </c>
      <c r="J255" t="s">
        <v>175</v>
      </c>
      <c r="K255">
        <v>2</v>
      </c>
      <c r="L255">
        <v>114737</v>
      </c>
      <c r="M255">
        <v>6.4000000000000001E-2</v>
      </c>
      <c r="N255">
        <v>229474</v>
      </c>
      <c r="O255">
        <v>14686.34</v>
      </c>
      <c r="P255">
        <v>214787.66</v>
      </c>
      <c r="Q255">
        <v>4</v>
      </c>
      <c r="R255">
        <v>184</v>
      </c>
      <c r="S255">
        <v>3.9</v>
      </c>
      <c r="T255">
        <v>2</v>
      </c>
      <c r="U255">
        <v>3</v>
      </c>
    </row>
    <row r="256" spans="1:21" x14ac:dyDescent="0.3">
      <c r="A256" t="s">
        <v>361</v>
      </c>
      <c r="B256" s="2">
        <v>45944</v>
      </c>
      <c r="C256" t="s">
        <v>39</v>
      </c>
      <c r="D256" t="s">
        <v>40</v>
      </c>
      <c r="E256" t="s">
        <v>62</v>
      </c>
      <c r="F256" t="s">
        <v>41</v>
      </c>
      <c r="G256" t="s">
        <v>56</v>
      </c>
      <c r="H256" t="s">
        <v>35</v>
      </c>
      <c r="I256" t="s">
        <v>94</v>
      </c>
      <c r="J256" t="s">
        <v>123</v>
      </c>
      <c r="K256">
        <v>3</v>
      </c>
      <c r="L256">
        <v>129299</v>
      </c>
      <c r="M256">
        <v>2.1000000000000001E-2</v>
      </c>
      <c r="N256">
        <v>387897</v>
      </c>
      <c r="O256">
        <v>8145.84</v>
      </c>
      <c r="P256">
        <v>379751.16</v>
      </c>
      <c r="Q256">
        <v>3</v>
      </c>
      <c r="R256">
        <v>142</v>
      </c>
      <c r="S256">
        <v>4.4000000000000004</v>
      </c>
      <c r="T256">
        <v>14</v>
      </c>
      <c r="U256">
        <v>2</v>
      </c>
    </row>
    <row r="257" spans="1:21" x14ac:dyDescent="0.3">
      <c r="A257" t="s">
        <v>362</v>
      </c>
      <c r="B257" s="2">
        <v>45961</v>
      </c>
      <c r="C257" t="s">
        <v>87</v>
      </c>
      <c r="D257" t="s">
        <v>130</v>
      </c>
      <c r="E257" t="s">
        <v>62</v>
      </c>
      <c r="F257" t="s">
        <v>101</v>
      </c>
      <c r="G257" t="s">
        <v>56</v>
      </c>
      <c r="H257" t="s">
        <v>35</v>
      </c>
      <c r="I257" t="s">
        <v>94</v>
      </c>
      <c r="J257" t="s">
        <v>95</v>
      </c>
      <c r="K257">
        <v>1</v>
      </c>
      <c r="L257">
        <v>103642</v>
      </c>
      <c r="M257">
        <v>2.1999999999999999E-2</v>
      </c>
      <c r="N257">
        <v>103642</v>
      </c>
      <c r="O257">
        <v>2280.12</v>
      </c>
      <c r="P257">
        <v>101361.88</v>
      </c>
      <c r="Q257">
        <v>5</v>
      </c>
      <c r="R257">
        <v>187</v>
      </c>
      <c r="S257">
        <v>4.5999999999999996</v>
      </c>
      <c r="T257">
        <v>8</v>
      </c>
      <c r="U257">
        <v>5</v>
      </c>
    </row>
    <row r="258" spans="1:21" x14ac:dyDescent="0.3">
      <c r="A258" t="s">
        <v>363</v>
      </c>
      <c r="B258" s="2">
        <v>45996</v>
      </c>
      <c r="C258" t="s">
        <v>60</v>
      </c>
      <c r="D258" t="s">
        <v>61</v>
      </c>
      <c r="E258" t="s">
        <v>62</v>
      </c>
      <c r="F258" t="s">
        <v>52</v>
      </c>
      <c r="G258" t="s">
        <v>56</v>
      </c>
      <c r="H258" t="s">
        <v>27</v>
      </c>
      <c r="I258" t="s">
        <v>48</v>
      </c>
      <c r="J258" t="s">
        <v>78</v>
      </c>
      <c r="K258">
        <v>2</v>
      </c>
      <c r="L258">
        <v>124049</v>
      </c>
      <c r="M258">
        <v>9.6000000000000002E-2</v>
      </c>
      <c r="N258">
        <v>248098</v>
      </c>
      <c r="O258">
        <v>23817.41</v>
      </c>
      <c r="P258">
        <v>224280.59</v>
      </c>
      <c r="Q258">
        <v>3</v>
      </c>
      <c r="R258">
        <v>154</v>
      </c>
      <c r="S258">
        <v>4.8</v>
      </c>
      <c r="T258">
        <v>5</v>
      </c>
      <c r="U258">
        <v>5</v>
      </c>
    </row>
    <row r="259" spans="1:21" x14ac:dyDescent="0.3">
      <c r="A259" t="s">
        <v>364</v>
      </c>
      <c r="B259" s="2">
        <v>45848</v>
      </c>
      <c r="C259" t="s">
        <v>44</v>
      </c>
      <c r="D259" t="s">
        <v>45</v>
      </c>
      <c r="E259" t="s">
        <v>62</v>
      </c>
      <c r="F259" t="s">
        <v>47</v>
      </c>
      <c r="G259" t="s">
        <v>56</v>
      </c>
      <c r="H259" t="s">
        <v>35</v>
      </c>
      <c r="I259" t="s">
        <v>28</v>
      </c>
      <c r="J259" t="s">
        <v>212</v>
      </c>
      <c r="K259">
        <v>1</v>
      </c>
      <c r="L259">
        <v>161908</v>
      </c>
      <c r="M259">
        <v>0.11799999999999999</v>
      </c>
      <c r="N259">
        <v>161908</v>
      </c>
      <c r="O259">
        <v>19105.14</v>
      </c>
      <c r="P259">
        <v>142802.85999999999</v>
      </c>
      <c r="Q259">
        <v>4</v>
      </c>
      <c r="R259">
        <v>189</v>
      </c>
      <c r="S259">
        <v>4.5</v>
      </c>
      <c r="T259">
        <v>10</v>
      </c>
      <c r="U259">
        <v>3</v>
      </c>
    </row>
    <row r="260" spans="1:21" x14ac:dyDescent="0.3">
      <c r="A260" t="s">
        <v>365</v>
      </c>
      <c r="B260" s="2">
        <v>45732</v>
      </c>
      <c r="C260" t="s">
        <v>31</v>
      </c>
      <c r="D260" t="s">
        <v>97</v>
      </c>
      <c r="E260" t="s">
        <v>62</v>
      </c>
      <c r="F260" t="s">
        <v>41</v>
      </c>
      <c r="G260" t="s">
        <v>67</v>
      </c>
      <c r="H260" t="s">
        <v>35</v>
      </c>
      <c r="I260" t="s">
        <v>36</v>
      </c>
      <c r="J260" t="s">
        <v>109</v>
      </c>
      <c r="K260">
        <v>1</v>
      </c>
      <c r="L260">
        <v>131306</v>
      </c>
      <c r="M260">
        <v>8.8999999999999996E-2</v>
      </c>
      <c r="N260">
        <v>131306</v>
      </c>
      <c r="O260">
        <v>11686.23</v>
      </c>
      <c r="P260">
        <v>119619.77</v>
      </c>
      <c r="Q260">
        <v>4</v>
      </c>
      <c r="R260">
        <v>166</v>
      </c>
      <c r="S260">
        <v>4.5</v>
      </c>
      <c r="T260">
        <v>4</v>
      </c>
      <c r="U260">
        <v>2</v>
      </c>
    </row>
    <row r="261" spans="1:21" x14ac:dyDescent="0.3">
      <c r="A261" t="s">
        <v>366</v>
      </c>
      <c r="B261" s="2">
        <v>45866</v>
      </c>
      <c r="C261" t="s">
        <v>87</v>
      </c>
      <c r="D261" t="s">
        <v>88</v>
      </c>
      <c r="E261" t="s">
        <v>24</v>
      </c>
      <c r="F261" t="s">
        <v>80</v>
      </c>
      <c r="G261" t="s">
        <v>56</v>
      </c>
      <c r="H261" t="s">
        <v>27</v>
      </c>
      <c r="I261" t="s">
        <v>28</v>
      </c>
      <c r="J261" t="s">
        <v>102</v>
      </c>
      <c r="K261">
        <v>3</v>
      </c>
      <c r="L261">
        <v>144564</v>
      </c>
      <c r="M261">
        <v>2.1999999999999999E-2</v>
      </c>
      <c r="N261">
        <v>433692</v>
      </c>
      <c r="O261">
        <v>9541.2199999999993</v>
      </c>
      <c r="P261">
        <v>424150.78</v>
      </c>
      <c r="Q261">
        <v>4</v>
      </c>
      <c r="R261">
        <v>200</v>
      </c>
      <c r="S261">
        <v>4.5</v>
      </c>
      <c r="T261">
        <v>13</v>
      </c>
      <c r="U261">
        <v>3</v>
      </c>
    </row>
    <row r="262" spans="1:21" x14ac:dyDescent="0.3">
      <c r="A262" t="s">
        <v>367</v>
      </c>
      <c r="B262" s="2">
        <v>45950</v>
      </c>
      <c r="C262" t="s">
        <v>60</v>
      </c>
      <c r="D262" t="s">
        <v>61</v>
      </c>
      <c r="E262" t="s">
        <v>24</v>
      </c>
      <c r="F262" t="s">
        <v>74</v>
      </c>
      <c r="G262" t="s">
        <v>34</v>
      </c>
      <c r="H262" t="s">
        <v>35</v>
      </c>
      <c r="I262" t="s">
        <v>28</v>
      </c>
      <c r="J262" t="s">
        <v>49</v>
      </c>
      <c r="K262">
        <v>3</v>
      </c>
      <c r="L262">
        <v>118445</v>
      </c>
      <c r="M262">
        <v>2.8000000000000001E-2</v>
      </c>
      <c r="N262">
        <v>355335</v>
      </c>
      <c r="O262">
        <v>9949.3799999999992</v>
      </c>
      <c r="P262">
        <v>345385.62</v>
      </c>
      <c r="Q262">
        <v>4</v>
      </c>
      <c r="R262">
        <v>184</v>
      </c>
      <c r="S262">
        <v>3.7</v>
      </c>
      <c r="T262">
        <v>5</v>
      </c>
      <c r="U262">
        <v>2</v>
      </c>
    </row>
    <row r="263" spans="1:21" x14ac:dyDescent="0.3">
      <c r="A263" t="s">
        <v>368</v>
      </c>
      <c r="B263" s="2">
        <v>45702</v>
      </c>
      <c r="C263" t="s">
        <v>39</v>
      </c>
      <c r="D263" t="s">
        <v>40</v>
      </c>
      <c r="E263" t="s">
        <v>62</v>
      </c>
      <c r="F263" t="s">
        <v>66</v>
      </c>
      <c r="G263" t="s">
        <v>67</v>
      </c>
      <c r="H263" t="s">
        <v>35</v>
      </c>
      <c r="I263" t="s">
        <v>94</v>
      </c>
      <c r="J263" t="s">
        <v>49</v>
      </c>
      <c r="K263">
        <v>5</v>
      </c>
      <c r="L263">
        <v>129460</v>
      </c>
      <c r="M263">
        <v>5.8000000000000003E-2</v>
      </c>
      <c r="N263">
        <v>647300</v>
      </c>
      <c r="O263">
        <v>37543.4</v>
      </c>
      <c r="P263">
        <v>609756.6</v>
      </c>
      <c r="Q263">
        <v>4</v>
      </c>
      <c r="R263">
        <v>174</v>
      </c>
      <c r="S263">
        <v>3.8</v>
      </c>
      <c r="T263">
        <v>2</v>
      </c>
      <c r="U263">
        <v>5</v>
      </c>
    </row>
    <row r="264" spans="1:21" x14ac:dyDescent="0.3">
      <c r="A264" t="s">
        <v>369</v>
      </c>
      <c r="B264" s="2">
        <v>45888</v>
      </c>
      <c r="C264" t="s">
        <v>87</v>
      </c>
      <c r="D264" t="s">
        <v>88</v>
      </c>
      <c r="E264" t="s">
        <v>62</v>
      </c>
      <c r="F264" t="s">
        <v>101</v>
      </c>
      <c r="G264" t="s">
        <v>26</v>
      </c>
      <c r="H264" t="s">
        <v>35</v>
      </c>
      <c r="I264" t="s">
        <v>36</v>
      </c>
      <c r="J264" t="s">
        <v>212</v>
      </c>
      <c r="K264">
        <v>1</v>
      </c>
      <c r="L264">
        <v>149315</v>
      </c>
      <c r="M264">
        <v>8.6999999999999994E-2</v>
      </c>
      <c r="N264">
        <v>149315</v>
      </c>
      <c r="O264">
        <v>12990.4</v>
      </c>
      <c r="P264">
        <v>136324.6</v>
      </c>
      <c r="Q264">
        <v>5</v>
      </c>
      <c r="R264">
        <v>205</v>
      </c>
      <c r="S264">
        <v>3.3</v>
      </c>
      <c r="T264">
        <v>3</v>
      </c>
      <c r="U264">
        <v>3</v>
      </c>
    </row>
    <row r="265" spans="1:21" x14ac:dyDescent="0.3">
      <c r="A265" t="s">
        <v>370</v>
      </c>
      <c r="B265" s="2">
        <v>45709</v>
      </c>
      <c r="C265" t="s">
        <v>87</v>
      </c>
      <c r="D265" t="s">
        <v>88</v>
      </c>
      <c r="E265" t="s">
        <v>24</v>
      </c>
      <c r="F265" t="s">
        <v>52</v>
      </c>
      <c r="G265" t="s">
        <v>34</v>
      </c>
      <c r="H265" t="s">
        <v>27</v>
      </c>
      <c r="I265" t="s">
        <v>36</v>
      </c>
      <c r="J265" t="s">
        <v>92</v>
      </c>
      <c r="K265">
        <v>1</v>
      </c>
      <c r="L265">
        <v>152127</v>
      </c>
      <c r="M265">
        <v>0.11899999999999999</v>
      </c>
      <c r="N265">
        <v>152127</v>
      </c>
      <c r="O265">
        <v>18103.11</v>
      </c>
      <c r="P265">
        <v>134023.89000000001</v>
      </c>
      <c r="Q265">
        <v>3</v>
      </c>
      <c r="R265">
        <v>159</v>
      </c>
      <c r="S265">
        <v>3.9</v>
      </c>
      <c r="T265">
        <v>9</v>
      </c>
      <c r="U265">
        <v>2</v>
      </c>
    </row>
    <row r="266" spans="1:21" x14ac:dyDescent="0.3">
      <c r="A266" t="s">
        <v>371</v>
      </c>
      <c r="B266" s="2">
        <v>45670</v>
      </c>
      <c r="C266" t="s">
        <v>44</v>
      </c>
      <c r="D266" t="s">
        <v>45</v>
      </c>
      <c r="E266" t="s">
        <v>24</v>
      </c>
      <c r="F266" t="s">
        <v>47</v>
      </c>
      <c r="G266" t="s">
        <v>56</v>
      </c>
      <c r="H266" t="s">
        <v>35</v>
      </c>
      <c r="I266" t="s">
        <v>63</v>
      </c>
      <c r="J266" t="s">
        <v>54</v>
      </c>
      <c r="K266">
        <v>1</v>
      </c>
      <c r="L266">
        <v>145420</v>
      </c>
      <c r="M266">
        <v>0.10100000000000001</v>
      </c>
      <c r="N266">
        <v>145420</v>
      </c>
      <c r="O266">
        <v>14687.42</v>
      </c>
      <c r="P266">
        <v>130732.58</v>
      </c>
      <c r="Q266">
        <v>3</v>
      </c>
      <c r="R266">
        <v>174</v>
      </c>
      <c r="S266">
        <v>3.9</v>
      </c>
      <c r="T266">
        <v>9</v>
      </c>
      <c r="U266">
        <v>5</v>
      </c>
    </row>
    <row r="267" spans="1:21" x14ac:dyDescent="0.3">
      <c r="A267" t="s">
        <v>372</v>
      </c>
      <c r="B267" s="2">
        <v>45847</v>
      </c>
      <c r="C267" t="s">
        <v>87</v>
      </c>
      <c r="D267" t="s">
        <v>88</v>
      </c>
      <c r="E267" t="s">
        <v>46</v>
      </c>
      <c r="F267" t="s">
        <v>66</v>
      </c>
      <c r="G267" t="s">
        <v>56</v>
      </c>
      <c r="H267" t="s">
        <v>35</v>
      </c>
      <c r="I267" t="s">
        <v>48</v>
      </c>
      <c r="J267" t="s">
        <v>37</v>
      </c>
      <c r="K267">
        <v>1</v>
      </c>
      <c r="L267">
        <v>153194</v>
      </c>
      <c r="M267">
        <v>7.0999999999999994E-2</v>
      </c>
      <c r="N267">
        <v>153194</v>
      </c>
      <c r="O267">
        <v>10876.77</v>
      </c>
      <c r="P267">
        <v>142317.23000000001</v>
      </c>
      <c r="Q267">
        <v>3</v>
      </c>
      <c r="R267">
        <v>146</v>
      </c>
      <c r="S267">
        <v>4.5</v>
      </c>
      <c r="T267">
        <v>8</v>
      </c>
      <c r="U267">
        <v>2</v>
      </c>
    </row>
    <row r="268" spans="1:21" x14ac:dyDescent="0.3">
      <c r="A268" t="s">
        <v>373</v>
      </c>
      <c r="B268" s="2">
        <v>45838</v>
      </c>
      <c r="C268" t="s">
        <v>22</v>
      </c>
      <c r="D268" t="s">
        <v>23</v>
      </c>
      <c r="E268" t="s">
        <v>62</v>
      </c>
      <c r="F268" t="s">
        <v>66</v>
      </c>
      <c r="G268" t="s">
        <v>56</v>
      </c>
      <c r="H268" t="s">
        <v>53</v>
      </c>
      <c r="I268" t="s">
        <v>57</v>
      </c>
      <c r="J268" t="s">
        <v>148</v>
      </c>
      <c r="K268">
        <v>1</v>
      </c>
      <c r="L268">
        <v>120501</v>
      </c>
      <c r="M268">
        <v>9.2999999999999999E-2</v>
      </c>
      <c r="N268">
        <v>120501</v>
      </c>
      <c r="O268">
        <v>11206.59</v>
      </c>
      <c r="P268">
        <v>109294.41</v>
      </c>
      <c r="Q268">
        <v>4</v>
      </c>
      <c r="R268">
        <v>195</v>
      </c>
      <c r="S268">
        <v>4.4000000000000004</v>
      </c>
      <c r="T268">
        <v>11</v>
      </c>
      <c r="U268">
        <v>5</v>
      </c>
    </row>
    <row r="269" spans="1:21" x14ac:dyDescent="0.3">
      <c r="A269" t="s">
        <v>374</v>
      </c>
      <c r="B269" s="2">
        <v>45875</v>
      </c>
      <c r="C269" t="s">
        <v>31</v>
      </c>
      <c r="D269" t="s">
        <v>32</v>
      </c>
      <c r="E269" t="s">
        <v>62</v>
      </c>
      <c r="F269" t="s">
        <v>47</v>
      </c>
      <c r="G269" t="s">
        <v>34</v>
      </c>
      <c r="H269" t="s">
        <v>35</v>
      </c>
      <c r="I269" t="s">
        <v>36</v>
      </c>
      <c r="J269" t="s">
        <v>58</v>
      </c>
      <c r="K269">
        <v>1</v>
      </c>
      <c r="L269">
        <v>110936</v>
      </c>
      <c r="M269">
        <v>9.4E-2</v>
      </c>
      <c r="N269">
        <v>110936</v>
      </c>
      <c r="O269">
        <v>10427.98</v>
      </c>
      <c r="P269">
        <v>100508.02</v>
      </c>
      <c r="Q269">
        <v>3</v>
      </c>
      <c r="R269">
        <v>178</v>
      </c>
      <c r="S269">
        <v>4.0999999999999996</v>
      </c>
      <c r="T269">
        <v>8</v>
      </c>
      <c r="U269">
        <v>2</v>
      </c>
    </row>
    <row r="270" spans="1:21" x14ac:dyDescent="0.3">
      <c r="A270" t="s">
        <v>375</v>
      </c>
      <c r="B270" s="2">
        <v>46022</v>
      </c>
      <c r="C270" t="s">
        <v>76</v>
      </c>
      <c r="D270" t="s">
        <v>115</v>
      </c>
      <c r="E270" t="s">
        <v>46</v>
      </c>
      <c r="F270" t="s">
        <v>80</v>
      </c>
      <c r="G270" t="s">
        <v>56</v>
      </c>
      <c r="H270" t="s">
        <v>27</v>
      </c>
      <c r="I270" t="s">
        <v>36</v>
      </c>
      <c r="J270" t="s">
        <v>95</v>
      </c>
      <c r="K270">
        <v>5</v>
      </c>
      <c r="L270">
        <v>125393</v>
      </c>
      <c r="M270">
        <v>7.6999999999999999E-2</v>
      </c>
      <c r="N270">
        <v>626965</v>
      </c>
      <c r="O270">
        <v>48276.31</v>
      </c>
      <c r="P270">
        <v>578688.68999999994</v>
      </c>
      <c r="Q270">
        <v>4</v>
      </c>
      <c r="R270">
        <v>208</v>
      </c>
      <c r="S270">
        <v>4</v>
      </c>
      <c r="T270">
        <v>5</v>
      </c>
      <c r="U270">
        <v>5</v>
      </c>
    </row>
    <row r="271" spans="1:21" x14ac:dyDescent="0.3">
      <c r="A271" t="s">
        <v>376</v>
      </c>
      <c r="B271" s="2">
        <v>45788</v>
      </c>
      <c r="C271" t="s">
        <v>87</v>
      </c>
      <c r="D271" t="s">
        <v>130</v>
      </c>
      <c r="E271" t="s">
        <v>24</v>
      </c>
      <c r="F271" t="s">
        <v>33</v>
      </c>
      <c r="G271" t="s">
        <v>26</v>
      </c>
      <c r="H271" t="s">
        <v>35</v>
      </c>
      <c r="I271" t="s">
        <v>63</v>
      </c>
      <c r="J271" t="s">
        <v>175</v>
      </c>
      <c r="K271">
        <v>1</v>
      </c>
      <c r="L271">
        <v>116115</v>
      </c>
      <c r="M271">
        <v>4.9000000000000002E-2</v>
      </c>
      <c r="N271">
        <v>116115</v>
      </c>
      <c r="O271">
        <v>5689.64</v>
      </c>
      <c r="P271">
        <v>110425.36</v>
      </c>
      <c r="Q271">
        <v>5</v>
      </c>
      <c r="R271">
        <v>200</v>
      </c>
      <c r="S271">
        <v>4.3</v>
      </c>
      <c r="T271">
        <v>10</v>
      </c>
      <c r="U271">
        <v>3</v>
      </c>
    </row>
    <row r="272" spans="1:21" x14ac:dyDescent="0.3">
      <c r="A272" t="s">
        <v>377</v>
      </c>
      <c r="B272" s="2">
        <v>45944</v>
      </c>
      <c r="C272" t="s">
        <v>76</v>
      </c>
      <c r="D272" t="s">
        <v>117</v>
      </c>
      <c r="E272" t="s">
        <v>62</v>
      </c>
      <c r="F272" t="s">
        <v>80</v>
      </c>
      <c r="G272" t="s">
        <v>34</v>
      </c>
      <c r="H272" t="s">
        <v>53</v>
      </c>
      <c r="I272" t="s">
        <v>94</v>
      </c>
      <c r="J272" t="s">
        <v>83</v>
      </c>
      <c r="K272">
        <v>2</v>
      </c>
      <c r="L272">
        <v>133281</v>
      </c>
      <c r="M272">
        <v>0.11899999999999999</v>
      </c>
      <c r="N272">
        <v>266562</v>
      </c>
      <c r="O272">
        <v>31720.880000000001</v>
      </c>
      <c r="P272">
        <v>234841.12</v>
      </c>
      <c r="Q272">
        <v>2</v>
      </c>
      <c r="R272">
        <v>147</v>
      </c>
      <c r="S272">
        <v>3.3</v>
      </c>
      <c r="T272">
        <v>5</v>
      </c>
      <c r="U272">
        <v>5</v>
      </c>
    </row>
    <row r="273" spans="1:21" x14ac:dyDescent="0.3">
      <c r="A273" t="s">
        <v>378</v>
      </c>
      <c r="B273" s="2">
        <v>45933</v>
      </c>
      <c r="C273" t="s">
        <v>99</v>
      </c>
      <c r="D273" t="s">
        <v>141</v>
      </c>
      <c r="E273" t="s">
        <v>62</v>
      </c>
      <c r="F273" t="s">
        <v>66</v>
      </c>
      <c r="G273" t="s">
        <v>26</v>
      </c>
      <c r="H273" t="s">
        <v>35</v>
      </c>
      <c r="I273" t="s">
        <v>48</v>
      </c>
      <c r="J273" t="s">
        <v>143</v>
      </c>
      <c r="K273">
        <v>1</v>
      </c>
      <c r="L273">
        <v>136148</v>
      </c>
      <c r="M273">
        <v>4.7E-2</v>
      </c>
      <c r="N273">
        <v>136148</v>
      </c>
      <c r="O273">
        <v>6398.96</v>
      </c>
      <c r="P273">
        <v>129749.04</v>
      </c>
      <c r="Q273">
        <v>4</v>
      </c>
      <c r="R273">
        <v>174</v>
      </c>
      <c r="S273">
        <v>3.7</v>
      </c>
      <c r="T273">
        <v>9</v>
      </c>
      <c r="U273">
        <v>3</v>
      </c>
    </row>
    <row r="274" spans="1:21" x14ac:dyDescent="0.3">
      <c r="A274" t="s">
        <v>379</v>
      </c>
      <c r="B274" s="2">
        <v>45886</v>
      </c>
      <c r="C274" t="s">
        <v>39</v>
      </c>
      <c r="D274" t="s">
        <v>40</v>
      </c>
      <c r="E274" t="s">
        <v>24</v>
      </c>
      <c r="F274" t="s">
        <v>47</v>
      </c>
      <c r="G274" t="s">
        <v>67</v>
      </c>
      <c r="H274" t="s">
        <v>35</v>
      </c>
      <c r="I274" t="s">
        <v>94</v>
      </c>
      <c r="J274" t="s">
        <v>49</v>
      </c>
      <c r="K274">
        <v>1</v>
      </c>
      <c r="L274">
        <v>130810</v>
      </c>
      <c r="M274">
        <v>3.5000000000000003E-2</v>
      </c>
      <c r="N274">
        <v>130810</v>
      </c>
      <c r="O274">
        <v>4578.3500000000004</v>
      </c>
      <c r="P274">
        <v>126231.65</v>
      </c>
      <c r="Q274">
        <v>3</v>
      </c>
      <c r="R274">
        <v>187</v>
      </c>
      <c r="S274">
        <v>3.5</v>
      </c>
      <c r="T274">
        <v>8</v>
      </c>
      <c r="U274">
        <v>2</v>
      </c>
    </row>
    <row r="275" spans="1:21" x14ac:dyDescent="0.3">
      <c r="A275" t="s">
        <v>380</v>
      </c>
      <c r="B275" s="2">
        <v>45712</v>
      </c>
      <c r="C275" t="s">
        <v>60</v>
      </c>
      <c r="D275" t="s">
        <v>61</v>
      </c>
      <c r="E275" t="s">
        <v>46</v>
      </c>
      <c r="F275" t="s">
        <v>70</v>
      </c>
      <c r="G275" t="s">
        <v>34</v>
      </c>
      <c r="H275" t="s">
        <v>53</v>
      </c>
      <c r="I275" t="s">
        <v>28</v>
      </c>
      <c r="J275" t="s">
        <v>143</v>
      </c>
      <c r="K275">
        <v>2</v>
      </c>
      <c r="L275">
        <v>111750</v>
      </c>
      <c r="M275">
        <v>8.6999999999999994E-2</v>
      </c>
      <c r="N275">
        <v>223500</v>
      </c>
      <c r="O275">
        <v>19444.5</v>
      </c>
      <c r="P275">
        <v>204055.5</v>
      </c>
      <c r="Q275">
        <v>3</v>
      </c>
      <c r="R275">
        <v>158</v>
      </c>
      <c r="S275">
        <v>4.2</v>
      </c>
      <c r="T275">
        <v>5</v>
      </c>
      <c r="U275">
        <v>3</v>
      </c>
    </row>
    <row r="276" spans="1:21" x14ac:dyDescent="0.3">
      <c r="A276" t="s">
        <v>381</v>
      </c>
      <c r="B276" s="2">
        <v>45988</v>
      </c>
      <c r="C276" t="s">
        <v>76</v>
      </c>
      <c r="D276" t="s">
        <v>117</v>
      </c>
      <c r="E276" t="s">
        <v>24</v>
      </c>
      <c r="F276" t="s">
        <v>74</v>
      </c>
      <c r="G276" t="s">
        <v>56</v>
      </c>
      <c r="H276" t="s">
        <v>27</v>
      </c>
      <c r="I276" t="s">
        <v>28</v>
      </c>
      <c r="J276" t="s">
        <v>123</v>
      </c>
      <c r="K276">
        <v>1</v>
      </c>
      <c r="L276">
        <v>131388</v>
      </c>
      <c r="M276">
        <v>2.5000000000000001E-2</v>
      </c>
      <c r="N276">
        <v>131388</v>
      </c>
      <c r="O276">
        <v>3284.7</v>
      </c>
      <c r="P276">
        <v>128103.3</v>
      </c>
      <c r="Q276">
        <v>4</v>
      </c>
      <c r="R276">
        <v>184</v>
      </c>
      <c r="S276">
        <v>3.7</v>
      </c>
      <c r="T276">
        <v>9</v>
      </c>
      <c r="U276">
        <v>5</v>
      </c>
    </row>
    <row r="277" spans="1:21" x14ac:dyDescent="0.3">
      <c r="A277" t="s">
        <v>382</v>
      </c>
      <c r="B277" s="2">
        <v>45828</v>
      </c>
      <c r="C277" t="s">
        <v>39</v>
      </c>
      <c r="D277" t="s">
        <v>40</v>
      </c>
      <c r="E277" t="s">
        <v>24</v>
      </c>
      <c r="F277" t="s">
        <v>52</v>
      </c>
      <c r="G277" t="s">
        <v>67</v>
      </c>
      <c r="H277" t="s">
        <v>53</v>
      </c>
      <c r="I277" t="s">
        <v>63</v>
      </c>
      <c r="J277" t="s">
        <v>123</v>
      </c>
      <c r="K277">
        <v>2</v>
      </c>
      <c r="L277">
        <v>121188</v>
      </c>
      <c r="M277">
        <v>7.5999999999999998E-2</v>
      </c>
      <c r="N277">
        <v>242376</v>
      </c>
      <c r="O277">
        <v>18420.580000000002</v>
      </c>
      <c r="P277">
        <v>223955.42</v>
      </c>
      <c r="Q277">
        <v>5</v>
      </c>
      <c r="R277">
        <v>182</v>
      </c>
      <c r="S277">
        <v>3.6</v>
      </c>
      <c r="T277">
        <v>14</v>
      </c>
      <c r="U277">
        <v>5</v>
      </c>
    </row>
    <row r="278" spans="1:21" x14ac:dyDescent="0.3">
      <c r="A278" t="s">
        <v>383</v>
      </c>
      <c r="B278" s="2">
        <v>45962</v>
      </c>
      <c r="C278" t="s">
        <v>39</v>
      </c>
      <c r="D278" t="s">
        <v>154</v>
      </c>
      <c r="E278" t="s">
        <v>24</v>
      </c>
      <c r="F278" t="s">
        <v>80</v>
      </c>
      <c r="G278" t="s">
        <v>56</v>
      </c>
      <c r="H278" t="s">
        <v>53</v>
      </c>
      <c r="I278" t="s">
        <v>63</v>
      </c>
      <c r="J278" t="s">
        <v>81</v>
      </c>
      <c r="K278">
        <v>1</v>
      </c>
      <c r="L278">
        <v>176603</v>
      </c>
      <c r="M278">
        <v>2.4E-2</v>
      </c>
      <c r="N278">
        <v>176603</v>
      </c>
      <c r="O278">
        <v>4238.47</v>
      </c>
      <c r="P278">
        <v>172364.53</v>
      </c>
      <c r="Q278">
        <v>4</v>
      </c>
      <c r="R278">
        <v>202</v>
      </c>
      <c r="S278">
        <v>4.5999999999999996</v>
      </c>
      <c r="T278">
        <v>9</v>
      </c>
      <c r="U278">
        <v>3</v>
      </c>
    </row>
    <row r="279" spans="1:21" x14ac:dyDescent="0.3">
      <c r="A279" t="s">
        <v>384</v>
      </c>
      <c r="B279" s="2">
        <v>45875</v>
      </c>
      <c r="C279" t="s">
        <v>44</v>
      </c>
      <c r="D279" t="s">
        <v>51</v>
      </c>
      <c r="E279" t="s">
        <v>62</v>
      </c>
      <c r="F279" t="s">
        <v>101</v>
      </c>
      <c r="G279" t="s">
        <v>34</v>
      </c>
      <c r="H279" t="s">
        <v>35</v>
      </c>
      <c r="I279" t="s">
        <v>28</v>
      </c>
      <c r="J279" t="s">
        <v>197</v>
      </c>
      <c r="K279">
        <v>4</v>
      </c>
      <c r="L279">
        <v>118508</v>
      </c>
      <c r="M279">
        <v>6.6000000000000003E-2</v>
      </c>
      <c r="N279">
        <v>474032</v>
      </c>
      <c r="O279">
        <v>31286.11</v>
      </c>
      <c r="P279">
        <v>442745.89</v>
      </c>
      <c r="Q279">
        <v>4</v>
      </c>
      <c r="R279">
        <v>157</v>
      </c>
      <c r="S279">
        <v>4.4000000000000004</v>
      </c>
      <c r="T279">
        <v>13</v>
      </c>
      <c r="U279">
        <v>3</v>
      </c>
    </row>
    <row r="280" spans="1:21" x14ac:dyDescent="0.3">
      <c r="A280" t="s">
        <v>385</v>
      </c>
      <c r="B280" s="2">
        <v>45941</v>
      </c>
      <c r="C280" t="s">
        <v>31</v>
      </c>
      <c r="D280" t="s">
        <v>97</v>
      </c>
      <c r="E280" t="s">
        <v>62</v>
      </c>
      <c r="F280" t="s">
        <v>70</v>
      </c>
      <c r="G280" t="s">
        <v>56</v>
      </c>
      <c r="H280" t="s">
        <v>35</v>
      </c>
      <c r="I280" t="s">
        <v>28</v>
      </c>
      <c r="J280" t="s">
        <v>102</v>
      </c>
      <c r="K280">
        <v>1</v>
      </c>
      <c r="L280">
        <v>128449</v>
      </c>
      <c r="M280">
        <v>0.10299999999999999</v>
      </c>
      <c r="N280">
        <v>128449</v>
      </c>
      <c r="O280">
        <v>13230.25</v>
      </c>
      <c r="P280">
        <v>115218.75</v>
      </c>
      <c r="Q280">
        <v>5</v>
      </c>
      <c r="R280">
        <v>194</v>
      </c>
      <c r="S280">
        <v>3.6</v>
      </c>
      <c r="T280">
        <v>5</v>
      </c>
      <c r="U280">
        <v>3</v>
      </c>
    </row>
    <row r="281" spans="1:21" x14ac:dyDescent="0.3">
      <c r="A281" t="s">
        <v>386</v>
      </c>
      <c r="B281" s="2">
        <v>45947</v>
      </c>
      <c r="C281" t="s">
        <v>76</v>
      </c>
      <c r="D281" t="s">
        <v>117</v>
      </c>
      <c r="E281" t="s">
        <v>46</v>
      </c>
      <c r="F281" t="s">
        <v>33</v>
      </c>
      <c r="G281" t="s">
        <v>26</v>
      </c>
      <c r="H281" t="s">
        <v>35</v>
      </c>
      <c r="I281" t="s">
        <v>57</v>
      </c>
      <c r="J281" t="s">
        <v>143</v>
      </c>
      <c r="K281">
        <v>1</v>
      </c>
      <c r="L281">
        <v>126995</v>
      </c>
      <c r="M281">
        <v>2.5999999999999999E-2</v>
      </c>
      <c r="N281">
        <v>126995</v>
      </c>
      <c r="O281">
        <v>3301.87</v>
      </c>
      <c r="P281">
        <v>123693.13</v>
      </c>
      <c r="Q281">
        <v>5</v>
      </c>
      <c r="R281">
        <v>184</v>
      </c>
      <c r="S281">
        <v>4.5</v>
      </c>
      <c r="T281">
        <v>4</v>
      </c>
      <c r="U281">
        <v>5</v>
      </c>
    </row>
    <row r="282" spans="1:21" x14ac:dyDescent="0.3">
      <c r="A282" t="s">
        <v>387</v>
      </c>
      <c r="B282" s="2">
        <v>45762</v>
      </c>
      <c r="C282" t="s">
        <v>39</v>
      </c>
      <c r="D282" t="s">
        <v>154</v>
      </c>
      <c r="E282" t="s">
        <v>46</v>
      </c>
      <c r="F282" t="s">
        <v>47</v>
      </c>
      <c r="G282" t="s">
        <v>26</v>
      </c>
      <c r="H282" t="s">
        <v>35</v>
      </c>
      <c r="I282" t="s">
        <v>48</v>
      </c>
      <c r="J282" t="s">
        <v>95</v>
      </c>
      <c r="K282">
        <v>2</v>
      </c>
      <c r="L282">
        <v>179562</v>
      </c>
      <c r="M282">
        <v>0.06</v>
      </c>
      <c r="N282">
        <v>359124</v>
      </c>
      <c r="O282">
        <v>21547.439999999999</v>
      </c>
      <c r="P282">
        <v>337576.56</v>
      </c>
      <c r="Q282">
        <v>5</v>
      </c>
      <c r="R282">
        <v>213</v>
      </c>
      <c r="S282">
        <v>3.6</v>
      </c>
      <c r="T282">
        <v>2</v>
      </c>
      <c r="U282">
        <v>3</v>
      </c>
    </row>
    <row r="283" spans="1:21" x14ac:dyDescent="0.3">
      <c r="A283" t="s">
        <v>388</v>
      </c>
      <c r="B283" s="2">
        <v>45773</v>
      </c>
      <c r="C283" t="s">
        <v>76</v>
      </c>
      <c r="D283" t="s">
        <v>77</v>
      </c>
      <c r="E283" t="s">
        <v>24</v>
      </c>
      <c r="F283" t="s">
        <v>70</v>
      </c>
      <c r="G283" t="s">
        <v>67</v>
      </c>
      <c r="H283" t="s">
        <v>53</v>
      </c>
      <c r="I283" t="s">
        <v>48</v>
      </c>
      <c r="J283" t="s">
        <v>131</v>
      </c>
      <c r="K283">
        <v>1</v>
      </c>
      <c r="L283">
        <v>151218</v>
      </c>
      <c r="M283">
        <v>7.2999999999999995E-2</v>
      </c>
      <c r="N283">
        <v>151218</v>
      </c>
      <c r="O283">
        <v>11038.91</v>
      </c>
      <c r="P283">
        <v>140179.09</v>
      </c>
      <c r="Q283">
        <v>3</v>
      </c>
      <c r="R283">
        <v>141</v>
      </c>
      <c r="S283">
        <v>4.0999999999999996</v>
      </c>
      <c r="T283">
        <v>5</v>
      </c>
      <c r="U283">
        <v>5</v>
      </c>
    </row>
    <row r="284" spans="1:21" x14ac:dyDescent="0.3">
      <c r="A284" t="s">
        <v>389</v>
      </c>
      <c r="B284" s="2">
        <v>46020</v>
      </c>
      <c r="C284" t="s">
        <v>87</v>
      </c>
      <c r="D284" t="s">
        <v>130</v>
      </c>
      <c r="E284" t="s">
        <v>24</v>
      </c>
      <c r="F284" t="s">
        <v>101</v>
      </c>
      <c r="G284" t="s">
        <v>67</v>
      </c>
      <c r="H284" t="s">
        <v>53</v>
      </c>
      <c r="I284" t="s">
        <v>63</v>
      </c>
      <c r="J284" t="s">
        <v>104</v>
      </c>
      <c r="K284">
        <v>1</v>
      </c>
      <c r="L284">
        <v>114688</v>
      </c>
      <c r="M284">
        <v>8.5999999999999993E-2</v>
      </c>
      <c r="N284">
        <v>114688</v>
      </c>
      <c r="O284">
        <v>9863.17</v>
      </c>
      <c r="P284">
        <v>104824.83</v>
      </c>
      <c r="Q284">
        <v>5</v>
      </c>
      <c r="R284">
        <v>203</v>
      </c>
      <c r="S284">
        <v>4.7</v>
      </c>
      <c r="T284">
        <v>8</v>
      </c>
      <c r="U284">
        <v>5</v>
      </c>
    </row>
    <row r="285" spans="1:21" x14ac:dyDescent="0.3">
      <c r="A285" t="s">
        <v>390</v>
      </c>
      <c r="B285" s="2">
        <v>45894</v>
      </c>
      <c r="C285" t="s">
        <v>31</v>
      </c>
      <c r="D285" t="s">
        <v>97</v>
      </c>
      <c r="E285" t="s">
        <v>62</v>
      </c>
      <c r="F285" t="s">
        <v>66</v>
      </c>
      <c r="G285" t="s">
        <v>26</v>
      </c>
      <c r="H285" t="s">
        <v>53</v>
      </c>
      <c r="I285" t="s">
        <v>63</v>
      </c>
      <c r="J285" t="s">
        <v>197</v>
      </c>
      <c r="K285">
        <v>1</v>
      </c>
      <c r="L285">
        <v>128780</v>
      </c>
      <c r="M285">
        <v>2.9000000000000001E-2</v>
      </c>
      <c r="N285">
        <v>128780</v>
      </c>
      <c r="O285">
        <v>3734.62</v>
      </c>
      <c r="P285">
        <v>125045.38</v>
      </c>
      <c r="Q285">
        <v>4</v>
      </c>
      <c r="R285">
        <v>185</v>
      </c>
      <c r="S285">
        <v>4</v>
      </c>
      <c r="T285">
        <v>3</v>
      </c>
      <c r="U285">
        <v>2</v>
      </c>
    </row>
    <row r="286" spans="1:21" x14ac:dyDescent="0.3">
      <c r="A286" t="s">
        <v>391</v>
      </c>
      <c r="B286" s="2">
        <v>45877</v>
      </c>
      <c r="C286" t="s">
        <v>22</v>
      </c>
      <c r="D286" t="s">
        <v>23</v>
      </c>
      <c r="E286" t="s">
        <v>46</v>
      </c>
      <c r="F286" t="s">
        <v>66</v>
      </c>
      <c r="G286" t="s">
        <v>26</v>
      </c>
      <c r="H286" t="s">
        <v>53</v>
      </c>
      <c r="I286" t="s">
        <v>57</v>
      </c>
      <c r="J286" t="s">
        <v>64</v>
      </c>
      <c r="K286">
        <v>5</v>
      </c>
      <c r="L286">
        <v>117162</v>
      </c>
      <c r="M286">
        <v>0.11700000000000001</v>
      </c>
      <c r="N286">
        <v>585810</v>
      </c>
      <c r="O286">
        <v>68539.77</v>
      </c>
      <c r="P286">
        <v>517270.23</v>
      </c>
      <c r="Q286">
        <v>3</v>
      </c>
      <c r="R286">
        <v>158</v>
      </c>
      <c r="S286">
        <v>4</v>
      </c>
      <c r="T286">
        <v>5</v>
      </c>
      <c r="U286">
        <v>2</v>
      </c>
    </row>
    <row r="287" spans="1:21" x14ac:dyDescent="0.3">
      <c r="A287" t="s">
        <v>392</v>
      </c>
      <c r="B287" s="2">
        <v>45839</v>
      </c>
      <c r="C287" t="s">
        <v>76</v>
      </c>
      <c r="D287" t="s">
        <v>117</v>
      </c>
      <c r="E287" t="s">
        <v>24</v>
      </c>
      <c r="F287" t="s">
        <v>101</v>
      </c>
      <c r="G287" t="s">
        <v>67</v>
      </c>
      <c r="H287" t="s">
        <v>53</v>
      </c>
      <c r="I287" t="s">
        <v>28</v>
      </c>
      <c r="J287" t="s">
        <v>92</v>
      </c>
      <c r="K287">
        <v>4</v>
      </c>
      <c r="L287">
        <v>140983</v>
      </c>
      <c r="M287">
        <v>2.8000000000000001E-2</v>
      </c>
      <c r="N287">
        <v>563932</v>
      </c>
      <c r="O287">
        <v>15790.1</v>
      </c>
      <c r="P287">
        <v>548141.9</v>
      </c>
      <c r="Q287">
        <v>5</v>
      </c>
      <c r="R287">
        <v>194</v>
      </c>
      <c r="S287">
        <v>4.3</v>
      </c>
      <c r="T287">
        <v>2</v>
      </c>
      <c r="U287">
        <v>2</v>
      </c>
    </row>
    <row r="288" spans="1:21" x14ac:dyDescent="0.3">
      <c r="A288" t="s">
        <v>393</v>
      </c>
      <c r="B288" s="2">
        <v>45919</v>
      </c>
      <c r="C288" t="s">
        <v>31</v>
      </c>
      <c r="D288" t="s">
        <v>32</v>
      </c>
      <c r="E288" t="s">
        <v>24</v>
      </c>
      <c r="F288" t="s">
        <v>25</v>
      </c>
      <c r="G288" t="s">
        <v>26</v>
      </c>
      <c r="H288" t="s">
        <v>27</v>
      </c>
      <c r="I288" t="s">
        <v>57</v>
      </c>
      <c r="J288" t="s">
        <v>78</v>
      </c>
      <c r="K288">
        <v>2</v>
      </c>
      <c r="L288">
        <v>106213</v>
      </c>
      <c r="M288">
        <v>3.4000000000000002E-2</v>
      </c>
      <c r="N288">
        <v>212426</v>
      </c>
      <c r="O288">
        <v>7222.48</v>
      </c>
      <c r="P288">
        <v>205203.52</v>
      </c>
      <c r="Q288">
        <v>4</v>
      </c>
      <c r="R288">
        <v>191</v>
      </c>
      <c r="S288">
        <v>4.4000000000000004</v>
      </c>
      <c r="T288">
        <v>6</v>
      </c>
      <c r="U288">
        <v>5</v>
      </c>
    </row>
    <row r="289" spans="1:21" x14ac:dyDescent="0.3">
      <c r="A289" t="s">
        <v>394</v>
      </c>
      <c r="B289" s="2">
        <v>45683</v>
      </c>
      <c r="C289" t="s">
        <v>76</v>
      </c>
      <c r="D289" t="s">
        <v>115</v>
      </c>
      <c r="E289" t="s">
        <v>24</v>
      </c>
      <c r="F289" t="s">
        <v>66</v>
      </c>
      <c r="G289" t="s">
        <v>34</v>
      </c>
      <c r="H289" t="s">
        <v>35</v>
      </c>
      <c r="I289" t="s">
        <v>63</v>
      </c>
      <c r="J289" t="s">
        <v>138</v>
      </c>
      <c r="K289">
        <v>5</v>
      </c>
      <c r="L289">
        <v>127874</v>
      </c>
      <c r="M289">
        <v>4.4999999999999998E-2</v>
      </c>
      <c r="N289">
        <v>639370</v>
      </c>
      <c r="O289">
        <v>28771.65</v>
      </c>
      <c r="P289">
        <v>610598.35</v>
      </c>
      <c r="Q289">
        <v>4</v>
      </c>
      <c r="R289">
        <v>163</v>
      </c>
      <c r="S289">
        <v>4.5999999999999996</v>
      </c>
      <c r="T289">
        <v>10</v>
      </c>
      <c r="U289">
        <v>3</v>
      </c>
    </row>
    <row r="290" spans="1:21" x14ac:dyDescent="0.3">
      <c r="A290" t="s">
        <v>395</v>
      </c>
      <c r="B290" s="2">
        <v>45994</v>
      </c>
      <c r="C290" t="s">
        <v>22</v>
      </c>
      <c r="D290" t="s">
        <v>23</v>
      </c>
      <c r="E290" t="s">
        <v>62</v>
      </c>
      <c r="F290" t="s">
        <v>47</v>
      </c>
      <c r="G290" t="s">
        <v>67</v>
      </c>
      <c r="H290" t="s">
        <v>35</v>
      </c>
      <c r="I290" t="s">
        <v>36</v>
      </c>
      <c r="J290" t="s">
        <v>102</v>
      </c>
      <c r="K290">
        <v>2</v>
      </c>
      <c r="L290">
        <v>116688</v>
      </c>
      <c r="M290">
        <v>8.7999999999999995E-2</v>
      </c>
      <c r="N290">
        <v>233376</v>
      </c>
      <c r="O290">
        <v>20537.09</v>
      </c>
      <c r="P290">
        <v>212838.91</v>
      </c>
      <c r="Q290">
        <v>5</v>
      </c>
      <c r="R290">
        <v>198</v>
      </c>
      <c r="S290">
        <v>4</v>
      </c>
      <c r="T290">
        <v>14</v>
      </c>
      <c r="U290">
        <v>2</v>
      </c>
    </row>
    <row r="291" spans="1:21" x14ac:dyDescent="0.3">
      <c r="A291" t="s">
        <v>396</v>
      </c>
      <c r="B291" s="2">
        <v>45785</v>
      </c>
      <c r="C291" t="s">
        <v>87</v>
      </c>
      <c r="D291" t="s">
        <v>88</v>
      </c>
      <c r="E291" t="s">
        <v>24</v>
      </c>
      <c r="F291" t="s">
        <v>47</v>
      </c>
      <c r="G291" t="s">
        <v>56</v>
      </c>
      <c r="H291" t="s">
        <v>35</v>
      </c>
      <c r="I291" t="s">
        <v>28</v>
      </c>
      <c r="J291" t="s">
        <v>197</v>
      </c>
      <c r="K291">
        <v>2</v>
      </c>
      <c r="L291">
        <v>142472</v>
      </c>
      <c r="M291">
        <v>0.06</v>
      </c>
      <c r="N291">
        <v>284944</v>
      </c>
      <c r="O291">
        <v>17096.64</v>
      </c>
      <c r="P291">
        <v>267847.36</v>
      </c>
      <c r="Q291">
        <v>3</v>
      </c>
      <c r="R291">
        <v>167</v>
      </c>
      <c r="S291">
        <v>4</v>
      </c>
      <c r="T291">
        <v>5</v>
      </c>
      <c r="U291">
        <v>2</v>
      </c>
    </row>
    <row r="292" spans="1:21" x14ac:dyDescent="0.3">
      <c r="A292" t="s">
        <v>397</v>
      </c>
      <c r="B292" s="2">
        <v>45828</v>
      </c>
      <c r="C292" t="s">
        <v>31</v>
      </c>
      <c r="D292" t="s">
        <v>97</v>
      </c>
      <c r="E292" t="s">
        <v>62</v>
      </c>
      <c r="F292" t="s">
        <v>101</v>
      </c>
      <c r="G292" t="s">
        <v>26</v>
      </c>
      <c r="H292" t="s">
        <v>27</v>
      </c>
      <c r="I292" t="s">
        <v>48</v>
      </c>
      <c r="J292" t="s">
        <v>131</v>
      </c>
      <c r="K292">
        <v>1</v>
      </c>
      <c r="L292">
        <v>127897</v>
      </c>
      <c r="M292">
        <v>0.104</v>
      </c>
      <c r="N292">
        <v>127897</v>
      </c>
      <c r="O292">
        <v>13301.29</v>
      </c>
      <c r="P292">
        <v>114595.71</v>
      </c>
      <c r="Q292">
        <v>2</v>
      </c>
      <c r="R292">
        <v>118</v>
      </c>
      <c r="S292">
        <v>3.8</v>
      </c>
      <c r="T292">
        <v>14</v>
      </c>
      <c r="U292">
        <v>2</v>
      </c>
    </row>
    <row r="293" spans="1:21" x14ac:dyDescent="0.3">
      <c r="A293" t="s">
        <v>398</v>
      </c>
      <c r="B293" s="2">
        <v>45717</v>
      </c>
      <c r="C293" t="s">
        <v>60</v>
      </c>
      <c r="D293" t="s">
        <v>69</v>
      </c>
      <c r="E293" t="s">
        <v>24</v>
      </c>
      <c r="F293" t="s">
        <v>52</v>
      </c>
      <c r="G293" t="s">
        <v>26</v>
      </c>
      <c r="H293" t="s">
        <v>53</v>
      </c>
      <c r="I293" t="s">
        <v>94</v>
      </c>
      <c r="J293" t="s">
        <v>83</v>
      </c>
      <c r="K293">
        <v>1</v>
      </c>
      <c r="L293">
        <v>111835</v>
      </c>
      <c r="M293">
        <v>8.5999999999999993E-2</v>
      </c>
      <c r="N293">
        <v>111835</v>
      </c>
      <c r="O293">
        <v>9617.81</v>
      </c>
      <c r="P293">
        <v>102217.19</v>
      </c>
      <c r="Q293">
        <v>2</v>
      </c>
      <c r="R293">
        <v>149</v>
      </c>
      <c r="S293">
        <v>3.9</v>
      </c>
      <c r="T293">
        <v>7</v>
      </c>
      <c r="U293">
        <v>3</v>
      </c>
    </row>
    <row r="294" spans="1:21" x14ac:dyDescent="0.3">
      <c r="A294" t="s">
        <v>399</v>
      </c>
      <c r="B294" s="2">
        <v>45769</v>
      </c>
      <c r="C294" t="s">
        <v>44</v>
      </c>
      <c r="D294" t="s">
        <v>51</v>
      </c>
      <c r="E294" t="s">
        <v>62</v>
      </c>
      <c r="F294" t="s">
        <v>25</v>
      </c>
      <c r="G294" t="s">
        <v>34</v>
      </c>
      <c r="H294" t="s">
        <v>27</v>
      </c>
      <c r="I294" t="s">
        <v>28</v>
      </c>
      <c r="J294" t="s">
        <v>72</v>
      </c>
      <c r="K294">
        <v>4</v>
      </c>
      <c r="L294">
        <v>122198</v>
      </c>
      <c r="M294">
        <v>0.10299999999999999</v>
      </c>
      <c r="N294">
        <v>488792</v>
      </c>
      <c r="O294">
        <v>50345.58</v>
      </c>
      <c r="P294">
        <v>438446.42</v>
      </c>
      <c r="Q294">
        <v>4</v>
      </c>
      <c r="R294">
        <v>169</v>
      </c>
      <c r="S294">
        <v>4.5999999999999996</v>
      </c>
      <c r="T294">
        <v>2</v>
      </c>
      <c r="U294">
        <v>2</v>
      </c>
    </row>
    <row r="295" spans="1:21" x14ac:dyDescent="0.3">
      <c r="A295" t="s">
        <v>400</v>
      </c>
      <c r="B295" s="2">
        <v>45807</v>
      </c>
      <c r="C295" t="s">
        <v>87</v>
      </c>
      <c r="D295" t="s">
        <v>130</v>
      </c>
      <c r="E295" t="s">
        <v>46</v>
      </c>
      <c r="F295" t="s">
        <v>70</v>
      </c>
      <c r="G295" t="s">
        <v>67</v>
      </c>
      <c r="H295" t="s">
        <v>35</v>
      </c>
      <c r="I295" t="s">
        <v>48</v>
      </c>
      <c r="J295" t="s">
        <v>123</v>
      </c>
      <c r="K295">
        <v>3</v>
      </c>
      <c r="L295">
        <v>107495</v>
      </c>
      <c r="M295">
        <v>0.11899999999999999</v>
      </c>
      <c r="N295">
        <v>322485</v>
      </c>
      <c r="O295">
        <v>38375.71</v>
      </c>
      <c r="P295">
        <v>284109.28999999998</v>
      </c>
      <c r="Q295">
        <v>2</v>
      </c>
      <c r="R295">
        <v>165</v>
      </c>
      <c r="S295">
        <v>4.5999999999999996</v>
      </c>
      <c r="T295">
        <v>2</v>
      </c>
      <c r="U295">
        <v>3</v>
      </c>
    </row>
    <row r="296" spans="1:21" x14ac:dyDescent="0.3">
      <c r="A296" t="s">
        <v>401</v>
      </c>
      <c r="B296" s="2">
        <v>45726</v>
      </c>
      <c r="C296" t="s">
        <v>60</v>
      </c>
      <c r="D296" t="s">
        <v>69</v>
      </c>
      <c r="E296" t="s">
        <v>24</v>
      </c>
      <c r="F296" t="s">
        <v>101</v>
      </c>
      <c r="G296" t="s">
        <v>67</v>
      </c>
      <c r="H296" t="s">
        <v>27</v>
      </c>
      <c r="I296" t="s">
        <v>48</v>
      </c>
      <c r="J296" t="s">
        <v>49</v>
      </c>
      <c r="K296">
        <v>1</v>
      </c>
      <c r="L296">
        <v>106732</v>
      </c>
      <c r="M296">
        <v>6.2E-2</v>
      </c>
      <c r="N296">
        <v>106732</v>
      </c>
      <c r="O296">
        <v>6617.38</v>
      </c>
      <c r="P296">
        <v>100114.62</v>
      </c>
      <c r="Q296">
        <v>3</v>
      </c>
      <c r="R296">
        <v>160</v>
      </c>
      <c r="S296">
        <v>3.6</v>
      </c>
      <c r="T296">
        <v>10</v>
      </c>
      <c r="U296">
        <v>3</v>
      </c>
    </row>
    <row r="297" spans="1:21" x14ac:dyDescent="0.3">
      <c r="A297" t="s">
        <v>402</v>
      </c>
      <c r="B297" s="2">
        <v>45682</v>
      </c>
      <c r="C297" t="s">
        <v>22</v>
      </c>
      <c r="D297" t="s">
        <v>107</v>
      </c>
      <c r="E297" t="s">
        <v>24</v>
      </c>
      <c r="F297" t="s">
        <v>47</v>
      </c>
      <c r="G297" t="s">
        <v>26</v>
      </c>
      <c r="H297" t="s">
        <v>35</v>
      </c>
      <c r="I297" t="s">
        <v>63</v>
      </c>
      <c r="J297" t="s">
        <v>89</v>
      </c>
      <c r="K297">
        <v>2</v>
      </c>
      <c r="L297">
        <v>143408</v>
      </c>
      <c r="M297">
        <v>3.5999999999999997E-2</v>
      </c>
      <c r="N297">
        <v>286816</v>
      </c>
      <c r="O297">
        <v>10325.379999999999</v>
      </c>
      <c r="P297">
        <v>276490.62</v>
      </c>
      <c r="Q297">
        <v>3</v>
      </c>
      <c r="R297">
        <v>169</v>
      </c>
      <c r="S297">
        <v>3.9</v>
      </c>
      <c r="T297">
        <v>13</v>
      </c>
      <c r="U297">
        <v>2</v>
      </c>
    </row>
    <row r="298" spans="1:21" x14ac:dyDescent="0.3">
      <c r="A298" t="s">
        <v>403</v>
      </c>
      <c r="B298" s="2">
        <v>45675</v>
      </c>
      <c r="C298" t="s">
        <v>76</v>
      </c>
      <c r="D298" t="s">
        <v>117</v>
      </c>
      <c r="E298" t="s">
        <v>62</v>
      </c>
      <c r="F298" t="s">
        <v>80</v>
      </c>
      <c r="G298" t="s">
        <v>26</v>
      </c>
      <c r="H298" t="s">
        <v>27</v>
      </c>
      <c r="I298" t="s">
        <v>63</v>
      </c>
      <c r="J298" t="s">
        <v>58</v>
      </c>
      <c r="K298">
        <v>4</v>
      </c>
      <c r="L298">
        <v>140718</v>
      </c>
      <c r="M298">
        <v>0.115</v>
      </c>
      <c r="N298">
        <v>562872</v>
      </c>
      <c r="O298">
        <v>64730.28</v>
      </c>
      <c r="P298">
        <v>498141.72</v>
      </c>
      <c r="Q298">
        <v>4</v>
      </c>
      <c r="R298">
        <v>168</v>
      </c>
      <c r="S298">
        <v>3.7</v>
      </c>
      <c r="T298">
        <v>11</v>
      </c>
      <c r="U298">
        <v>2</v>
      </c>
    </row>
    <row r="299" spans="1:21" x14ac:dyDescent="0.3">
      <c r="A299" t="s">
        <v>404</v>
      </c>
      <c r="B299" s="2">
        <v>45729</v>
      </c>
      <c r="C299" t="s">
        <v>39</v>
      </c>
      <c r="D299" t="s">
        <v>40</v>
      </c>
      <c r="E299" t="s">
        <v>46</v>
      </c>
      <c r="F299" t="s">
        <v>74</v>
      </c>
      <c r="G299" t="s">
        <v>34</v>
      </c>
      <c r="H299" t="s">
        <v>53</v>
      </c>
      <c r="I299" t="s">
        <v>94</v>
      </c>
      <c r="J299" t="s">
        <v>157</v>
      </c>
      <c r="K299">
        <v>4</v>
      </c>
      <c r="L299">
        <v>124057</v>
      </c>
      <c r="M299">
        <v>7.4999999999999997E-2</v>
      </c>
      <c r="N299">
        <v>496228</v>
      </c>
      <c r="O299">
        <v>37217.1</v>
      </c>
      <c r="P299">
        <v>459010.9</v>
      </c>
      <c r="Q299">
        <v>2</v>
      </c>
      <c r="R299">
        <v>160</v>
      </c>
      <c r="S299">
        <v>4</v>
      </c>
      <c r="T299">
        <v>2</v>
      </c>
      <c r="U299">
        <v>5</v>
      </c>
    </row>
    <row r="300" spans="1:21" x14ac:dyDescent="0.3">
      <c r="A300" t="s">
        <v>405</v>
      </c>
      <c r="B300" s="2">
        <v>45941</v>
      </c>
      <c r="C300" t="s">
        <v>31</v>
      </c>
      <c r="D300" t="s">
        <v>32</v>
      </c>
      <c r="E300" t="s">
        <v>46</v>
      </c>
      <c r="G300" t="s">
        <v>56</v>
      </c>
      <c r="H300" t="s">
        <v>35</v>
      </c>
      <c r="I300" t="s">
        <v>28</v>
      </c>
      <c r="J300" t="s">
        <v>81</v>
      </c>
      <c r="K300">
        <v>1</v>
      </c>
      <c r="L300">
        <v>113047</v>
      </c>
      <c r="M300">
        <v>4.9000000000000002E-2</v>
      </c>
      <c r="N300">
        <v>113047</v>
      </c>
      <c r="O300">
        <v>5539.3</v>
      </c>
      <c r="P300">
        <v>107507.7</v>
      </c>
      <c r="Q300">
        <v>3</v>
      </c>
      <c r="R300">
        <v>178</v>
      </c>
      <c r="S300">
        <v>3.5</v>
      </c>
      <c r="T300">
        <v>5</v>
      </c>
      <c r="U300">
        <v>2</v>
      </c>
    </row>
    <row r="301" spans="1:21" x14ac:dyDescent="0.3">
      <c r="A301" t="s">
        <v>406</v>
      </c>
      <c r="B301" s="2">
        <v>45763</v>
      </c>
      <c r="C301" t="s">
        <v>39</v>
      </c>
      <c r="D301" t="s">
        <v>40</v>
      </c>
      <c r="E301" t="s">
        <v>24</v>
      </c>
      <c r="F301" t="s">
        <v>25</v>
      </c>
      <c r="G301" t="s">
        <v>26</v>
      </c>
      <c r="H301" t="s">
        <v>27</v>
      </c>
      <c r="I301" t="s">
        <v>94</v>
      </c>
      <c r="J301" t="s">
        <v>123</v>
      </c>
      <c r="K301">
        <v>1</v>
      </c>
      <c r="L301">
        <v>122686</v>
      </c>
      <c r="M301">
        <v>0.111</v>
      </c>
      <c r="N301">
        <v>122686</v>
      </c>
      <c r="O301">
        <v>13618.15</v>
      </c>
      <c r="P301">
        <v>109067.85</v>
      </c>
      <c r="Q301">
        <v>4</v>
      </c>
      <c r="R301">
        <v>171</v>
      </c>
      <c r="S301">
        <v>4.7</v>
      </c>
      <c r="T301">
        <v>3</v>
      </c>
      <c r="U301">
        <v>3</v>
      </c>
    </row>
    <row r="302" spans="1:21" x14ac:dyDescent="0.3">
      <c r="A302" t="s">
        <v>407</v>
      </c>
      <c r="B302" s="2">
        <v>45798</v>
      </c>
      <c r="C302" t="s">
        <v>22</v>
      </c>
      <c r="D302" t="s">
        <v>23</v>
      </c>
      <c r="E302" t="s">
        <v>24</v>
      </c>
      <c r="F302" t="s">
        <v>80</v>
      </c>
      <c r="G302" t="s">
        <v>34</v>
      </c>
      <c r="H302" t="s">
        <v>35</v>
      </c>
      <c r="I302" t="s">
        <v>57</v>
      </c>
      <c r="J302" t="s">
        <v>81</v>
      </c>
      <c r="K302">
        <v>1</v>
      </c>
      <c r="L302">
        <v>129197</v>
      </c>
      <c r="M302">
        <v>5.3999999999999999E-2</v>
      </c>
      <c r="N302">
        <v>129197</v>
      </c>
      <c r="O302">
        <v>6976.64</v>
      </c>
      <c r="P302">
        <v>122220.36</v>
      </c>
      <c r="Q302">
        <v>3</v>
      </c>
      <c r="R302">
        <v>155</v>
      </c>
      <c r="S302">
        <v>3.9</v>
      </c>
      <c r="T302">
        <v>4</v>
      </c>
      <c r="U302">
        <v>5</v>
      </c>
    </row>
    <row r="303" spans="1:21" x14ac:dyDescent="0.3">
      <c r="A303" t="s">
        <v>408</v>
      </c>
      <c r="B303" s="2">
        <v>45995</v>
      </c>
      <c r="C303" t="s">
        <v>76</v>
      </c>
      <c r="D303" t="s">
        <v>115</v>
      </c>
      <c r="E303" t="s">
        <v>24</v>
      </c>
      <c r="F303" t="s">
        <v>33</v>
      </c>
      <c r="G303" t="s">
        <v>67</v>
      </c>
      <c r="H303" t="s">
        <v>53</v>
      </c>
      <c r="I303" t="s">
        <v>94</v>
      </c>
      <c r="J303" t="s">
        <v>123</v>
      </c>
      <c r="K303">
        <v>1</v>
      </c>
      <c r="L303">
        <v>134146</v>
      </c>
      <c r="M303">
        <v>7.3999999999999996E-2</v>
      </c>
      <c r="N303">
        <v>134146</v>
      </c>
      <c r="O303">
        <v>9926.7999999999993</v>
      </c>
      <c r="P303">
        <v>124219.2</v>
      </c>
      <c r="Q303">
        <v>2</v>
      </c>
      <c r="R303">
        <v>145</v>
      </c>
      <c r="S303">
        <v>3.9</v>
      </c>
      <c r="T303">
        <v>8</v>
      </c>
      <c r="U303">
        <v>5</v>
      </c>
    </row>
    <row r="304" spans="1:21" x14ac:dyDescent="0.3">
      <c r="A304" t="s">
        <v>409</v>
      </c>
      <c r="B304" s="2">
        <v>45945</v>
      </c>
      <c r="C304" t="s">
        <v>22</v>
      </c>
      <c r="D304" t="s">
        <v>107</v>
      </c>
      <c r="E304" t="s">
        <v>62</v>
      </c>
      <c r="F304" t="s">
        <v>52</v>
      </c>
      <c r="G304" t="s">
        <v>67</v>
      </c>
      <c r="H304" t="s">
        <v>35</v>
      </c>
      <c r="I304" t="s">
        <v>94</v>
      </c>
      <c r="J304" t="s">
        <v>203</v>
      </c>
      <c r="K304">
        <v>2</v>
      </c>
      <c r="L304">
        <v>139659</v>
      </c>
      <c r="M304">
        <v>6.3E-2</v>
      </c>
      <c r="N304">
        <v>279318</v>
      </c>
      <c r="O304">
        <v>17597.03</v>
      </c>
      <c r="P304">
        <v>261720.97</v>
      </c>
      <c r="Q304">
        <v>3</v>
      </c>
      <c r="R304">
        <v>177</v>
      </c>
      <c r="S304">
        <v>4.2</v>
      </c>
      <c r="T304">
        <v>8</v>
      </c>
      <c r="U304">
        <v>2</v>
      </c>
    </row>
    <row r="305" spans="1:21" x14ac:dyDescent="0.3">
      <c r="A305" t="s">
        <v>410</v>
      </c>
      <c r="B305" s="2">
        <v>45963</v>
      </c>
      <c r="C305" t="s">
        <v>22</v>
      </c>
      <c r="D305" t="s">
        <v>23</v>
      </c>
      <c r="E305" t="s">
        <v>24</v>
      </c>
      <c r="F305" t="s">
        <v>52</v>
      </c>
      <c r="G305" t="s">
        <v>34</v>
      </c>
      <c r="H305" t="s">
        <v>35</v>
      </c>
      <c r="I305" t="s">
        <v>48</v>
      </c>
      <c r="J305" t="s">
        <v>138</v>
      </c>
      <c r="K305">
        <v>1</v>
      </c>
      <c r="L305">
        <v>120711</v>
      </c>
      <c r="M305">
        <v>6.9000000000000006E-2</v>
      </c>
      <c r="N305">
        <v>120711</v>
      </c>
      <c r="O305">
        <v>8329.06</v>
      </c>
      <c r="P305">
        <v>112381.94</v>
      </c>
      <c r="Q305">
        <v>3</v>
      </c>
      <c r="R305">
        <v>178</v>
      </c>
      <c r="S305">
        <v>4.4000000000000004</v>
      </c>
      <c r="T305">
        <v>8</v>
      </c>
      <c r="U305">
        <v>3</v>
      </c>
    </row>
    <row r="306" spans="1:21" x14ac:dyDescent="0.3">
      <c r="A306" t="s">
        <v>411</v>
      </c>
      <c r="B306" s="2">
        <v>45828</v>
      </c>
      <c r="C306" t="s">
        <v>31</v>
      </c>
      <c r="D306" t="s">
        <v>32</v>
      </c>
      <c r="E306" t="s">
        <v>24</v>
      </c>
      <c r="F306" t="s">
        <v>52</v>
      </c>
      <c r="G306" t="s">
        <v>67</v>
      </c>
      <c r="H306" t="s">
        <v>53</v>
      </c>
      <c r="I306" t="s">
        <v>57</v>
      </c>
      <c r="J306" t="s">
        <v>109</v>
      </c>
      <c r="K306">
        <v>5</v>
      </c>
      <c r="L306">
        <v>105480</v>
      </c>
      <c r="M306">
        <v>3.5000000000000003E-2</v>
      </c>
      <c r="N306">
        <v>527400</v>
      </c>
      <c r="O306">
        <v>18459</v>
      </c>
      <c r="P306">
        <v>508941</v>
      </c>
      <c r="Q306">
        <v>5</v>
      </c>
      <c r="R306">
        <v>187</v>
      </c>
      <c r="S306">
        <v>3.9</v>
      </c>
      <c r="T306">
        <v>14</v>
      </c>
      <c r="U306">
        <v>3</v>
      </c>
    </row>
    <row r="307" spans="1:21" x14ac:dyDescent="0.3">
      <c r="A307" t="s">
        <v>412</v>
      </c>
      <c r="B307" s="2">
        <v>45903</v>
      </c>
      <c r="C307" t="s">
        <v>99</v>
      </c>
      <c r="D307" t="s">
        <v>121</v>
      </c>
      <c r="E307" t="s">
        <v>24</v>
      </c>
      <c r="F307" t="s">
        <v>52</v>
      </c>
      <c r="G307" t="s">
        <v>67</v>
      </c>
      <c r="H307" t="s">
        <v>27</v>
      </c>
      <c r="I307" t="s">
        <v>57</v>
      </c>
      <c r="J307" t="s">
        <v>83</v>
      </c>
      <c r="K307">
        <v>1</v>
      </c>
      <c r="L307">
        <v>107608</v>
      </c>
      <c r="M307">
        <v>0.105</v>
      </c>
      <c r="N307">
        <v>107608</v>
      </c>
      <c r="O307">
        <v>11298.84</v>
      </c>
      <c r="P307">
        <v>96309.16</v>
      </c>
      <c r="Q307">
        <v>2</v>
      </c>
      <c r="R307">
        <v>135</v>
      </c>
      <c r="S307">
        <v>4.7</v>
      </c>
      <c r="T307">
        <v>11</v>
      </c>
      <c r="U307">
        <v>2</v>
      </c>
    </row>
    <row r="308" spans="1:21" x14ac:dyDescent="0.3">
      <c r="A308" t="s">
        <v>413</v>
      </c>
      <c r="B308" s="2">
        <v>45883</v>
      </c>
      <c r="C308" t="s">
        <v>31</v>
      </c>
      <c r="D308" t="s">
        <v>97</v>
      </c>
      <c r="E308" t="s">
        <v>46</v>
      </c>
      <c r="F308" t="s">
        <v>47</v>
      </c>
      <c r="G308" t="s">
        <v>67</v>
      </c>
      <c r="H308" t="s">
        <v>35</v>
      </c>
      <c r="I308" t="s">
        <v>36</v>
      </c>
      <c r="J308" t="s">
        <v>131</v>
      </c>
      <c r="K308">
        <v>3</v>
      </c>
      <c r="L308">
        <v>130985</v>
      </c>
      <c r="M308">
        <v>9.8000000000000004E-2</v>
      </c>
      <c r="N308">
        <v>392955</v>
      </c>
      <c r="O308">
        <v>38509.589999999997</v>
      </c>
      <c r="P308">
        <v>354445.41</v>
      </c>
      <c r="Q308">
        <v>4</v>
      </c>
      <c r="R308">
        <v>181</v>
      </c>
      <c r="S308">
        <v>4.9000000000000004</v>
      </c>
      <c r="T308">
        <v>3</v>
      </c>
      <c r="U308">
        <v>5</v>
      </c>
    </row>
    <row r="309" spans="1:21" x14ac:dyDescent="0.3">
      <c r="A309" t="s">
        <v>414</v>
      </c>
      <c r="B309" s="2">
        <v>45782</v>
      </c>
      <c r="C309" t="s">
        <v>44</v>
      </c>
      <c r="D309" t="s">
        <v>51</v>
      </c>
      <c r="E309" t="s">
        <v>24</v>
      </c>
      <c r="F309" t="s">
        <v>41</v>
      </c>
      <c r="G309" t="s">
        <v>67</v>
      </c>
      <c r="H309" t="s">
        <v>27</v>
      </c>
      <c r="I309" t="s">
        <v>28</v>
      </c>
      <c r="J309" t="s">
        <v>89</v>
      </c>
      <c r="K309">
        <v>1</v>
      </c>
      <c r="L309">
        <v>118894</v>
      </c>
      <c r="M309">
        <v>7.4999999999999997E-2</v>
      </c>
      <c r="N309">
        <v>118894</v>
      </c>
      <c r="O309">
        <v>8917.0499999999993</v>
      </c>
      <c r="P309">
        <v>109976.95</v>
      </c>
      <c r="Q309">
        <v>5</v>
      </c>
      <c r="R309">
        <v>203</v>
      </c>
      <c r="S309">
        <v>4</v>
      </c>
      <c r="T309">
        <v>11</v>
      </c>
      <c r="U309">
        <v>3</v>
      </c>
    </row>
    <row r="310" spans="1:21" x14ac:dyDescent="0.3">
      <c r="A310" t="s">
        <v>415</v>
      </c>
      <c r="B310" s="2">
        <v>45874</v>
      </c>
      <c r="C310" t="s">
        <v>60</v>
      </c>
      <c r="D310" t="s">
        <v>61</v>
      </c>
      <c r="E310" t="s">
        <v>46</v>
      </c>
      <c r="F310" t="s">
        <v>52</v>
      </c>
      <c r="G310" t="s">
        <v>56</v>
      </c>
      <c r="H310" t="s">
        <v>27</v>
      </c>
      <c r="I310" t="s">
        <v>28</v>
      </c>
      <c r="J310" t="s">
        <v>216</v>
      </c>
      <c r="K310">
        <v>1</v>
      </c>
      <c r="L310">
        <v>121584</v>
      </c>
      <c r="M310">
        <v>8.1000000000000003E-2</v>
      </c>
      <c r="N310">
        <v>121584</v>
      </c>
      <c r="O310">
        <v>9848.2999999999993</v>
      </c>
      <c r="P310">
        <v>111735.7</v>
      </c>
      <c r="Q310">
        <v>4</v>
      </c>
      <c r="R310">
        <v>192</v>
      </c>
      <c r="S310">
        <v>3.7</v>
      </c>
      <c r="T310">
        <v>12</v>
      </c>
      <c r="U310">
        <v>2</v>
      </c>
    </row>
    <row r="311" spans="1:21" x14ac:dyDescent="0.3">
      <c r="A311" t="s">
        <v>416</v>
      </c>
      <c r="B311" s="2">
        <v>45994</v>
      </c>
      <c r="C311" t="s">
        <v>44</v>
      </c>
      <c r="D311" t="s">
        <v>51</v>
      </c>
      <c r="E311" t="s">
        <v>62</v>
      </c>
      <c r="F311" t="s">
        <v>52</v>
      </c>
      <c r="G311" t="s">
        <v>34</v>
      </c>
      <c r="H311" t="s">
        <v>35</v>
      </c>
      <c r="I311" t="s">
        <v>28</v>
      </c>
      <c r="J311" t="s">
        <v>143</v>
      </c>
      <c r="K311">
        <v>2</v>
      </c>
      <c r="L311">
        <v>122150</v>
      </c>
      <c r="M311">
        <v>5.3999999999999999E-2</v>
      </c>
      <c r="N311">
        <v>244300</v>
      </c>
      <c r="O311">
        <v>13192.2</v>
      </c>
      <c r="P311">
        <v>231107.8</v>
      </c>
      <c r="Q311">
        <v>3</v>
      </c>
      <c r="R311">
        <v>166</v>
      </c>
      <c r="S311">
        <v>4.4000000000000004</v>
      </c>
      <c r="T311">
        <v>14</v>
      </c>
      <c r="U311">
        <v>5</v>
      </c>
    </row>
    <row r="312" spans="1:21" x14ac:dyDescent="0.3">
      <c r="A312" t="s">
        <v>417</v>
      </c>
      <c r="B312" s="2">
        <v>45902</v>
      </c>
      <c r="C312" t="s">
        <v>39</v>
      </c>
      <c r="D312" t="s">
        <v>40</v>
      </c>
      <c r="E312" t="s">
        <v>46</v>
      </c>
      <c r="F312" t="s">
        <v>70</v>
      </c>
      <c r="G312" t="s">
        <v>67</v>
      </c>
      <c r="H312" t="s">
        <v>27</v>
      </c>
      <c r="I312" t="s">
        <v>57</v>
      </c>
      <c r="J312" t="s">
        <v>109</v>
      </c>
      <c r="K312">
        <v>2</v>
      </c>
      <c r="L312">
        <v>123740</v>
      </c>
      <c r="M312">
        <v>4.4999999999999998E-2</v>
      </c>
      <c r="N312">
        <v>247480</v>
      </c>
      <c r="O312">
        <v>11136.6</v>
      </c>
      <c r="P312">
        <v>236343.4</v>
      </c>
      <c r="Q312">
        <v>2</v>
      </c>
      <c r="R312">
        <v>160</v>
      </c>
      <c r="S312">
        <v>4.2</v>
      </c>
      <c r="T312">
        <v>12</v>
      </c>
      <c r="U312">
        <v>5</v>
      </c>
    </row>
    <row r="313" spans="1:21" x14ac:dyDescent="0.3">
      <c r="A313" t="s">
        <v>418</v>
      </c>
      <c r="B313" s="2">
        <v>45982</v>
      </c>
      <c r="C313" t="s">
        <v>99</v>
      </c>
      <c r="D313" t="s">
        <v>141</v>
      </c>
      <c r="E313" t="s">
        <v>24</v>
      </c>
      <c r="F313" t="s">
        <v>33</v>
      </c>
      <c r="G313" t="s">
        <v>34</v>
      </c>
      <c r="H313" t="s">
        <v>27</v>
      </c>
      <c r="I313" t="s">
        <v>63</v>
      </c>
      <c r="J313" t="s">
        <v>64</v>
      </c>
      <c r="K313">
        <v>1</v>
      </c>
      <c r="L313">
        <v>136309</v>
      </c>
      <c r="M313">
        <v>2.9000000000000001E-2</v>
      </c>
      <c r="N313">
        <v>136309</v>
      </c>
      <c r="O313">
        <v>3952.96</v>
      </c>
      <c r="P313">
        <v>132356.04</v>
      </c>
      <c r="Q313">
        <v>3</v>
      </c>
      <c r="R313">
        <v>163</v>
      </c>
      <c r="S313">
        <v>4.2</v>
      </c>
      <c r="T313">
        <v>14</v>
      </c>
      <c r="U313">
        <v>3</v>
      </c>
    </row>
    <row r="314" spans="1:21" x14ac:dyDescent="0.3">
      <c r="A314" t="s">
        <v>419</v>
      </c>
      <c r="B314" s="2">
        <v>45768</v>
      </c>
      <c r="C314" t="s">
        <v>22</v>
      </c>
      <c r="D314" t="s">
        <v>23</v>
      </c>
      <c r="E314" t="s">
        <v>46</v>
      </c>
      <c r="F314" t="s">
        <v>41</v>
      </c>
      <c r="G314" t="s">
        <v>67</v>
      </c>
      <c r="H314" t="s">
        <v>53</v>
      </c>
      <c r="I314" t="s">
        <v>36</v>
      </c>
      <c r="J314" t="s">
        <v>123</v>
      </c>
      <c r="K314">
        <v>1</v>
      </c>
      <c r="L314">
        <v>121015</v>
      </c>
      <c r="M314">
        <v>0.106</v>
      </c>
      <c r="N314">
        <v>121015</v>
      </c>
      <c r="O314">
        <v>12827.59</v>
      </c>
      <c r="P314">
        <v>108187.41</v>
      </c>
      <c r="Q314">
        <v>4</v>
      </c>
      <c r="R314">
        <v>170</v>
      </c>
      <c r="S314">
        <v>4.7</v>
      </c>
      <c r="T314">
        <v>13</v>
      </c>
      <c r="U314">
        <v>5</v>
      </c>
    </row>
    <row r="315" spans="1:21" x14ac:dyDescent="0.3">
      <c r="A315" t="s">
        <v>420</v>
      </c>
      <c r="B315" s="2">
        <v>45759</v>
      </c>
      <c r="C315" t="s">
        <v>87</v>
      </c>
      <c r="D315" t="s">
        <v>130</v>
      </c>
      <c r="E315" t="s">
        <v>62</v>
      </c>
      <c r="F315" t="s">
        <v>33</v>
      </c>
      <c r="G315" t="s">
        <v>34</v>
      </c>
      <c r="H315" t="s">
        <v>27</v>
      </c>
      <c r="I315" t="s">
        <v>48</v>
      </c>
      <c r="J315" t="s">
        <v>89</v>
      </c>
      <c r="K315">
        <v>1</v>
      </c>
      <c r="L315">
        <v>115417</v>
      </c>
      <c r="M315">
        <v>8.6999999999999994E-2</v>
      </c>
      <c r="N315">
        <v>115417</v>
      </c>
      <c r="O315">
        <v>10041.280000000001</v>
      </c>
      <c r="P315">
        <v>105375.72</v>
      </c>
      <c r="Q315">
        <v>4</v>
      </c>
      <c r="R315">
        <v>181</v>
      </c>
      <c r="S315">
        <v>3.2</v>
      </c>
      <c r="T315">
        <v>14</v>
      </c>
      <c r="U315">
        <v>3</v>
      </c>
    </row>
    <row r="316" spans="1:21" x14ac:dyDescent="0.3">
      <c r="A316" t="s">
        <v>421</v>
      </c>
      <c r="B316" s="2">
        <v>45956</v>
      </c>
      <c r="C316" t="s">
        <v>39</v>
      </c>
      <c r="D316" t="s">
        <v>154</v>
      </c>
      <c r="E316" t="s">
        <v>62</v>
      </c>
      <c r="F316" t="s">
        <v>101</v>
      </c>
      <c r="G316" t="s">
        <v>26</v>
      </c>
      <c r="H316" t="s">
        <v>35</v>
      </c>
      <c r="I316" t="s">
        <v>63</v>
      </c>
      <c r="J316" t="s">
        <v>216</v>
      </c>
      <c r="K316">
        <v>1</v>
      </c>
      <c r="L316">
        <v>188642</v>
      </c>
      <c r="M316">
        <v>8.5000000000000006E-2</v>
      </c>
      <c r="N316">
        <v>188642</v>
      </c>
      <c r="O316">
        <v>16034.57</v>
      </c>
      <c r="P316">
        <v>172607.43</v>
      </c>
      <c r="Q316">
        <v>5</v>
      </c>
      <c r="R316">
        <v>199</v>
      </c>
      <c r="S316">
        <v>4.3</v>
      </c>
      <c r="T316">
        <v>8</v>
      </c>
      <c r="U316">
        <v>3</v>
      </c>
    </row>
    <row r="317" spans="1:21" x14ac:dyDescent="0.3">
      <c r="A317" t="s">
        <v>422</v>
      </c>
      <c r="B317" s="2">
        <v>45932</v>
      </c>
      <c r="C317" t="s">
        <v>99</v>
      </c>
      <c r="D317" t="s">
        <v>121</v>
      </c>
      <c r="E317" t="s">
        <v>62</v>
      </c>
      <c r="F317" t="s">
        <v>66</v>
      </c>
      <c r="G317" t="s">
        <v>67</v>
      </c>
      <c r="H317" t="s">
        <v>53</v>
      </c>
      <c r="I317" t="s">
        <v>36</v>
      </c>
      <c r="J317" t="s">
        <v>157</v>
      </c>
      <c r="K317">
        <v>2</v>
      </c>
      <c r="L317">
        <v>102408</v>
      </c>
      <c r="M317">
        <v>5.0999999999999997E-2</v>
      </c>
      <c r="N317">
        <v>204816</v>
      </c>
      <c r="O317">
        <v>10445.620000000001</v>
      </c>
      <c r="P317">
        <v>194370.38</v>
      </c>
      <c r="Q317">
        <v>4</v>
      </c>
      <c r="R317">
        <v>201</v>
      </c>
      <c r="S317">
        <v>4.4000000000000004</v>
      </c>
      <c r="T317">
        <v>9</v>
      </c>
      <c r="U317">
        <v>5</v>
      </c>
    </row>
    <row r="318" spans="1:21" x14ac:dyDescent="0.3">
      <c r="A318" t="s">
        <v>423</v>
      </c>
      <c r="B318" s="2">
        <v>45797</v>
      </c>
      <c r="C318" t="s">
        <v>87</v>
      </c>
      <c r="D318" t="s">
        <v>88</v>
      </c>
      <c r="E318" t="s">
        <v>46</v>
      </c>
      <c r="F318" t="s">
        <v>66</v>
      </c>
      <c r="G318" t="s">
        <v>26</v>
      </c>
      <c r="H318" t="s">
        <v>27</v>
      </c>
      <c r="I318" t="s">
        <v>63</v>
      </c>
      <c r="J318" t="s">
        <v>54</v>
      </c>
      <c r="K318">
        <v>1</v>
      </c>
      <c r="L318">
        <v>160138</v>
      </c>
      <c r="M318">
        <v>2.1999999999999999E-2</v>
      </c>
      <c r="N318">
        <v>160138</v>
      </c>
      <c r="O318">
        <v>3523.04</v>
      </c>
      <c r="P318">
        <v>156614.96</v>
      </c>
      <c r="Q318">
        <v>3</v>
      </c>
      <c r="R318">
        <v>151</v>
      </c>
      <c r="S318">
        <v>4.7</v>
      </c>
      <c r="T318">
        <v>7</v>
      </c>
      <c r="U318">
        <v>5</v>
      </c>
    </row>
    <row r="319" spans="1:21" x14ac:dyDescent="0.3">
      <c r="A319" t="s">
        <v>424</v>
      </c>
      <c r="B319" s="2">
        <v>45872</v>
      </c>
      <c r="C319" t="s">
        <v>87</v>
      </c>
      <c r="D319" t="s">
        <v>130</v>
      </c>
      <c r="E319" t="s">
        <v>24</v>
      </c>
      <c r="F319" t="s">
        <v>33</v>
      </c>
      <c r="G319" t="s">
        <v>26</v>
      </c>
      <c r="H319" t="s">
        <v>53</v>
      </c>
      <c r="I319" t="s">
        <v>63</v>
      </c>
      <c r="J319" t="s">
        <v>89</v>
      </c>
      <c r="K319">
        <v>3</v>
      </c>
      <c r="L319">
        <v>108296</v>
      </c>
      <c r="M319">
        <v>7.8E-2</v>
      </c>
      <c r="N319">
        <v>324888</v>
      </c>
      <c r="O319">
        <v>25341.26</v>
      </c>
      <c r="P319">
        <v>299546.74</v>
      </c>
      <c r="Q319">
        <v>3</v>
      </c>
      <c r="R319">
        <v>162</v>
      </c>
      <c r="S319">
        <v>4.7</v>
      </c>
      <c r="T319">
        <v>2</v>
      </c>
      <c r="U319">
        <v>3</v>
      </c>
    </row>
    <row r="320" spans="1:21" x14ac:dyDescent="0.3">
      <c r="A320" t="s">
        <v>425</v>
      </c>
      <c r="B320" s="2">
        <v>45750</v>
      </c>
      <c r="C320" t="s">
        <v>87</v>
      </c>
      <c r="D320" t="s">
        <v>88</v>
      </c>
      <c r="E320" t="s">
        <v>24</v>
      </c>
      <c r="F320" t="s">
        <v>66</v>
      </c>
      <c r="G320" t="s">
        <v>67</v>
      </c>
      <c r="H320" t="s">
        <v>27</v>
      </c>
      <c r="I320" t="s">
        <v>28</v>
      </c>
      <c r="J320" t="s">
        <v>92</v>
      </c>
      <c r="K320">
        <v>4</v>
      </c>
      <c r="L320">
        <v>150493</v>
      </c>
      <c r="M320">
        <v>0.11899999999999999</v>
      </c>
      <c r="N320">
        <v>601972</v>
      </c>
      <c r="O320">
        <v>71634.67</v>
      </c>
      <c r="P320">
        <v>530337.32999999996</v>
      </c>
      <c r="Q320">
        <v>2</v>
      </c>
      <c r="R320">
        <v>164</v>
      </c>
      <c r="S320">
        <v>4.8</v>
      </c>
      <c r="T320">
        <v>7</v>
      </c>
      <c r="U320">
        <v>3</v>
      </c>
    </row>
    <row r="321" spans="1:21" x14ac:dyDescent="0.3">
      <c r="A321" t="s">
        <v>426</v>
      </c>
      <c r="B321" s="2">
        <v>45826</v>
      </c>
      <c r="C321" t="s">
        <v>99</v>
      </c>
      <c r="D321" t="s">
        <v>141</v>
      </c>
      <c r="E321" t="s">
        <v>24</v>
      </c>
      <c r="F321" t="s">
        <v>41</v>
      </c>
      <c r="G321" t="s">
        <v>67</v>
      </c>
      <c r="H321" t="s">
        <v>35</v>
      </c>
      <c r="I321" t="s">
        <v>28</v>
      </c>
      <c r="J321" t="s">
        <v>157</v>
      </c>
      <c r="K321">
        <v>1</v>
      </c>
      <c r="L321">
        <v>136744</v>
      </c>
      <c r="M321">
        <v>7.2999999999999995E-2</v>
      </c>
      <c r="N321">
        <v>136744</v>
      </c>
      <c r="O321">
        <v>9982.31</v>
      </c>
      <c r="P321">
        <v>126761.69</v>
      </c>
      <c r="Q321">
        <v>2</v>
      </c>
      <c r="R321">
        <v>141</v>
      </c>
      <c r="S321">
        <v>4.4000000000000004</v>
      </c>
      <c r="T321">
        <v>13</v>
      </c>
      <c r="U321">
        <v>2</v>
      </c>
    </row>
    <row r="322" spans="1:21" x14ac:dyDescent="0.3">
      <c r="A322" t="s">
        <v>427</v>
      </c>
      <c r="B322" s="2">
        <v>45728</v>
      </c>
      <c r="C322" t="s">
        <v>44</v>
      </c>
      <c r="D322" t="s">
        <v>45</v>
      </c>
      <c r="E322" t="s">
        <v>62</v>
      </c>
      <c r="F322" t="s">
        <v>70</v>
      </c>
      <c r="G322" t="s">
        <v>26</v>
      </c>
      <c r="H322" t="s">
        <v>53</v>
      </c>
      <c r="I322" t="s">
        <v>63</v>
      </c>
      <c r="J322" t="s">
        <v>143</v>
      </c>
      <c r="K322">
        <v>2</v>
      </c>
      <c r="L322">
        <v>159310</v>
      </c>
      <c r="M322">
        <v>7.8E-2</v>
      </c>
      <c r="N322">
        <v>318620</v>
      </c>
      <c r="O322">
        <v>24852.36</v>
      </c>
      <c r="P322">
        <v>293767.64</v>
      </c>
      <c r="Q322">
        <v>3</v>
      </c>
      <c r="R322">
        <v>166</v>
      </c>
      <c r="S322">
        <v>4.7</v>
      </c>
      <c r="T322">
        <v>12</v>
      </c>
      <c r="U322">
        <v>5</v>
      </c>
    </row>
    <row r="323" spans="1:21" x14ac:dyDescent="0.3">
      <c r="A323" t="s">
        <v>428</v>
      </c>
      <c r="B323" s="2">
        <v>45688</v>
      </c>
      <c r="C323" t="s">
        <v>39</v>
      </c>
      <c r="D323" t="s">
        <v>40</v>
      </c>
      <c r="E323" t="s">
        <v>24</v>
      </c>
      <c r="F323" t="s">
        <v>41</v>
      </c>
      <c r="G323" t="s">
        <v>26</v>
      </c>
      <c r="H323" t="s">
        <v>27</v>
      </c>
      <c r="I323" t="s">
        <v>94</v>
      </c>
      <c r="J323" t="s">
        <v>42</v>
      </c>
      <c r="K323">
        <v>2</v>
      </c>
      <c r="L323">
        <v>118910</v>
      </c>
      <c r="M323">
        <v>0.114</v>
      </c>
      <c r="N323">
        <v>237820</v>
      </c>
      <c r="O323">
        <v>27111.48</v>
      </c>
      <c r="P323">
        <v>210708.52</v>
      </c>
      <c r="Q323">
        <v>4</v>
      </c>
      <c r="R323">
        <v>196</v>
      </c>
      <c r="S323">
        <v>4.2</v>
      </c>
      <c r="T323">
        <v>7</v>
      </c>
      <c r="U323">
        <v>5</v>
      </c>
    </row>
    <row r="324" spans="1:21" x14ac:dyDescent="0.3">
      <c r="A324" t="s">
        <v>429</v>
      </c>
      <c r="B324" s="2">
        <v>46003</v>
      </c>
      <c r="C324" t="s">
        <v>60</v>
      </c>
      <c r="D324" t="s">
        <v>69</v>
      </c>
      <c r="E324" t="s">
        <v>46</v>
      </c>
      <c r="F324" t="s">
        <v>101</v>
      </c>
      <c r="G324" t="s">
        <v>67</v>
      </c>
      <c r="H324" t="s">
        <v>27</v>
      </c>
      <c r="I324" t="s">
        <v>94</v>
      </c>
      <c r="J324" t="s">
        <v>175</v>
      </c>
      <c r="K324">
        <v>5</v>
      </c>
      <c r="L324">
        <v>101304</v>
      </c>
      <c r="M324">
        <v>9.1999999999999998E-2</v>
      </c>
      <c r="N324">
        <v>506520</v>
      </c>
      <c r="O324">
        <v>46599.839999999997</v>
      </c>
      <c r="P324">
        <v>459920.16</v>
      </c>
      <c r="Q324">
        <v>2</v>
      </c>
      <c r="R324">
        <v>151</v>
      </c>
      <c r="S324">
        <v>3</v>
      </c>
      <c r="T324">
        <v>6</v>
      </c>
      <c r="U324">
        <v>3</v>
      </c>
    </row>
    <row r="325" spans="1:21" x14ac:dyDescent="0.3">
      <c r="A325" t="s">
        <v>430</v>
      </c>
      <c r="B325" s="2">
        <v>45812</v>
      </c>
      <c r="C325" t="s">
        <v>87</v>
      </c>
      <c r="D325" t="s">
        <v>88</v>
      </c>
      <c r="E325" t="s">
        <v>46</v>
      </c>
      <c r="F325" t="s">
        <v>80</v>
      </c>
      <c r="G325" t="s">
        <v>26</v>
      </c>
      <c r="H325" t="s">
        <v>35</v>
      </c>
      <c r="I325" t="s">
        <v>63</v>
      </c>
      <c r="J325" t="s">
        <v>212</v>
      </c>
      <c r="K325">
        <v>1</v>
      </c>
      <c r="L325">
        <v>159351</v>
      </c>
      <c r="M325">
        <v>2.1000000000000001E-2</v>
      </c>
      <c r="N325">
        <v>159351</v>
      </c>
      <c r="O325">
        <v>3346.37</v>
      </c>
      <c r="P325">
        <v>156004.63</v>
      </c>
      <c r="Q325">
        <v>3</v>
      </c>
      <c r="R325">
        <v>140</v>
      </c>
      <c r="S325">
        <v>4.5</v>
      </c>
      <c r="T325">
        <v>3</v>
      </c>
      <c r="U325">
        <v>5</v>
      </c>
    </row>
    <row r="326" spans="1:21" x14ac:dyDescent="0.3">
      <c r="A326" t="s">
        <v>431</v>
      </c>
      <c r="B326" s="2">
        <v>45843</v>
      </c>
      <c r="C326" t="s">
        <v>44</v>
      </c>
      <c r="D326" t="s">
        <v>51</v>
      </c>
      <c r="E326" t="s">
        <v>24</v>
      </c>
      <c r="F326" t="s">
        <v>80</v>
      </c>
      <c r="G326" t="s">
        <v>26</v>
      </c>
      <c r="H326" t="s">
        <v>53</v>
      </c>
      <c r="I326" t="s">
        <v>57</v>
      </c>
      <c r="J326" t="s">
        <v>95</v>
      </c>
      <c r="K326">
        <v>1</v>
      </c>
      <c r="L326">
        <v>113612</v>
      </c>
      <c r="M326">
        <v>0.10199999999999999</v>
      </c>
      <c r="N326">
        <v>113612</v>
      </c>
      <c r="O326">
        <v>11588.42</v>
      </c>
      <c r="P326">
        <v>102023.58</v>
      </c>
      <c r="Q326">
        <v>4</v>
      </c>
      <c r="R326">
        <v>160</v>
      </c>
      <c r="S326">
        <v>4.5999999999999996</v>
      </c>
      <c r="T326">
        <v>14</v>
      </c>
      <c r="U326">
        <v>3</v>
      </c>
    </row>
    <row r="327" spans="1:21" x14ac:dyDescent="0.3">
      <c r="A327" t="s">
        <v>432</v>
      </c>
      <c r="B327" s="2">
        <v>45801</v>
      </c>
      <c r="C327" t="s">
        <v>22</v>
      </c>
      <c r="D327" t="s">
        <v>107</v>
      </c>
      <c r="E327" t="s">
        <v>62</v>
      </c>
      <c r="F327" t="s">
        <v>25</v>
      </c>
      <c r="G327" t="s">
        <v>26</v>
      </c>
      <c r="H327" t="s">
        <v>53</v>
      </c>
      <c r="I327" t="s">
        <v>63</v>
      </c>
      <c r="J327" t="s">
        <v>83</v>
      </c>
      <c r="K327">
        <v>4</v>
      </c>
      <c r="L327">
        <v>134826</v>
      </c>
      <c r="M327">
        <v>6.2E-2</v>
      </c>
      <c r="N327">
        <v>539304</v>
      </c>
      <c r="O327">
        <v>33436.85</v>
      </c>
      <c r="P327">
        <v>505867.15</v>
      </c>
      <c r="Q327">
        <v>2</v>
      </c>
      <c r="R327">
        <v>141</v>
      </c>
      <c r="T327">
        <v>7</v>
      </c>
      <c r="U327">
        <v>2</v>
      </c>
    </row>
    <row r="328" spans="1:21" x14ac:dyDescent="0.3">
      <c r="A328" t="s">
        <v>433</v>
      </c>
      <c r="B328" s="2">
        <v>45928</v>
      </c>
      <c r="C328" t="s">
        <v>39</v>
      </c>
      <c r="D328" t="s">
        <v>40</v>
      </c>
      <c r="E328" t="s">
        <v>24</v>
      </c>
      <c r="F328" t="s">
        <v>33</v>
      </c>
      <c r="G328" t="s">
        <v>56</v>
      </c>
      <c r="H328" t="s">
        <v>35</v>
      </c>
      <c r="I328" t="s">
        <v>48</v>
      </c>
      <c r="J328" t="s">
        <v>81</v>
      </c>
      <c r="K328">
        <v>2</v>
      </c>
      <c r="L328">
        <v>117715</v>
      </c>
      <c r="M328">
        <v>3.4000000000000002E-2</v>
      </c>
      <c r="N328">
        <v>235430</v>
      </c>
      <c r="O328">
        <v>8004.62</v>
      </c>
      <c r="P328">
        <v>227425.38</v>
      </c>
      <c r="Q328">
        <v>4</v>
      </c>
      <c r="R328">
        <v>188</v>
      </c>
      <c r="S328">
        <v>3.4</v>
      </c>
      <c r="T328">
        <v>13</v>
      </c>
      <c r="U328">
        <v>5</v>
      </c>
    </row>
    <row r="329" spans="1:21" x14ac:dyDescent="0.3">
      <c r="A329" t="s">
        <v>434</v>
      </c>
      <c r="B329" s="2">
        <v>45836</v>
      </c>
      <c r="C329" t="s">
        <v>22</v>
      </c>
      <c r="D329" t="s">
        <v>23</v>
      </c>
      <c r="E329" t="s">
        <v>46</v>
      </c>
      <c r="F329" t="s">
        <v>66</v>
      </c>
      <c r="G329" t="s">
        <v>56</v>
      </c>
      <c r="H329" t="s">
        <v>35</v>
      </c>
      <c r="I329" t="s">
        <v>28</v>
      </c>
      <c r="J329" t="s">
        <v>29</v>
      </c>
      <c r="K329">
        <v>1</v>
      </c>
      <c r="L329">
        <v>113995</v>
      </c>
      <c r="M329">
        <v>7.6999999999999999E-2</v>
      </c>
      <c r="N329">
        <v>113995</v>
      </c>
      <c r="O329">
        <v>8777.61</v>
      </c>
      <c r="P329">
        <v>105217.39</v>
      </c>
      <c r="Q329">
        <v>4</v>
      </c>
      <c r="R329">
        <v>183</v>
      </c>
      <c r="S329">
        <v>4.5999999999999996</v>
      </c>
      <c r="T329">
        <v>14</v>
      </c>
      <c r="U329">
        <v>2</v>
      </c>
    </row>
    <row r="330" spans="1:21" x14ac:dyDescent="0.3">
      <c r="A330" t="s">
        <v>435</v>
      </c>
      <c r="B330" s="2">
        <v>45770</v>
      </c>
      <c r="C330" t="s">
        <v>76</v>
      </c>
      <c r="D330" t="s">
        <v>115</v>
      </c>
      <c r="E330" t="s">
        <v>46</v>
      </c>
      <c r="F330" t="s">
        <v>101</v>
      </c>
      <c r="G330" t="s">
        <v>26</v>
      </c>
      <c r="H330" t="s">
        <v>27</v>
      </c>
      <c r="I330" t="s">
        <v>57</v>
      </c>
      <c r="J330" t="s">
        <v>203</v>
      </c>
      <c r="K330">
        <v>2</v>
      </c>
      <c r="L330">
        <v>123029</v>
      </c>
      <c r="M330">
        <v>0.115</v>
      </c>
      <c r="N330">
        <v>246058</v>
      </c>
      <c r="O330">
        <v>28296.67</v>
      </c>
      <c r="P330">
        <v>217761.33</v>
      </c>
      <c r="Q330">
        <v>5</v>
      </c>
      <c r="R330">
        <v>194</v>
      </c>
      <c r="S330">
        <v>4</v>
      </c>
      <c r="T330">
        <v>13</v>
      </c>
      <c r="U330">
        <v>2</v>
      </c>
    </row>
    <row r="331" spans="1:21" x14ac:dyDescent="0.3">
      <c r="A331" t="s">
        <v>436</v>
      </c>
      <c r="B331" s="2">
        <v>45828</v>
      </c>
      <c r="C331" t="s">
        <v>76</v>
      </c>
      <c r="D331" t="s">
        <v>117</v>
      </c>
      <c r="E331" t="s">
        <v>46</v>
      </c>
      <c r="F331" t="s">
        <v>33</v>
      </c>
      <c r="G331" t="s">
        <v>34</v>
      </c>
      <c r="H331" t="s">
        <v>35</v>
      </c>
      <c r="I331" t="s">
        <v>57</v>
      </c>
      <c r="J331" t="s">
        <v>197</v>
      </c>
      <c r="K331">
        <v>2</v>
      </c>
      <c r="L331">
        <v>140674</v>
      </c>
      <c r="M331">
        <v>2.5000000000000001E-2</v>
      </c>
      <c r="N331">
        <v>281348</v>
      </c>
      <c r="O331">
        <v>7033.7</v>
      </c>
      <c r="P331">
        <v>274314.3</v>
      </c>
      <c r="Q331">
        <v>5</v>
      </c>
      <c r="R331">
        <v>196</v>
      </c>
      <c r="S331">
        <v>3.9</v>
      </c>
      <c r="T331">
        <v>12</v>
      </c>
      <c r="U331">
        <v>5</v>
      </c>
    </row>
    <row r="332" spans="1:21" x14ac:dyDescent="0.3">
      <c r="A332" t="s">
        <v>437</v>
      </c>
      <c r="B332" s="2">
        <v>45877</v>
      </c>
      <c r="C332" t="s">
        <v>31</v>
      </c>
      <c r="D332" t="s">
        <v>32</v>
      </c>
      <c r="E332" t="s">
        <v>46</v>
      </c>
      <c r="F332" t="s">
        <v>25</v>
      </c>
      <c r="G332" t="s">
        <v>67</v>
      </c>
      <c r="H332" t="s">
        <v>27</v>
      </c>
      <c r="I332" t="s">
        <v>48</v>
      </c>
      <c r="J332" t="s">
        <v>143</v>
      </c>
      <c r="K332">
        <v>1</v>
      </c>
      <c r="L332">
        <v>106127</v>
      </c>
      <c r="M332">
        <v>0.03</v>
      </c>
      <c r="N332">
        <v>106127</v>
      </c>
      <c r="O332">
        <v>3183.81</v>
      </c>
      <c r="P332">
        <v>102943.19</v>
      </c>
      <c r="Q332">
        <v>5</v>
      </c>
      <c r="R332">
        <v>218</v>
      </c>
      <c r="S332">
        <v>4.4000000000000004</v>
      </c>
      <c r="T332">
        <v>8</v>
      </c>
      <c r="U332">
        <v>3</v>
      </c>
    </row>
    <row r="333" spans="1:21" x14ac:dyDescent="0.3">
      <c r="A333" t="s">
        <v>438</v>
      </c>
      <c r="B333" s="2">
        <v>45958</v>
      </c>
      <c r="C333" t="s">
        <v>99</v>
      </c>
      <c r="D333" t="s">
        <v>100</v>
      </c>
      <c r="E333" t="s">
        <v>46</v>
      </c>
      <c r="F333" t="s">
        <v>101</v>
      </c>
      <c r="G333" t="s">
        <v>26</v>
      </c>
      <c r="H333" t="s">
        <v>27</v>
      </c>
      <c r="I333" t="s">
        <v>28</v>
      </c>
      <c r="J333" t="s">
        <v>102</v>
      </c>
      <c r="K333">
        <v>1</v>
      </c>
      <c r="L333">
        <v>122951</v>
      </c>
      <c r="M333">
        <v>2.7E-2</v>
      </c>
      <c r="N333">
        <v>122951</v>
      </c>
      <c r="O333">
        <v>3319.68</v>
      </c>
      <c r="P333">
        <v>119631.32</v>
      </c>
      <c r="Q333">
        <v>3</v>
      </c>
      <c r="R333">
        <v>178</v>
      </c>
      <c r="S333">
        <v>3.8</v>
      </c>
      <c r="T333">
        <v>4</v>
      </c>
      <c r="U333">
        <v>5</v>
      </c>
    </row>
    <row r="334" spans="1:21" x14ac:dyDescent="0.3">
      <c r="A334" t="s">
        <v>439</v>
      </c>
      <c r="B334" s="2">
        <v>45890</v>
      </c>
      <c r="C334" t="s">
        <v>44</v>
      </c>
      <c r="D334" t="s">
        <v>51</v>
      </c>
      <c r="E334" t="s">
        <v>46</v>
      </c>
      <c r="F334" t="s">
        <v>33</v>
      </c>
      <c r="G334" t="s">
        <v>34</v>
      </c>
      <c r="H334" t="s">
        <v>35</v>
      </c>
      <c r="I334" t="s">
        <v>36</v>
      </c>
      <c r="J334" t="s">
        <v>104</v>
      </c>
      <c r="K334">
        <v>2</v>
      </c>
      <c r="L334">
        <v>125226</v>
      </c>
      <c r="M334">
        <v>8.1000000000000003E-2</v>
      </c>
      <c r="N334">
        <v>250452</v>
      </c>
      <c r="O334">
        <v>20286.61</v>
      </c>
      <c r="P334">
        <v>230165.39</v>
      </c>
      <c r="Q334">
        <v>2</v>
      </c>
      <c r="R334">
        <v>152</v>
      </c>
      <c r="S334">
        <v>3.9</v>
      </c>
      <c r="T334">
        <v>13</v>
      </c>
      <c r="U334">
        <v>5</v>
      </c>
    </row>
    <row r="335" spans="1:21" x14ac:dyDescent="0.3">
      <c r="A335" t="s">
        <v>440</v>
      </c>
      <c r="B335" s="2">
        <v>45694</v>
      </c>
      <c r="C335" t="s">
        <v>87</v>
      </c>
      <c r="D335" t="s">
        <v>130</v>
      </c>
      <c r="E335" t="s">
        <v>62</v>
      </c>
      <c r="F335" t="s">
        <v>52</v>
      </c>
      <c r="G335" t="s">
        <v>34</v>
      </c>
      <c r="H335" t="s">
        <v>35</v>
      </c>
      <c r="I335" t="s">
        <v>28</v>
      </c>
      <c r="J335" t="s">
        <v>95</v>
      </c>
      <c r="K335">
        <v>2</v>
      </c>
      <c r="L335">
        <v>105555</v>
      </c>
      <c r="M335">
        <v>6.2E-2</v>
      </c>
      <c r="N335">
        <v>211110</v>
      </c>
      <c r="O335">
        <v>13088.82</v>
      </c>
      <c r="P335">
        <v>198021.18</v>
      </c>
      <c r="Q335">
        <v>4</v>
      </c>
      <c r="R335">
        <v>188</v>
      </c>
      <c r="S335">
        <v>3</v>
      </c>
      <c r="T335">
        <v>7</v>
      </c>
      <c r="U335">
        <v>3</v>
      </c>
    </row>
    <row r="336" spans="1:21" x14ac:dyDescent="0.3">
      <c r="A336" t="s">
        <v>441</v>
      </c>
      <c r="B336" s="2">
        <v>45722</v>
      </c>
      <c r="C336" t="s">
        <v>99</v>
      </c>
      <c r="D336" t="s">
        <v>141</v>
      </c>
      <c r="E336" t="s">
        <v>62</v>
      </c>
      <c r="F336" t="s">
        <v>74</v>
      </c>
      <c r="G336" t="s">
        <v>67</v>
      </c>
      <c r="H336" t="s">
        <v>53</v>
      </c>
      <c r="I336" t="s">
        <v>63</v>
      </c>
      <c r="J336" t="s">
        <v>102</v>
      </c>
      <c r="K336">
        <v>1</v>
      </c>
      <c r="L336">
        <v>137535</v>
      </c>
      <c r="M336">
        <v>9.2999999999999999E-2</v>
      </c>
      <c r="N336">
        <v>137535</v>
      </c>
      <c r="O336">
        <v>12790.75</v>
      </c>
      <c r="P336">
        <v>124744.25</v>
      </c>
      <c r="Q336">
        <v>4</v>
      </c>
      <c r="R336">
        <v>189</v>
      </c>
      <c r="S336">
        <v>4.2</v>
      </c>
      <c r="T336">
        <v>3</v>
      </c>
      <c r="U336">
        <v>5</v>
      </c>
    </row>
    <row r="337" spans="1:21" x14ac:dyDescent="0.3">
      <c r="A337" t="s">
        <v>442</v>
      </c>
      <c r="B337" s="2">
        <v>45745</v>
      </c>
      <c r="C337" t="s">
        <v>44</v>
      </c>
      <c r="D337" t="s">
        <v>51</v>
      </c>
      <c r="E337" t="s">
        <v>46</v>
      </c>
      <c r="F337" t="s">
        <v>70</v>
      </c>
      <c r="G337" t="s">
        <v>56</v>
      </c>
      <c r="H337" t="s">
        <v>53</v>
      </c>
      <c r="I337" t="s">
        <v>48</v>
      </c>
      <c r="J337" t="s">
        <v>197</v>
      </c>
      <c r="K337">
        <v>2</v>
      </c>
      <c r="L337">
        <v>113223</v>
      </c>
      <c r="M337">
        <v>5.5E-2</v>
      </c>
      <c r="N337">
        <v>226446</v>
      </c>
      <c r="O337">
        <v>12454.53</v>
      </c>
      <c r="P337">
        <v>213991.47</v>
      </c>
      <c r="Q337">
        <v>4</v>
      </c>
      <c r="R337">
        <v>162</v>
      </c>
      <c r="S337">
        <v>4.3</v>
      </c>
      <c r="T337">
        <v>10</v>
      </c>
      <c r="U337">
        <v>2</v>
      </c>
    </row>
    <row r="338" spans="1:21" x14ac:dyDescent="0.3">
      <c r="A338" t="s">
        <v>443</v>
      </c>
      <c r="B338" s="2">
        <v>45734</v>
      </c>
      <c r="C338" t="s">
        <v>31</v>
      </c>
      <c r="D338" t="s">
        <v>97</v>
      </c>
      <c r="E338" t="s">
        <v>46</v>
      </c>
      <c r="F338" t="s">
        <v>80</v>
      </c>
      <c r="G338" t="s">
        <v>56</v>
      </c>
      <c r="H338" t="s">
        <v>53</v>
      </c>
      <c r="I338" t="s">
        <v>94</v>
      </c>
      <c r="J338" t="s">
        <v>216</v>
      </c>
      <c r="K338">
        <v>1</v>
      </c>
      <c r="L338">
        <v>127974</v>
      </c>
      <c r="M338">
        <v>0.111</v>
      </c>
      <c r="N338">
        <v>127974</v>
      </c>
      <c r="O338">
        <v>14205.11</v>
      </c>
      <c r="P338">
        <v>113768.89</v>
      </c>
      <c r="Q338">
        <v>2</v>
      </c>
      <c r="R338">
        <v>134</v>
      </c>
      <c r="S338">
        <v>4.4000000000000004</v>
      </c>
      <c r="T338">
        <v>11</v>
      </c>
      <c r="U338">
        <v>3</v>
      </c>
    </row>
    <row r="339" spans="1:21" x14ac:dyDescent="0.3">
      <c r="A339" t="s">
        <v>444</v>
      </c>
      <c r="B339" s="2">
        <v>45732</v>
      </c>
      <c r="C339" t="s">
        <v>87</v>
      </c>
      <c r="D339" t="s">
        <v>130</v>
      </c>
      <c r="E339" t="s">
        <v>46</v>
      </c>
      <c r="F339" t="s">
        <v>33</v>
      </c>
      <c r="G339" t="s">
        <v>26</v>
      </c>
      <c r="H339" t="s">
        <v>53</v>
      </c>
      <c r="I339" t="s">
        <v>36</v>
      </c>
      <c r="J339" t="s">
        <v>37</v>
      </c>
      <c r="K339">
        <v>2</v>
      </c>
      <c r="L339">
        <v>117898</v>
      </c>
      <c r="M339">
        <v>3.6999999999999998E-2</v>
      </c>
      <c r="N339">
        <v>235796</v>
      </c>
      <c r="O339">
        <v>8724.4500000000007</v>
      </c>
      <c r="P339">
        <v>227071.55</v>
      </c>
      <c r="Q339">
        <v>3</v>
      </c>
      <c r="R339">
        <v>166</v>
      </c>
      <c r="S339">
        <v>3.8</v>
      </c>
      <c r="T339">
        <v>2</v>
      </c>
      <c r="U339">
        <v>2</v>
      </c>
    </row>
    <row r="340" spans="1:21" x14ac:dyDescent="0.3">
      <c r="A340" t="s">
        <v>445</v>
      </c>
      <c r="B340" s="2">
        <v>45783</v>
      </c>
      <c r="C340" t="s">
        <v>60</v>
      </c>
      <c r="D340" t="s">
        <v>69</v>
      </c>
      <c r="E340" t="s">
        <v>46</v>
      </c>
      <c r="F340" t="s">
        <v>101</v>
      </c>
      <c r="G340" t="s">
        <v>56</v>
      </c>
      <c r="H340" t="s">
        <v>53</v>
      </c>
      <c r="I340" t="s">
        <v>48</v>
      </c>
      <c r="J340" t="s">
        <v>89</v>
      </c>
      <c r="K340">
        <v>2</v>
      </c>
      <c r="L340">
        <v>111792</v>
      </c>
      <c r="M340">
        <v>0.08</v>
      </c>
      <c r="N340">
        <v>223584</v>
      </c>
      <c r="O340">
        <v>17886.72</v>
      </c>
      <c r="P340">
        <v>205697.28</v>
      </c>
      <c r="Q340">
        <v>4</v>
      </c>
      <c r="R340">
        <v>200</v>
      </c>
      <c r="S340">
        <v>3.9</v>
      </c>
      <c r="T340">
        <v>4</v>
      </c>
      <c r="U340">
        <v>2</v>
      </c>
    </row>
    <row r="341" spans="1:21" x14ac:dyDescent="0.3">
      <c r="A341" t="s">
        <v>446</v>
      </c>
      <c r="B341" s="2">
        <v>45691</v>
      </c>
      <c r="C341" t="s">
        <v>44</v>
      </c>
      <c r="D341" t="s">
        <v>51</v>
      </c>
      <c r="E341" t="s">
        <v>24</v>
      </c>
      <c r="F341" t="s">
        <v>70</v>
      </c>
      <c r="G341" t="s">
        <v>34</v>
      </c>
      <c r="H341" t="s">
        <v>27</v>
      </c>
      <c r="I341" t="s">
        <v>36</v>
      </c>
      <c r="J341" t="s">
        <v>85</v>
      </c>
      <c r="K341">
        <v>1</v>
      </c>
      <c r="L341">
        <v>122780</v>
      </c>
      <c r="M341">
        <v>7.9000000000000001E-2</v>
      </c>
      <c r="N341">
        <v>122780</v>
      </c>
      <c r="O341">
        <v>9699.6200000000008</v>
      </c>
      <c r="P341">
        <v>113080.38</v>
      </c>
      <c r="Q341">
        <v>2</v>
      </c>
      <c r="R341">
        <v>141</v>
      </c>
      <c r="S341">
        <v>4.3</v>
      </c>
      <c r="T341">
        <v>11</v>
      </c>
      <c r="U341">
        <v>3</v>
      </c>
    </row>
    <row r="342" spans="1:21" x14ac:dyDescent="0.3">
      <c r="A342" t="s">
        <v>447</v>
      </c>
      <c r="B342" s="2">
        <v>45986</v>
      </c>
      <c r="C342" t="s">
        <v>44</v>
      </c>
      <c r="D342" t="s">
        <v>45</v>
      </c>
      <c r="E342" t="s">
        <v>46</v>
      </c>
      <c r="F342" t="s">
        <v>66</v>
      </c>
      <c r="G342" t="s">
        <v>67</v>
      </c>
      <c r="H342" t="s">
        <v>35</v>
      </c>
      <c r="I342" t="s">
        <v>48</v>
      </c>
      <c r="J342" t="s">
        <v>143</v>
      </c>
      <c r="K342">
        <v>2</v>
      </c>
      <c r="L342">
        <v>149136</v>
      </c>
      <c r="M342">
        <v>0.106</v>
      </c>
      <c r="N342">
        <v>298272</v>
      </c>
      <c r="O342">
        <v>31616.83</v>
      </c>
      <c r="P342">
        <v>266655.17</v>
      </c>
      <c r="Q342">
        <v>3</v>
      </c>
      <c r="R342">
        <v>151</v>
      </c>
      <c r="S342">
        <v>3.7</v>
      </c>
      <c r="T342">
        <v>4</v>
      </c>
      <c r="U342">
        <v>2</v>
      </c>
    </row>
    <row r="343" spans="1:21" x14ac:dyDescent="0.3">
      <c r="A343" t="s">
        <v>448</v>
      </c>
      <c r="B343" s="2">
        <v>45670</v>
      </c>
      <c r="C343" t="s">
        <v>99</v>
      </c>
      <c r="D343" t="s">
        <v>141</v>
      </c>
      <c r="E343" t="s">
        <v>46</v>
      </c>
      <c r="F343" t="s">
        <v>33</v>
      </c>
      <c r="G343" t="s">
        <v>67</v>
      </c>
      <c r="H343" t="s">
        <v>53</v>
      </c>
      <c r="I343" t="s">
        <v>48</v>
      </c>
      <c r="J343" t="s">
        <v>102</v>
      </c>
      <c r="K343">
        <v>1</v>
      </c>
      <c r="L343">
        <v>146023</v>
      </c>
      <c r="M343">
        <v>4.1000000000000002E-2</v>
      </c>
      <c r="N343">
        <v>146023</v>
      </c>
      <c r="O343">
        <v>5986.94</v>
      </c>
      <c r="P343">
        <v>140036.06</v>
      </c>
      <c r="Q343">
        <v>3</v>
      </c>
      <c r="R343">
        <v>147</v>
      </c>
      <c r="S343">
        <v>4.5999999999999996</v>
      </c>
      <c r="T343">
        <v>10</v>
      </c>
      <c r="U343">
        <v>3</v>
      </c>
    </row>
    <row r="344" spans="1:21" x14ac:dyDescent="0.3">
      <c r="A344" t="s">
        <v>449</v>
      </c>
      <c r="B344" s="2">
        <v>45798</v>
      </c>
      <c r="C344" t="s">
        <v>44</v>
      </c>
      <c r="D344" t="s">
        <v>51</v>
      </c>
      <c r="E344" t="s">
        <v>62</v>
      </c>
      <c r="F344" t="s">
        <v>25</v>
      </c>
      <c r="G344" t="s">
        <v>56</v>
      </c>
      <c r="H344" t="s">
        <v>53</v>
      </c>
      <c r="I344" t="s">
        <v>28</v>
      </c>
      <c r="J344" t="s">
        <v>157</v>
      </c>
      <c r="K344">
        <v>2</v>
      </c>
      <c r="L344">
        <v>116816</v>
      </c>
      <c r="M344">
        <v>9.6000000000000002E-2</v>
      </c>
      <c r="N344">
        <v>233632</v>
      </c>
      <c r="O344">
        <v>22428.67</v>
      </c>
      <c r="P344">
        <v>211203.33</v>
      </c>
      <c r="Q344">
        <v>4</v>
      </c>
      <c r="R344">
        <v>172</v>
      </c>
      <c r="S344">
        <v>3.3</v>
      </c>
      <c r="T344">
        <v>8</v>
      </c>
      <c r="U344">
        <v>5</v>
      </c>
    </row>
    <row r="345" spans="1:21" x14ac:dyDescent="0.3">
      <c r="A345" t="s">
        <v>450</v>
      </c>
      <c r="B345" s="2">
        <v>45880</v>
      </c>
      <c r="C345" t="s">
        <v>39</v>
      </c>
      <c r="D345" t="s">
        <v>40</v>
      </c>
      <c r="E345" t="s">
        <v>62</v>
      </c>
      <c r="F345" t="s">
        <v>80</v>
      </c>
      <c r="G345" t="s">
        <v>56</v>
      </c>
      <c r="H345" t="s">
        <v>27</v>
      </c>
      <c r="I345" t="s">
        <v>63</v>
      </c>
      <c r="J345" t="s">
        <v>212</v>
      </c>
      <c r="K345">
        <v>2</v>
      </c>
      <c r="L345">
        <v>134398</v>
      </c>
      <c r="M345">
        <v>5.8999999999999997E-2</v>
      </c>
      <c r="N345">
        <v>268796</v>
      </c>
      <c r="O345">
        <v>15858.96</v>
      </c>
      <c r="P345">
        <v>252937.04</v>
      </c>
      <c r="Q345">
        <v>3</v>
      </c>
      <c r="R345">
        <v>178</v>
      </c>
      <c r="S345">
        <v>4.5</v>
      </c>
      <c r="T345">
        <v>8</v>
      </c>
      <c r="U345">
        <v>3</v>
      </c>
    </row>
    <row r="346" spans="1:21" x14ac:dyDescent="0.3">
      <c r="A346" t="s">
        <v>451</v>
      </c>
      <c r="B346" s="2">
        <v>45997</v>
      </c>
      <c r="C346" t="s">
        <v>39</v>
      </c>
      <c r="D346" t="s">
        <v>154</v>
      </c>
      <c r="E346" t="s">
        <v>62</v>
      </c>
      <c r="F346" t="s">
        <v>70</v>
      </c>
      <c r="G346" t="s">
        <v>34</v>
      </c>
      <c r="H346" t="s">
        <v>35</v>
      </c>
      <c r="I346" t="s">
        <v>63</v>
      </c>
      <c r="J346" t="s">
        <v>78</v>
      </c>
      <c r="K346">
        <v>2</v>
      </c>
      <c r="L346">
        <v>175052</v>
      </c>
      <c r="M346">
        <v>6.0999999999999999E-2</v>
      </c>
      <c r="N346">
        <v>350104</v>
      </c>
      <c r="O346">
        <v>21356.34</v>
      </c>
      <c r="P346">
        <v>328747.65999999997</v>
      </c>
      <c r="Q346">
        <v>3</v>
      </c>
      <c r="R346">
        <v>171</v>
      </c>
      <c r="S346">
        <v>3.8</v>
      </c>
      <c r="T346">
        <v>9</v>
      </c>
      <c r="U346">
        <v>2</v>
      </c>
    </row>
    <row r="347" spans="1:21" x14ac:dyDescent="0.3">
      <c r="A347" t="s">
        <v>452</v>
      </c>
      <c r="B347" s="2">
        <v>46015</v>
      </c>
      <c r="C347" t="s">
        <v>87</v>
      </c>
      <c r="D347" t="s">
        <v>130</v>
      </c>
      <c r="E347" t="s">
        <v>24</v>
      </c>
      <c r="F347" t="s">
        <v>74</v>
      </c>
      <c r="G347" t="s">
        <v>56</v>
      </c>
      <c r="H347" t="s">
        <v>53</v>
      </c>
      <c r="I347" t="s">
        <v>94</v>
      </c>
      <c r="J347" t="s">
        <v>42</v>
      </c>
      <c r="K347">
        <v>2</v>
      </c>
      <c r="L347">
        <v>103793</v>
      </c>
      <c r="M347">
        <v>9.9000000000000005E-2</v>
      </c>
      <c r="N347">
        <v>207586</v>
      </c>
      <c r="O347">
        <v>20551.009999999998</v>
      </c>
      <c r="P347">
        <v>187034.99</v>
      </c>
      <c r="Q347">
        <v>5</v>
      </c>
      <c r="R347">
        <v>209</v>
      </c>
      <c r="S347">
        <v>3.8</v>
      </c>
      <c r="T347">
        <v>3</v>
      </c>
      <c r="U347">
        <v>5</v>
      </c>
    </row>
    <row r="348" spans="1:21" x14ac:dyDescent="0.3">
      <c r="A348" t="s">
        <v>453</v>
      </c>
      <c r="B348" s="2">
        <v>45691</v>
      </c>
      <c r="C348" t="s">
        <v>39</v>
      </c>
      <c r="D348" t="s">
        <v>154</v>
      </c>
      <c r="E348" t="s">
        <v>24</v>
      </c>
      <c r="F348" t="s">
        <v>33</v>
      </c>
      <c r="G348" t="s">
        <v>26</v>
      </c>
      <c r="H348" t="s">
        <v>27</v>
      </c>
      <c r="I348" t="s">
        <v>36</v>
      </c>
      <c r="J348" t="s">
        <v>72</v>
      </c>
      <c r="K348">
        <v>1</v>
      </c>
      <c r="L348">
        <v>192177</v>
      </c>
      <c r="M348">
        <v>0.03</v>
      </c>
      <c r="N348">
        <v>192177</v>
      </c>
      <c r="O348">
        <v>5765.31</v>
      </c>
      <c r="P348">
        <v>186411.69</v>
      </c>
      <c r="Q348">
        <v>5</v>
      </c>
      <c r="R348">
        <v>195</v>
      </c>
      <c r="S348">
        <v>4</v>
      </c>
      <c r="T348">
        <v>9</v>
      </c>
      <c r="U348">
        <v>5</v>
      </c>
    </row>
    <row r="349" spans="1:21" x14ac:dyDescent="0.3">
      <c r="A349" t="s">
        <v>454</v>
      </c>
      <c r="B349" s="2">
        <v>45846</v>
      </c>
      <c r="C349" t="s">
        <v>39</v>
      </c>
      <c r="D349" t="s">
        <v>154</v>
      </c>
      <c r="E349" t="s">
        <v>62</v>
      </c>
      <c r="F349" t="s">
        <v>66</v>
      </c>
      <c r="G349" t="s">
        <v>67</v>
      </c>
      <c r="H349" t="s">
        <v>53</v>
      </c>
      <c r="I349" t="s">
        <v>57</v>
      </c>
      <c r="J349" t="s">
        <v>104</v>
      </c>
      <c r="K349">
        <v>1</v>
      </c>
      <c r="L349">
        <v>193200</v>
      </c>
      <c r="M349">
        <v>5.2999999999999999E-2</v>
      </c>
      <c r="N349">
        <v>193200</v>
      </c>
      <c r="O349">
        <v>10239.6</v>
      </c>
      <c r="P349">
        <v>182960.4</v>
      </c>
      <c r="Q349">
        <v>4</v>
      </c>
      <c r="R349">
        <v>190</v>
      </c>
      <c r="S349">
        <v>4.4000000000000004</v>
      </c>
      <c r="T349">
        <v>5</v>
      </c>
      <c r="U349">
        <v>3</v>
      </c>
    </row>
    <row r="350" spans="1:21" x14ac:dyDescent="0.3">
      <c r="A350" t="s">
        <v>455</v>
      </c>
      <c r="B350" s="2">
        <v>45969</v>
      </c>
      <c r="C350" t="s">
        <v>22</v>
      </c>
      <c r="D350" t="s">
        <v>23</v>
      </c>
      <c r="E350" t="s">
        <v>62</v>
      </c>
      <c r="F350" t="s">
        <v>101</v>
      </c>
      <c r="G350" t="s">
        <v>67</v>
      </c>
      <c r="H350" t="s">
        <v>53</v>
      </c>
      <c r="I350" t="s">
        <v>48</v>
      </c>
      <c r="J350" t="s">
        <v>203</v>
      </c>
      <c r="K350">
        <v>2</v>
      </c>
      <c r="L350">
        <v>123299</v>
      </c>
      <c r="M350">
        <v>8.4000000000000005E-2</v>
      </c>
      <c r="N350">
        <v>246598</v>
      </c>
      <c r="O350">
        <v>20714.23</v>
      </c>
      <c r="P350">
        <v>225883.77</v>
      </c>
      <c r="Q350">
        <v>3</v>
      </c>
      <c r="R350">
        <v>163</v>
      </c>
      <c r="S350">
        <v>4.0999999999999996</v>
      </c>
      <c r="T350">
        <v>8</v>
      </c>
      <c r="U350">
        <v>2</v>
      </c>
    </row>
    <row r="351" spans="1:21" x14ac:dyDescent="0.3">
      <c r="A351" t="s">
        <v>456</v>
      </c>
      <c r="B351" s="2">
        <v>45844</v>
      </c>
      <c r="C351" t="s">
        <v>60</v>
      </c>
      <c r="D351" t="s">
        <v>69</v>
      </c>
      <c r="E351" t="s">
        <v>62</v>
      </c>
      <c r="F351" t="s">
        <v>74</v>
      </c>
      <c r="G351" t="s">
        <v>34</v>
      </c>
      <c r="H351" t="s">
        <v>35</v>
      </c>
      <c r="I351" t="s">
        <v>48</v>
      </c>
      <c r="J351" t="s">
        <v>212</v>
      </c>
      <c r="K351">
        <v>2</v>
      </c>
      <c r="L351">
        <v>105475</v>
      </c>
      <c r="M351">
        <v>0.10299999999999999</v>
      </c>
      <c r="N351">
        <v>210950</v>
      </c>
      <c r="O351">
        <v>21727.85</v>
      </c>
      <c r="P351">
        <v>189222.15</v>
      </c>
      <c r="Q351">
        <v>4</v>
      </c>
      <c r="R351">
        <v>174</v>
      </c>
      <c r="S351">
        <v>4.2</v>
      </c>
      <c r="T351">
        <v>5</v>
      </c>
      <c r="U351">
        <v>3</v>
      </c>
    </row>
    <row r="352" spans="1:21" x14ac:dyDescent="0.3">
      <c r="A352" t="s">
        <v>457</v>
      </c>
      <c r="B352" s="2">
        <v>45992</v>
      </c>
      <c r="C352" t="s">
        <v>87</v>
      </c>
      <c r="D352" t="s">
        <v>88</v>
      </c>
      <c r="E352" t="s">
        <v>24</v>
      </c>
      <c r="F352" t="s">
        <v>52</v>
      </c>
      <c r="G352" t="s">
        <v>34</v>
      </c>
      <c r="H352" t="s">
        <v>53</v>
      </c>
      <c r="I352" t="s">
        <v>28</v>
      </c>
      <c r="J352" t="s">
        <v>81</v>
      </c>
      <c r="K352">
        <v>1</v>
      </c>
      <c r="L352">
        <v>148345</v>
      </c>
      <c r="M352">
        <v>0.106</v>
      </c>
      <c r="N352">
        <v>148345</v>
      </c>
      <c r="O352">
        <v>15724.57</v>
      </c>
      <c r="P352">
        <v>132620.43</v>
      </c>
      <c r="Q352">
        <v>3</v>
      </c>
      <c r="R352">
        <v>175</v>
      </c>
      <c r="S352">
        <v>4.8</v>
      </c>
      <c r="T352">
        <v>14</v>
      </c>
      <c r="U352">
        <v>2</v>
      </c>
    </row>
    <row r="353" spans="1:21" x14ac:dyDescent="0.3">
      <c r="A353" t="s">
        <v>458</v>
      </c>
      <c r="B353" s="2">
        <v>45658</v>
      </c>
      <c r="C353" t="s">
        <v>76</v>
      </c>
      <c r="D353" t="s">
        <v>77</v>
      </c>
      <c r="E353" t="s">
        <v>46</v>
      </c>
      <c r="F353" t="s">
        <v>70</v>
      </c>
      <c r="G353" t="s">
        <v>26</v>
      </c>
      <c r="H353" t="s">
        <v>27</v>
      </c>
      <c r="I353" t="s">
        <v>63</v>
      </c>
      <c r="J353" t="s">
        <v>109</v>
      </c>
      <c r="K353">
        <v>1</v>
      </c>
      <c r="L353">
        <v>141489</v>
      </c>
      <c r="M353">
        <v>7.2999999999999995E-2</v>
      </c>
      <c r="N353">
        <v>141489</v>
      </c>
      <c r="O353">
        <v>10328.700000000001</v>
      </c>
      <c r="P353">
        <v>131160.29999999999</v>
      </c>
      <c r="Q353">
        <v>3</v>
      </c>
      <c r="R353">
        <v>162</v>
      </c>
      <c r="S353">
        <v>3.5</v>
      </c>
      <c r="T353">
        <v>8</v>
      </c>
      <c r="U353">
        <v>5</v>
      </c>
    </row>
    <row r="354" spans="1:21" x14ac:dyDescent="0.3">
      <c r="A354" t="s">
        <v>459</v>
      </c>
      <c r="B354" s="2">
        <v>46014</v>
      </c>
      <c r="C354" t="s">
        <v>99</v>
      </c>
      <c r="D354" t="s">
        <v>141</v>
      </c>
      <c r="E354" t="s">
        <v>46</v>
      </c>
      <c r="F354" t="s">
        <v>74</v>
      </c>
      <c r="G354" t="s">
        <v>34</v>
      </c>
      <c r="H354" t="s">
        <v>27</v>
      </c>
      <c r="I354" t="s">
        <v>48</v>
      </c>
      <c r="J354" t="s">
        <v>203</v>
      </c>
      <c r="K354">
        <v>2</v>
      </c>
      <c r="L354">
        <v>143269</v>
      </c>
      <c r="M354">
        <v>6.2E-2</v>
      </c>
      <c r="N354">
        <v>286538</v>
      </c>
      <c r="O354">
        <v>17765.36</v>
      </c>
      <c r="P354">
        <v>268772.64</v>
      </c>
      <c r="Q354">
        <v>3</v>
      </c>
      <c r="R354">
        <v>156</v>
      </c>
      <c r="S354">
        <v>4.4000000000000004</v>
      </c>
      <c r="T354">
        <v>3</v>
      </c>
      <c r="U354">
        <v>3</v>
      </c>
    </row>
    <row r="355" spans="1:21" x14ac:dyDescent="0.3">
      <c r="A355" t="s">
        <v>460</v>
      </c>
      <c r="B355" s="2">
        <v>46007</v>
      </c>
      <c r="C355" t="s">
        <v>60</v>
      </c>
      <c r="D355" t="s">
        <v>69</v>
      </c>
      <c r="E355" t="s">
        <v>46</v>
      </c>
      <c r="F355" t="s">
        <v>101</v>
      </c>
      <c r="G355" t="s">
        <v>67</v>
      </c>
      <c r="H355" t="s">
        <v>27</v>
      </c>
      <c r="I355" t="s">
        <v>57</v>
      </c>
      <c r="J355" t="s">
        <v>138</v>
      </c>
      <c r="K355">
        <v>2</v>
      </c>
      <c r="L355">
        <v>113337</v>
      </c>
      <c r="M355">
        <v>6.4000000000000001E-2</v>
      </c>
      <c r="N355">
        <v>226674</v>
      </c>
      <c r="O355">
        <v>14507.14</v>
      </c>
      <c r="P355">
        <v>212166.86</v>
      </c>
      <c r="Q355">
        <v>5</v>
      </c>
      <c r="R355">
        <v>194</v>
      </c>
      <c r="S355">
        <v>4</v>
      </c>
      <c r="T355">
        <v>9</v>
      </c>
      <c r="U355">
        <v>2</v>
      </c>
    </row>
    <row r="356" spans="1:21" x14ac:dyDescent="0.3">
      <c r="A356" t="s">
        <v>461</v>
      </c>
      <c r="B356" s="2">
        <v>45977</v>
      </c>
      <c r="C356" t="s">
        <v>44</v>
      </c>
      <c r="D356" t="s">
        <v>51</v>
      </c>
      <c r="E356" t="s">
        <v>46</v>
      </c>
      <c r="F356" t="s">
        <v>47</v>
      </c>
      <c r="G356" t="s">
        <v>56</v>
      </c>
      <c r="H356" t="s">
        <v>35</v>
      </c>
      <c r="I356" t="s">
        <v>63</v>
      </c>
      <c r="J356" t="s">
        <v>64</v>
      </c>
      <c r="K356">
        <v>1</v>
      </c>
      <c r="L356">
        <v>126613</v>
      </c>
      <c r="M356">
        <v>9.5000000000000001E-2</v>
      </c>
      <c r="N356">
        <v>126613</v>
      </c>
      <c r="O356">
        <v>12028.24</v>
      </c>
      <c r="P356">
        <v>114584.76</v>
      </c>
      <c r="Q356">
        <v>4</v>
      </c>
      <c r="R356">
        <v>186</v>
      </c>
      <c r="S356">
        <v>4.4000000000000004</v>
      </c>
      <c r="T356">
        <v>2</v>
      </c>
      <c r="U356">
        <v>2</v>
      </c>
    </row>
    <row r="357" spans="1:21" x14ac:dyDescent="0.3">
      <c r="A357" t="s">
        <v>462</v>
      </c>
      <c r="B357" s="2">
        <v>45762</v>
      </c>
      <c r="C357" t="s">
        <v>44</v>
      </c>
      <c r="D357" t="s">
        <v>51</v>
      </c>
      <c r="E357" t="s">
        <v>24</v>
      </c>
      <c r="F357" t="s">
        <v>80</v>
      </c>
      <c r="G357" t="s">
        <v>67</v>
      </c>
      <c r="H357" t="s">
        <v>53</v>
      </c>
      <c r="I357" t="s">
        <v>94</v>
      </c>
      <c r="J357" t="s">
        <v>138</v>
      </c>
      <c r="K357">
        <v>2</v>
      </c>
      <c r="L357">
        <v>128219</v>
      </c>
      <c r="M357">
        <v>3.1E-2</v>
      </c>
      <c r="N357">
        <v>256438</v>
      </c>
      <c r="O357">
        <v>7949.58</v>
      </c>
      <c r="P357">
        <v>248488.42</v>
      </c>
      <c r="Q357">
        <v>3</v>
      </c>
      <c r="R357">
        <v>153</v>
      </c>
      <c r="S357">
        <v>4.5</v>
      </c>
      <c r="T357">
        <v>2</v>
      </c>
      <c r="U357">
        <v>2</v>
      </c>
    </row>
    <row r="358" spans="1:21" x14ac:dyDescent="0.3">
      <c r="A358" t="s">
        <v>463</v>
      </c>
      <c r="B358" s="2">
        <v>45736</v>
      </c>
      <c r="C358" t="s">
        <v>22</v>
      </c>
      <c r="D358" t="s">
        <v>107</v>
      </c>
      <c r="E358" t="s">
        <v>24</v>
      </c>
      <c r="F358" t="s">
        <v>74</v>
      </c>
      <c r="G358" t="s">
        <v>34</v>
      </c>
      <c r="H358" t="s">
        <v>27</v>
      </c>
      <c r="I358" t="s">
        <v>57</v>
      </c>
      <c r="J358" t="s">
        <v>81</v>
      </c>
      <c r="K358">
        <v>3</v>
      </c>
      <c r="L358">
        <v>144763</v>
      </c>
      <c r="M358">
        <v>2.3E-2</v>
      </c>
      <c r="N358">
        <v>434289</v>
      </c>
      <c r="O358">
        <v>9988.65</v>
      </c>
      <c r="P358">
        <v>424300.35</v>
      </c>
      <c r="Q358">
        <v>4</v>
      </c>
      <c r="R358">
        <v>189</v>
      </c>
      <c r="S358">
        <v>3.3</v>
      </c>
      <c r="T358">
        <v>7</v>
      </c>
      <c r="U358">
        <v>3</v>
      </c>
    </row>
    <row r="359" spans="1:21" x14ac:dyDescent="0.3">
      <c r="A359" t="s">
        <v>464</v>
      </c>
      <c r="B359" s="2">
        <v>45942</v>
      </c>
      <c r="C359" t="s">
        <v>99</v>
      </c>
      <c r="D359" t="s">
        <v>121</v>
      </c>
      <c r="E359" t="s">
        <v>24</v>
      </c>
      <c r="F359" t="s">
        <v>52</v>
      </c>
      <c r="G359" t="s">
        <v>67</v>
      </c>
      <c r="H359" t="s">
        <v>27</v>
      </c>
      <c r="I359" t="s">
        <v>57</v>
      </c>
      <c r="J359" t="s">
        <v>92</v>
      </c>
      <c r="K359">
        <v>2</v>
      </c>
      <c r="L359">
        <v>103780</v>
      </c>
      <c r="M359">
        <v>2.1000000000000001E-2</v>
      </c>
      <c r="N359">
        <v>207560</v>
      </c>
      <c r="O359">
        <v>4358.76</v>
      </c>
      <c r="P359">
        <v>203201.24</v>
      </c>
      <c r="Q359">
        <v>3</v>
      </c>
      <c r="R359">
        <v>171</v>
      </c>
      <c r="S359">
        <v>3.9</v>
      </c>
      <c r="T359">
        <v>5</v>
      </c>
      <c r="U359">
        <v>5</v>
      </c>
    </row>
    <row r="360" spans="1:21" x14ac:dyDescent="0.3">
      <c r="A360" t="s">
        <v>465</v>
      </c>
      <c r="B360" s="2">
        <v>45740</v>
      </c>
      <c r="C360" t="s">
        <v>31</v>
      </c>
      <c r="D360" t="s">
        <v>32</v>
      </c>
      <c r="E360" t="s">
        <v>46</v>
      </c>
      <c r="F360" t="s">
        <v>101</v>
      </c>
      <c r="G360" t="s">
        <v>26</v>
      </c>
      <c r="H360" t="s">
        <v>53</v>
      </c>
      <c r="I360" t="s">
        <v>28</v>
      </c>
      <c r="J360" t="s">
        <v>89</v>
      </c>
      <c r="K360">
        <v>1</v>
      </c>
      <c r="L360">
        <v>104345</v>
      </c>
      <c r="M360">
        <v>4.2000000000000003E-2</v>
      </c>
      <c r="N360">
        <v>104345</v>
      </c>
      <c r="O360">
        <v>4382.49</v>
      </c>
      <c r="P360">
        <v>99962.51</v>
      </c>
      <c r="Q360">
        <v>3</v>
      </c>
      <c r="R360">
        <v>168</v>
      </c>
      <c r="S360">
        <v>4.0999999999999996</v>
      </c>
      <c r="T360">
        <v>14</v>
      </c>
      <c r="U360">
        <v>5</v>
      </c>
    </row>
    <row r="361" spans="1:21" x14ac:dyDescent="0.3">
      <c r="A361" t="s">
        <v>466</v>
      </c>
      <c r="B361" s="2">
        <v>45779</v>
      </c>
      <c r="C361" t="s">
        <v>99</v>
      </c>
      <c r="D361" t="s">
        <v>121</v>
      </c>
      <c r="E361" t="s">
        <v>24</v>
      </c>
      <c r="F361" t="s">
        <v>33</v>
      </c>
      <c r="G361" t="s">
        <v>26</v>
      </c>
      <c r="H361" t="s">
        <v>53</v>
      </c>
      <c r="I361" t="s">
        <v>57</v>
      </c>
      <c r="J361" t="s">
        <v>81</v>
      </c>
      <c r="K361">
        <v>1</v>
      </c>
      <c r="L361">
        <v>103409</v>
      </c>
      <c r="M361">
        <v>3.5999999999999997E-2</v>
      </c>
      <c r="N361">
        <v>103409</v>
      </c>
      <c r="O361">
        <v>3722.72</v>
      </c>
      <c r="P361">
        <v>99686.28</v>
      </c>
      <c r="Q361">
        <v>4</v>
      </c>
      <c r="R361">
        <v>185</v>
      </c>
      <c r="S361">
        <v>3.7</v>
      </c>
      <c r="T361">
        <v>4</v>
      </c>
      <c r="U361">
        <v>2</v>
      </c>
    </row>
    <row r="362" spans="1:21" x14ac:dyDescent="0.3">
      <c r="A362" t="s">
        <v>467</v>
      </c>
      <c r="B362" s="2">
        <v>45855</v>
      </c>
      <c r="C362" t="s">
        <v>60</v>
      </c>
      <c r="D362" t="s">
        <v>69</v>
      </c>
      <c r="E362" t="s">
        <v>46</v>
      </c>
      <c r="F362" t="s">
        <v>41</v>
      </c>
      <c r="G362" t="s">
        <v>26</v>
      </c>
      <c r="H362" t="s">
        <v>35</v>
      </c>
      <c r="I362" t="s">
        <v>57</v>
      </c>
      <c r="J362" t="s">
        <v>37</v>
      </c>
      <c r="K362">
        <v>1</v>
      </c>
      <c r="L362">
        <v>112745</v>
      </c>
      <c r="M362">
        <v>4.4999999999999998E-2</v>
      </c>
      <c r="N362">
        <v>112745</v>
      </c>
      <c r="O362">
        <v>5073.5200000000004</v>
      </c>
      <c r="P362">
        <v>107671.48</v>
      </c>
      <c r="Q362">
        <v>5</v>
      </c>
      <c r="R362">
        <v>203</v>
      </c>
      <c r="S362">
        <v>4</v>
      </c>
      <c r="T362">
        <v>9</v>
      </c>
      <c r="U362">
        <v>3</v>
      </c>
    </row>
    <row r="363" spans="1:21" x14ac:dyDescent="0.3">
      <c r="A363" t="s">
        <v>468</v>
      </c>
      <c r="B363" s="2">
        <v>45838</v>
      </c>
      <c r="C363" t="s">
        <v>39</v>
      </c>
      <c r="D363" t="s">
        <v>40</v>
      </c>
      <c r="E363" t="s">
        <v>24</v>
      </c>
      <c r="F363" t="s">
        <v>47</v>
      </c>
      <c r="G363" t="s">
        <v>67</v>
      </c>
      <c r="H363" t="s">
        <v>53</v>
      </c>
      <c r="I363" t="s">
        <v>94</v>
      </c>
      <c r="J363" t="s">
        <v>175</v>
      </c>
      <c r="K363">
        <v>1</v>
      </c>
      <c r="L363">
        <v>122556</v>
      </c>
      <c r="M363">
        <v>5.8000000000000003E-2</v>
      </c>
      <c r="N363">
        <v>122556</v>
      </c>
      <c r="O363">
        <v>7108.25</v>
      </c>
      <c r="P363">
        <v>115447.75</v>
      </c>
      <c r="Q363">
        <v>3</v>
      </c>
      <c r="R363">
        <v>149</v>
      </c>
      <c r="S363">
        <v>4.2</v>
      </c>
      <c r="T363">
        <v>4</v>
      </c>
      <c r="U363">
        <v>3</v>
      </c>
    </row>
    <row r="364" spans="1:21" x14ac:dyDescent="0.3">
      <c r="A364" t="s">
        <v>469</v>
      </c>
      <c r="B364" s="2">
        <v>45945</v>
      </c>
      <c r="C364" t="s">
        <v>87</v>
      </c>
      <c r="D364" t="s">
        <v>88</v>
      </c>
      <c r="E364" t="s">
        <v>62</v>
      </c>
      <c r="F364" t="s">
        <v>101</v>
      </c>
      <c r="G364" t="s">
        <v>67</v>
      </c>
      <c r="H364" t="s">
        <v>35</v>
      </c>
      <c r="I364" t="s">
        <v>36</v>
      </c>
      <c r="J364" t="s">
        <v>58</v>
      </c>
      <c r="K364">
        <v>1</v>
      </c>
      <c r="L364">
        <v>154930</v>
      </c>
      <c r="M364">
        <v>3.2000000000000001E-2</v>
      </c>
      <c r="N364">
        <v>154930</v>
      </c>
      <c r="O364">
        <v>4957.76</v>
      </c>
      <c r="P364">
        <v>149972.24</v>
      </c>
      <c r="Q364">
        <v>3</v>
      </c>
      <c r="R364">
        <v>156</v>
      </c>
      <c r="S364">
        <v>4.4000000000000004</v>
      </c>
      <c r="T364">
        <v>2</v>
      </c>
      <c r="U364">
        <v>5</v>
      </c>
    </row>
    <row r="365" spans="1:21" x14ac:dyDescent="0.3">
      <c r="A365" t="s">
        <v>470</v>
      </c>
      <c r="B365" s="2">
        <v>45693</v>
      </c>
      <c r="C365" t="s">
        <v>99</v>
      </c>
      <c r="D365" t="s">
        <v>141</v>
      </c>
      <c r="E365" t="s">
        <v>62</v>
      </c>
      <c r="F365" t="s">
        <v>101</v>
      </c>
      <c r="G365" t="s">
        <v>56</v>
      </c>
      <c r="H365" t="s">
        <v>35</v>
      </c>
      <c r="I365" t="s">
        <v>63</v>
      </c>
      <c r="J365" t="s">
        <v>78</v>
      </c>
      <c r="K365">
        <v>1</v>
      </c>
      <c r="L365">
        <v>139287</v>
      </c>
      <c r="M365">
        <v>0.115</v>
      </c>
      <c r="N365">
        <v>139287</v>
      </c>
      <c r="O365">
        <v>16018.01</v>
      </c>
      <c r="P365">
        <v>123268.99</v>
      </c>
      <c r="Q365">
        <v>3</v>
      </c>
      <c r="R365">
        <v>159</v>
      </c>
      <c r="S365">
        <v>4.2</v>
      </c>
      <c r="T365">
        <v>8</v>
      </c>
      <c r="U365">
        <v>3</v>
      </c>
    </row>
    <row r="366" spans="1:21" x14ac:dyDescent="0.3">
      <c r="A366" t="s">
        <v>471</v>
      </c>
      <c r="B366" s="2">
        <v>45754</v>
      </c>
      <c r="C366" t="s">
        <v>60</v>
      </c>
      <c r="D366" t="s">
        <v>61</v>
      </c>
      <c r="E366" t="s">
        <v>24</v>
      </c>
      <c r="F366" t="s">
        <v>66</v>
      </c>
      <c r="G366" t="s">
        <v>26</v>
      </c>
      <c r="H366" t="s">
        <v>27</v>
      </c>
      <c r="I366" t="s">
        <v>28</v>
      </c>
      <c r="J366" t="s">
        <v>203</v>
      </c>
      <c r="K366">
        <v>5</v>
      </c>
      <c r="L366">
        <v>122874</v>
      </c>
      <c r="M366">
        <v>0.109</v>
      </c>
      <c r="N366">
        <v>614370</v>
      </c>
      <c r="O366">
        <v>66966.33</v>
      </c>
      <c r="P366">
        <v>547403.67000000004</v>
      </c>
      <c r="Q366">
        <v>4</v>
      </c>
      <c r="R366">
        <v>167</v>
      </c>
      <c r="S366">
        <v>3.6</v>
      </c>
      <c r="T366">
        <v>7</v>
      </c>
      <c r="U366">
        <v>5</v>
      </c>
    </row>
    <row r="367" spans="1:21" x14ac:dyDescent="0.3">
      <c r="A367" t="s">
        <v>472</v>
      </c>
      <c r="B367" s="2">
        <v>45866</v>
      </c>
      <c r="C367" t="s">
        <v>60</v>
      </c>
      <c r="D367" t="s">
        <v>61</v>
      </c>
      <c r="E367" t="s">
        <v>24</v>
      </c>
      <c r="F367" t="s">
        <v>47</v>
      </c>
      <c r="G367" t="s">
        <v>26</v>
      </c>
      <c r="H367" t="s">
        <v>27</v>
      </c>
      <c r="I367" t="s">
        <v>36</v>
      </c>
      <c r="J367" t="s">
        <v>212</v>
      </c>
      <c r="K367">
        <v>1</v>
      </c>
      <c r="L367">
        <v>123680</v>
      </c>
      <c r="M367">
        <v>8.5999999999999993E-2</v>
      </c>
      <c r="N367">
        <v>123680</v>
      </c>
      <c r="O367">
        <v>10636.48</v>
      </c>
      <c r="P367">
        <v>113043.52</v>
      </c>
      <c r="Q367">
        <v>4</v>
      </c>
      <c r="R367">
        <v>183</v>
      </c>
      <c r="S367">
        <v>4.4000000000000004</v>
      </c>
      <c r="T367">
        <v>12</v>
      </c>
      <c r="U367">
        <v>2</v>
      </c>
    </row>
    <row r="368" spans="1:21" x14ac:dyDescent="0.3">
      <c r="A368" t="s">
        <v>473</v>
      </c>
      <c r="B368" s="2">
        <v>45928</v>
      </c>
      <c r="C368" t="s">
        <v>22</v>
      </c>
      <c r="D368" t="s">
        <v>107</v>
      </c>
      <c r="E368" t="s">
        <v>24</v>
      </c>
      <c r="F368" t="s">
        <v>70</v>
      </c>
      <c r="G368" t="s">
        <v>67</v>
      </c>
      <c r="H368" t="s">
        <v>27</v>
      </c>
      <c r="I368" t="s">
        <v>57</v>
      </c>
      <c r="J368" t="s">
        <v>92</v>
      </c>
      <c r="K368">
        <v>1</v>
      </c>
      <c r="L368">
        <v>139682</v>
      </c>
      <c r="M368">
        <v>2.7E-2</v>
      </c>
      <c r="N368">
        <v>139682</v>
      </c>
      <c r="O368">
        <v>3771.41</v>
      </c>
      <c r="P368">
        <v>135910.59</v>
      </c>
      <c r="Q368">
        <v>4</v>
      </c>
      <c r="R368">
        <v>187</v>
      </c>
      <c r="S368">
        <v>4.4000000000000004</v>
      </c>
      <c r="T368">
        <v>12</v>
      </c>
      <c r="U368">
        <v>2</v>
      </c>
    </row>
    <row r="369" spans="1:21" x14ac:dyDescent="0.3">
      <c r="A369" t="s">
        <v>474</v>
      </c>
      <c r="B369" s="2">
        <v>45970</v>
      </c>
      <c r="C369" t="s">
        <v>31</v>
      </c>
      <c r="D369" t="s">
        <v>97</v>
      </c>
      <c r="E369" t="s">
        <v>24</v>
      </c>
      <c r="F369" t="s">
        <v>74</v>
      </c>
      <c r="G369" t="s">
        <v>26</v>
      </c>
      <c r="H369" t="s">
        <v>27</v>
      </c>
      <c r="I369" t="s">
        <v>36</v>
      </c>
      <c r="J369" t="s">
        <v>131</v>
      </c>
      <c r="K369">
        <v>1</v>
      </c>
      <c r="L369">
        <v>131006</v>
      </c>
      <c r="M369">
        <v>3.2000000000000001E-2</v>
      </c>
      <c r="N369">
        <v>131006</v>
      </c>
      <c r="O369">
        <v>4192.1899999999996</v>
      </c>
      <c r="P369">
        <v>126813.81</v>
      </c>
      <c r="Q369">
        <v>3</v>
      </c>
      <c r="R369">
        <v>167</v>
      </c>
      <c r="S369">
        <v>4.8</v>
      </c>
      <c r="T369">
        <v>8</v>
      </c>
      <c r="U369">
        <v>2</v>
      </c>
    </row>
    <row r="370" spans="1:21" x14ac:dyDescent="0.3">
      <c r="A370" t="s">
        <v>475</v>
      </c>
      <c r="B370" s="2">
        <v>45674</v>
      </c>
      <c r="C370" t="s">
        <v>60</v>
      </c>
      <c r="D370" t="s">
        <v>61</v>
      </c>
      <c r="E370" t="s">
        <v>46</v>
      </c>
      <c r="F370" t="s">
        <v>25</v>
      </c>
      <c r="G370" t="s">
        <v>56</v>
      </c>
      <c r="H370" t="s">
        <v>35</v>
      </c>
      <c r="I370" t="s">
        <v>48</v>
      </c>
      <c r="J370" t="s">
        <v>81</v>
      </c>
      <c r="K370">
        <v>1</v>
      </c>
      <c r="L370">
        <v>120333</v>
      </c>
      <c r="M370">
        <v>5.3999999999999999E-2</v>
      </c>
      <c r="N370">
        <v>120333</v>
      </c>
      <c r="O370">
        <v>6497.98</v>
      </c>
      <c r="P370">
        <v>113835.02</v>
      </c>
      <c r="Q370">
        <v>5</v>
      </c>
      <c r="R370">
        <v>207</v>
      </c>
      <c r="S370">
        <v>4.8</v>
      </c>
      <c r="T370">
        <v>12</v>
      </c>
      <c r="U370">
        <v>2</v>
      </c>
    </row>
    <row r="371" spans="1:21" x14ac:dyDescent="0.3">
      <c r="A371" t="s">
        <v>476</v>
      </c>
      <c r="B371" s="2">
        <v>45811</v>
      </c>
      <c r="C371" t="s">
        <v>99</v>
      </c>
      <c r="D371" t="s">
        <v>141</v>
      </c>
      <c r="E371" t="s">
        <v>46</v>
      </c>
      <c r="F371" t="s">
        <v>52</v>
      </c>
      <c r="G371" t="s">
        <v>56</v>
      </c>
      <c r="H371" t="s">
        <v>35</v>
      </c>
      <c r="I371" t="s">
        <v>63</v>
      </c>
      <c r="J371" t="s">
        <v>92</v>
      </c>
      <c r="K371">
        <v>1</v>
      </c>
      <c r="L371">
        <v>150446</v>
      </c>
      <c r="M371">
        <v>6.4000000000000001E-2</v>
      </c>
      <c r="N371">
        <v>150446</v>
      </c>
      <c r="O371">
        <v>9628.5400000000009</v>
      </c>
      <c r="P371">
        <v>140817.46</v>
      </c>
      <c r="Q371">
        <v>3</v>
      </c>
      <c r="R371">
        <v>172</v>
      </c>
      <c r="S371">
        <v>4</v>
      </c>
      <c r="T371">
        <v>2</v>
      </c>
      <c r="U371">
        <v>2</v>
      </c>
    </row>
    <row r="372" spans="1:21" x14ac:dyDescent="0.3">
      <c r="A372" t="s">
        <v>477</v>
      </c>
      <c r="B372" s="2">
        <v>46012</v>
      </c>
      <c r="C372" t="s">
        <v>22</v>
      </c>
      <c r="D372" t="s">
        <v>23</v>
      </c>
      <c r="E372" t="s">
        <v>46</v>
      </c>
      <c r="F372" t="s">
        <v>74</v>
      </c>
      <c r="G372" t="s">
        <v>67</v>
      </c>
      <c r="H372" t="s">
        <v>27</v>
      </c>
      <c r="I372" t="s">
        <v>28</v>
      </c>
      <c r="J372" t="s">
        <v>89</v>
      </c>
      <c r="K372">
        <v>5</v>
      </c>
      <c r="L372">
        <v>126093</v>
      </c>
      <c r="M372">
        <v>0.08</v>
      </c>
      <c r="N372">
        <v>630465</v>
      </c>
      <c r="O372">
        <v>50437.2</v>
      </c>
      <c r="P372">
        <v>580027.80000000005</v>
      </c>
      <c r="Q372">
        <v>3</v>
      </c>
      <c r="R372">
        <v>157</v>
      </c>
      <c r="S372">
        <v>4.0999999999999996</v>
      </c>
      <c r="T372">
        <v>7</v>
      </c>
      <c r="U372">
        <v>3</v>
      </c>
    </row>
    <row r="373" spans="1:21" x14ac:dyDescent="0.3">
      <c r="A373" t="s">
        <v>478</v>
      </c>
      <c r="B373" s="2">
        <v>45857</v>
      </c>
      <c r="C373" t="s">
        <v>31</v>
      </c>
      <c r="D373" t="s">
        <v>32</v>
      </c>
      <c r="E373" t="s">
        <v>62</v>
      </c>
      <c r="F373" t="s">
        <v>74</v>
      </c>
      <c r="G373" t="s">
        <v>26</v>
      </c>
      <c r="H373" t="s">
        <v>53</v>
      </c>
      <c r="I373" t="s">
        <v>94</v>
      </c>
      <c r="J373" t="s">
        <v>81</v>
      </c>
      <c r="K373">
        <v>2</v>
      </c>
      <c r="L373">
        <v>108897</v>
      </c>
      <c r="M373">
        <v>8.3000000000000004E-2</v>
      </c>
      <c r="N373">
        <v>217794</v>
      </c>
      <c r="O373">
        <v>18076.900000000001</v>
      </c>
      <c r="P373">
        <v>199717.1</v>
      </c>
      <c r="Q373">
        <v>3</v>
      </c>
      <c r="R373">
        <v>167</v>
      </c>
      <c r="S373">
        <v>4.8</v>
      </c>
      <c r="T373">
        <v>11</v>
      </c>
      <c r="U373">
        <v>3</v>
      </c>
    </row>
    <row r="374" spans="1:21" x14ac:dyDescent="0.3">
      <c r="A374" t="s">
        <v>479</v>
      </c>
      <c r="B374" s="2">
        <v>45725</v>
      </c>
      <c r="C374" t="s">
        <v>22</v>
      </c>
      <c r="D374" t="s">
        <v>107</v>
      </c>
      <c r="E374" t="s">
        <v>24</v>
      </c>
      <c r="F374" t="s">
        <v>47</v>
      </c>
      <c r="G374" t="s">
        <v>34</v>
      </c>
      <c r="H374" t="s">
        <v>27</v>
      </c>
      <c r="I374" t="s">
        <v>94</v>
      </c>
      <c r="J374" t="s">
        <v>54</v>
      </c>
      <c r="K374">
        <v>2</v>
      </c>
      <c r="L374">
        <v>150359</v>
      </c>
      <c r="M374">
        <v>6.3E-2</v>
      </c>
      <c r="N374">
        <v>300718</v>
      </c>
      <c r="O374">
        <v>18945.23</v>
      </c>
      <c r="P374">
        <v>281772.77</v>
      </c>
      <c r="Q374">
        <v>3</v>
      </c>
      <c r="R374">
        <v>164</v>
      </c>
      <c r="S374">
        <v>4.5</v>
      </c>
      <c r="T374">
        <v>14</v>
      </c>
      <c r="U374">
        <v>3</v>
      </c>
    </row>
    <row r="375" spans="1:21" x14ac:dyDescent="0.3">
      <c r="A375" t="s">
        <v>480</v>
      </c>
      <c r="B375" s="2">
        <v>45723</v>
      </c>
      <c r="C375" t="s">
        <v>31</v>
      </c>
      <c r="D375" t="s">
        <v>32</v>
      </c>
      <c r="E375" t="s">
        <v>24</v>
      </c>
      <c r="F375" t="s">
        <v>33</v>
      </c>
      <c r="G375" t="s">
        <v>56</v>
      </c>
      <c r="H375" t="s">
        <v>27</v>
      </c>
      <c r="I375" t="s">
        <v>36</v>
      </c>
      <c r="J375" t="s">
        <v>118</v>
      </c>
      <c r="K375">
        <v>1</v>
      </c>
      <c r="L375">
        <v>108912</v>
      </c>
      <c r="M375">
        <v>5.2999999999999999E-2</v>
      </c>
      <c r="N375">
        <v>108912</v>
      </c>
      <c r="O375">
        <v>5772.34</v>
      </c>
      <c r="P375">
        <v>103139.66</v>
      </c>
      <c r="Q375">
        <v>3</v>
      </c>
      <c r="R375">
        <v>169</v>
      </c>
      <c r="S375">
        <v>3.8</v>
      </c>
      <c r="T375">
        <v>5</v>
      </c>
      <c r="U375">
        <v>5</v>
      </c>
    </row>
    <row r="376" spans="1:21" x14ac:dyDescent="0.3">
      <c r="A376" t="s">
        <v>481</v>
      </c>
      <c r="B376" s="2">
        <v>45819</v>
      </c>
      <c r="C376" t="s">
        <v>31</v>
      </c>
      <c r="D376" t="s">
        <v>97</v>
      </c>
      <c r="E376" t="s">
        <v>62</v>
      </c>
      <c r="F376" t="s">
        <v>80</v>
      </c>
      <c r="G376" t="s">
        <v>34</v>
      </c>
      <c r="H376" t="s">
        <v>35</v>
      </c>
      <c r="I376" t="s">
        <v>94</v>
      </c>
      <c r="J376" t="s">
        <v>138</v>
      </c>
      <c r="K376">
        <v>5</v>
      </c>
      <c r="L376">
        <v>131585</v>
      </c>
      <c r="M376">
        <v>7.0000000000000007E-2</v>
      </c>
      <c r="N376">
        <v>657925</v>
      </c>
      <c r="O376">
        <v>46054.75</v>
      </c>
      <c r="P376">
        <v>611870.25</v>
      </c>
      <c r="Q376">
        <v>3</v>
      </c>
      <c r="R376">
        <v>145</v>
      </c>
      <c r="S376">
        <v>4.5999999999999996</v>
      </c>
      <c r="T376">
        <v>9</v>
      </c>
      <c r="U376">
        <v>5</v>
      </c>
    </row>
    <row r="377" spans="1:21" x14ac:dyDescent="0.3">
      <c r="A377" t="s">
        <v>482</v>
      </c>
      <c r="B377" s="2">
        <v>45792</v>
      </c>
      <c r="C377" t="s">
        <v>60</v>
      </c>
      <c r="D377" t="s">
        <v>61</v>
      </c>
      <c r="E377" t="s">
        <v>24</v>
      </c>
      <c r="F377" t="s">
        <v>74</v>
      </c>
      <c r="G377" t="s">
        <v>26</v>
      </c>
      <c r="H377" t="s">
        <v>53</v>
      </c>
      <c r="I377" t="s">
        <v>94</v>
      </c>
      <c r="J377" t="s">
        <v>37</v>
      </c>
      <c r="K377">
        <v>3</v>
      </c>
      <c r="L377">
        <v>111027</v>
      </c>
      <c r="M377">
        <v>6.3E-2</v>
      </c>
      <c r="N377">
        <v>333081</v>
      </c>
      <c r="O377">
        <v>20984.1</v>
      </c>
      <c r="P377">
        <v>312096.90000000002</v>
      </c>
      <c r="Q377">
        <v>3</v>
      </c>
      <c r="R377">
        <v>167</v>
      </c>
      <c r="S377">
        <v>4.9000000000000004</v>
      </c>
      <c r="T377">
        <v>4</v>
      </c>
      <c r="U377">
        <v>2</v>
      </c>
    </row>
    <row r="378" spans="1:21" x14ac:dyDescent="0.3">
      <c r="A378" t="s">
        <v>483</v>
      </c>
      <c r="B378" s="2">
        <v>45985</v>
      </c>
      <c r="C378" t="s">
        <v>39</v>
      </c>
      <c r="D378" t="s">
        <v>154</v>
      </c>
      <c r="E378" t="s">
        <v>24</v>
      </c>
      <c r="F378" t="s">
        <v>70</v>
      </c>
      <c r="G378" t="s">
        <v>26</v>
      </c>
      <c r="H378" t="s">
        <v>27</v>
      </c>
      <c r="I378" t="s">
        <v>57</v>
      </c>
      <c r="J378" t="s">
        <v>92</v>
      </c>
      <c r="K378">
        <v>4</v>
      </c>
      <c r="L378">
        <v>187816</v>
      </c>
      <c r="M378">
        <v>5.0999999999999997E-2</v>
      </c>
      <c r="N378">
        <v>751264</v>
      </c>
      <c r="O378">
        <v>38314.46</v>
      </c>
      <c r="P378">
        <v>712949.54</v>
      </c>
      <c r="Q378">
        <v>3</v>
      </c>
      <c r="R378">
        <v>152</v>
      </c>
      <c r="S378">
        <v>4.4000000000000004</v>
      </c>
      <c r="T378">
        <v>8</v>
      </c>
      <c r="U378">
        <v>3</v>
      </c>
    </row>
    <row r="379" spans="1:21" x14ac:dyDescent="0.3">
      <c r="A379" t="s">
        <v>484</v>
      </c>
      <c r="B379" s="2">
        <v>45880</v>
      </c>
      <c r="C379" t="s">
        <v>39</v>
      </c>
      <c r="D379" t="s">
        <v>154</v>
      </c>
      <c r="E379" t="s">
        <v>46</v>
      </c>
      <c r="F379" t="s">
        <v>33</v>
      </c>
      <c r="G379" t="s">
        <v>26</v>
      </c>
      <c r="H379" t="s">
        <v>53</v>
      </c>
      <c r="I379" t="s">
        <v>48</v>
      </c>
      <c r="J379" t="s">
        <v>29</v>
      </c>
      <c r="K379">
        <v>2</v>
      </c>
      <c r="L379">
        <v>183423</v>
      </c>
      <c r="M379">
        <v>0.08</v>
      </c>
      <c r="N379">
        <v>366846</v>
      </c>
      <c r="O379">
        <v>29347.68</v>
      </c>
      <c r="P379">
        <v>337498.32</v>
      </c>
      <c r="Q379">
        <v>3</v>
      </c>
      <c r="R379">
        <v>181</v>
      </c>
      <c r="S379">
        <v>3.4</v>
      </c>
      <c r="T379">
        <v>5</v>
      </c>
      <c r="U379">
        <v>3</v>
      </c>
    </row>
    <row r="380" spans="1:21" x14ac:dyDescent="0.3">
      <c r="A380" t="s">
        <v>485</v>
      </c>
      <c r="B380" s="2">
        <v>45782</v>
      </c>
      <c r="C380" t="s">
        <v>87</v>
      </c>
      <c r="D380" t="s">
        <v>88</v>
      </c>
      <c r="E380" t="s">
        <v>46</v>
      </c>
      <c r="F380" t="s">
        <v>41</v>
      </c>
      <c r="G380" t="s">
        <v>34</v>
      </c>
      <c r="H380" t="s">
        <v>53</v>
      </c>
      <c r="I380" t="s">
        <v>48</v>
      </c>
      <c r="J380" t="s">
        <v>175</v>
      </c>
      <c r="K380">
        <v>2</v>
      </c>
      <c r="L380">
        <v>154090</v>
      </c>
      <c r="M380">
        <v>0.08</v>
      </c>
      <c r="N380">
        <v>308180</v>
      </c>
      <c r="O380">
        <v>24654.400000000001</v>
      </c>
      <c r="P380">
        <v>283525.59999999998</v>
      </c>
      <c r="Q380">
        <v>3</v>
      </c>
      <c r="R380">
        <v>139</v>
      </c>
      <c r="S380">
        <v>4.3</v>
      </c>
      <c r="T380">
        <v>6</v>
      </c>
      <c r="U380">
        <v>3</v>
      </c>
    </row>
    <row r="381" spans="1:21" x14ac:dyDescent="0.3">
      <c r="A381" t="s">
        <v>486</v>
      </c>
      <c r="B381" s="2">
        <v>45897</v>
      </c>
      <c r="C381" t="s">
        <v>60</v>
      </c>
      <c r="D381" t="s">
        <v>61</v>
      </c>
      <c r="E381" t="s">
        <v>24</v>
      </c>
      <c r="F381" t="s">
        <v>80</v>
      </c>
      <c r="G381" t="s">
        <v>34</v>
      </c>
      <c r="H381" t="s">
        <v>27</v>
      </c>
      <c r="I381" t="s">
        <v>28</v>
      </c>
      <c r="J381" t="s">
        <v>157</v>
      </c>
      <c r="K381">
        <v>1</v>
      </c>
      <c r="L381">
        <v>112555</v>
      </c>
      <c r="M381">
        <v>7.5999999999999998E-2</v>
      </c>
      <c r="N381">
        <v>112555</v>
      </c>
      <c r="O381">
        <v>8554.18</v>
      </c>
      <c r="P381">
        <v>104000.82</v>
      </c>
      <c r="Q381">
        <v>3</v>
      </c>
      <c r="R381">
        <v>139</v>
      </c>
      <c r="S381">
        <v>4.0999999999999996</v>
      </c>
      <c r="T381">
        <v>7</v>
      </c>
      <c r="U381">
        <v>3</v>
      </c>
    </row>
    <row r="382" spans="1:21" x14ac:dyDescent="0.3">
      <c r="A382" t="s">
        <v>487</v>
      </c>
      <c r="B382" s="2">
        <v>45708</v>
      </c>
      <c r="C382" t="s">
        <v>87</v>
      </c>
      <c r="D382" t="s">
        <v>130</v>
      </c>
      <c r="E382" t="s">
        <v>62</v>
      </c>
      <c r="F382" t="s">
        <v>47</v>
      </c>
      <c r="G382" t="s">
        <v>34</v>
      </c>
      <c r="H382" t="s">
        <v>53</v>
      </c>
      <c r="I382" t="s">
        <v>36</v>
      </c>
      <c r="J382" t="s">
        <v>175</v>
      </c>
      <c r="K382">
        <v>2</v>
      </c>
      <c r="L382">
        <v>110869</v>
      </c>
      <c r="M382">
        <v>2.9000000000000001E-2</v>
      </c>
      <c r="N382">
        <v>221738</v>
      </c>
      <c r="O382">
        <v>6430.4</v>
      </c>
      <c r="P382">
        <v>215307.6</v>
      </c>
      <c r="Q382">
        <v>5</v>
      </c>
      <c r="R382">
        <v>228</v>
      </c>
      <c r="S382">
        <v>4.3</v>
      </c>
      <c r="T382">
        <v>8</v>
      </c>
      <c r="U382">
        <v>2</v>
      </c>
    </row>
    <row r="383" spans="1:21" x14ac:dyDescent="0.3">
      <c r="A383" t="s">
        <v>488</v>
      </c>
      <c r="B383" s="2">
        <v>45940</v>
      </c>
      <c r="C383" t="s">
        <v>31</v>
      </c>
      <c r="D383" t="s">
        <v>32</v>
      </c>
      <c r="E383" t="s">
        <v>62</v>
      </c>
      <c r="F383" t="s">
        <v>66</v>
      </c>
      <c r="G383" t="s">
        <v>34</v>
      </c>
      <c r="H383" t="s">
        <v>53</v>
      </c>
      <c r="I383" t="s">
        <v>94</v>
      </c>
      <c r="J383" t="s">
        <v>29</v>
      </c>
      <c r="K383">
        <v>1</v>
      </c>
      <c r="L383">
        <v>116150</v>
      </c>
      <c r="M383">
        <v>5.8000000000000003E-2</v>
      </c>
      <c r="N383">
        <v>116150</v>
      </c>
      <c r="O383">
        <v>6736.7</v>
      </c>
      <c r="P383">
        <v>109413.3</v>
      </c>
      <c r="Q383">
        <v>5</v>
      </c>
      <c r="R383">
        <v>217</v>
      </c>
      <c r="S383">
        <v>4</v>
      </c>
      <c r="T383">
        <v>10</v>
      </c>
      <c r="U383">
        <v>3</v>
      </c>
    </row>
    <row r="384" spans="1:21" x14ac:dyDescent="0.3">
      <c r="A384" t="s">
        <v>489</v>
      </c>
      <c r="B384" s="2">
        <v>45886</v>
      </c>
      <c r="C384" t="s">
        <v>99</v>
      </c>
      <c r="D384" t="s">
        <v>121</v>
      </c>
      <c r="E384" t="s">
        <v>46</v>
      </c>
      <c r="F384" t="s">
        <v>101</v>
      </c>
      <c r="G384" t="s">
        <v>56</v>
      </c>
      <c r="H384" t="s">
        <v>53</v>
      </c>
      <c r="I384" t="s">
        <v>63</v>
      </c>
      <c r="J384" t="s">
        <v>29</v>
      </c>
      <c r="K384">
        <v>1</v>
      </c>
      <c r="L384">
        <v>105301</v>
      </c>
      <c r="M384">
        <v>7.8E-2</v>
      </c>
      <c r="N384">
        <v>105301</v>
      </c>
      <c r="O384">
        <v>8213.48</v>
      </c>
      <c r="P384">
        <v>97087.52</v>
      </c>
      <c r="Q384">
        <v>4</v>
      </c>
      <c r="R384">
        <v>167</v>
      </c>
      <c r="S384">
        <v>3.6</v>
      </c>
      <c r="T384">
        <v>14</v>
      </c>
      <c r="U384">
        <v>3</v>
      </c>
    </row>
    <row r="385" spans="1:21" x14ac:dyDescent="0.3">
      <c r="A385" t="s">
        <v>490</v>
      </c>
      <c r="B385" s="2">
        <v>45821</v>
      </c>
      <c r="C385" t="s">
        <v>99</v>
      </c>
      <c r="D385" t="s">
        <v>100</v>
      </c>
      <c r="E385" t="s">
        <v>62</v>
      </c>
      <c r="F385" t="s">
        <v>80</v>
      </c>
      <c r="G385" t="s">
        <v>34</v>
      </c>
      <c r="H385" t="s">
        <v>53</v>
      </c>
      <c r="I385" t="s">
        <v>36</v>
      </c>
      <c r="J385" t="s">
        <v>85</v>
      </c>
      <c r="K385">
        <v>2</v>
      </c>
      <c r="L385">
        <v>112682</v>
      </c>
      <c r="M385">
        <v>7.1999999999999995E-2</v>
      </c>
      <c r="N385">
        <v>225364</v>
      </c>
      <c r="O385">
        <v>16226.21</v>
      </c>
      <c r="P385">
        <v>209137.79</v>
      </c>
      <c r="Q385">
        <v>5</v>
      </c>
      <c r="R385">
        <v>186</v>
      </c>
      <c r="S385">
        <v>4.5999999999999996</v>
      </c>
      <c r="T385">
        <v>11</v>
      </c>
      <c r="U385">
        <v>5</v>
      </c>
    </row>
    <row r="386" spans="1:21" x14ac:dyDescent="0.3">
      <c r="A386" t="s">
        <v>491</v>
      </c>
      <c r="B386" s="2">
        <v>45675</v>
      </c>
      <c r="C386" t="s">
        <v>99</v>
      </c>
      <c r="D386" t="s">
        <v>141</v>
      </c>
      <c r="E386" t="s">
        <v>24</v>
      </c>
      <c r="F386" t="s">
        <v>47</v>
      </c>
      <c r="G386" t="s">
        <v>56</v>
      </c>
      <c r="H386" t="s">
        <v>27</v>
      </c>
      <c r="I386" t="s">
        <v>94</v>
      </c>
      <c r="J386" t="s">
        <v>131</v>
      </c>
      <c r="K386">
        <v>4</v>
      </c>
      <c r="L386">
        <v>143563</v>
      </c>
      <c r="M386">
        <v>7.4999999999999997E-2</v>
      </c>
      <c r="N386">
        <v>574252</v>
      </c>
      <c r="O386">
        <v>43068.9</v>
      </c>
      <c r="P386">
        <v>531183.1</v>
      </c>
      <c r="Q386">
        <v>3</v>
      </c>
      <c r="R386">
        <v>175</v>
      </c>
      <c r="S386">
        <v>3.9</v>
      </c>
      <c r="T386">
        <v>12</v>
      </c>
      <c r="U386">
        <v>3</v>
      </c>
    </row>
    <row r="387" spans="1:21" x14ac:dyDescent="0.3">
      <c r="A387" t="s">
        <v>492</v>
      </c>
      <c r="B387" s="2">
        <v>45915</v>
      </c>
      <c r="C387" t="s">
        <v>87</v>
      </c>
      <c r="D387" t="s">
        <v>88</v>
      </c>
      <c r="E387" t="s">
        <v>62</v>
      </c>
      <c r="F387" t="s">
        <v>101</v>
      </c>
      <c r="G387" t="s">
        <v>34</v>
      </c>
      <c r="H387" t="s">
        <v>53</v>
      </c>
      <c r="I387" t="s">
        <v>57</v>
      </c>
      <c r="J387" t="s">
        <v>95</v>
      </c>
      <c r="K387">
        <v>1</v>
      </c>
      <c r="L387">
        <v>149275</v>
      </c>
      <c r="M387">
        <v>0.105</v>
      </c>
      <c r="N387">
        <v>149275</v>
      </c>
      <c r="O387">
        <v>15673.88</v>
      </c>
      <c r="P387">
        <v>133601.12</v>
      </c>
      <c r="Q387">
        <v>3</v>
      </c>
      <c r="R387">
        <v>158</v>
      </c>
      <c r="S387">
        <v>4.3</v>
      </c>
      <c r="T387">
        <v>14</v>
      </c>
      <c r="U387">
        <v>2</v>
      </c>
    </row>
    <row r="388" spans="1:21" x14ac:dyDescent="0.3">
      <c r="A388" t="s">
        <v>493</v>
      </c>
      <c r="B388" s="2">
        <v>45800</v>
      </c>
      <c r="C388" t="s">
        <v>87</v>
      </c>
      <c r="D388" t="s">
        <v>88</v>
      </c>
      <c r="E388" t="s">
        <v>46</v>
      </c>
      <c r="F388" t="s">
        <v>41</v>
      </c>
      <c r="G388" t="s">
        <v>56</v>
      </c>
      <c r="H388" t="s">
        <v>27</v>
      </c>
      <c r="I388" t="s">
        <v>94</v>
      </c>
      <c r="J388" t="s">
        <v>131</v>
      </c>
      <c r="K388">
        <v>1</v>
      </c>
      <c r="L388">
        <v>160085</v>
      </c>
      <c r="M388">
        <v>9.6000000000000002E-2</v>
      </c>
      <c r="N388">
        <v>160085</v>
      </c>
      <c r="O388">
        <v>15368.16</v>
      </c>
      <c r="P388">
        <v>144716.84</v>
      </c>
      <c r="Q388">
        <v>4</v>
      </c>
      <c r="R388">
        <v>171</v>
      </c>
      <c r="S388">
        <v>3.8</v>
      </c>
      <c r="T388">
        <v>6</v>
      </c>
      <c r="U388">
        <v>3</v>
      </c>
    </row>
    <row r="389" spans="1:21" x14ac:dyDescent="0.3">
      <c r="A389" t="s">
        <v>494</v>
      </c>
      <c r="B389" s="2">
        <v>45998</v>
      </c>
      <c r="C389" t="s">
        <v>22</v>
      </c>
      <c r="D389" t="s">
        <v>107</v>
      </c>
      <c r="E389" t="s">
        <v>62</v>
      </c>
      <c r="F389" t="s">
        <v>25</v>
      </c>
      <c r="G389" t="s">
        <v>26</v>
      </c>
      <c r="H389" t="s">
        <v>53</v>
      </c>
      <c r="I389" t="s">
        <v>36</v>
      </c>
      <c r="J389" t="s">
        <v>175</v>
      </c>
      <c r="K389">
        <v>1</v>
      </c>
      <c r="L389">
        <v>134499</v>
      </c>
      <c r="M389">
        <v>0.11799999999999999</v>
      </c>
      <c r="N389">
        <v>134499</v>
      </c>
      <c r="O389">
        <v>15870.88</v>
      </c>
      <c r="P389">
        <v>118628.12</v>
      </c>
      <c r="Q389">
        <v>3</v>
      </c>
      <c r="R389">
        <v>160</v>
      </c>
      <c r="S389">
        <v>3.9</v>
      </c>
      <c r="T389">
        <v>14</v>
      </c>
      <c r="U389">
        <v>5</v>
      </c>
    </row>
    <row r="390" spans="1:21" x14ac:dyDescent="0.3">
      <c r="A390" t="s">
        <v>495</v>
      </c>
      <c r="B390" s="2">
        <v>45913</v>
      </c>
      <c r="C390" t="s">
        <v>99</v>
      </c>
      <c r="D390" t="s">
        <v>141</v>
      </c>
      <c r="E390" t="s">
        <v>24</v>
      </c>
      <c r="F390" t="s">
        <v>47</v>
      </c>
      <c r="G390" t="s">
        <v>67</v>
      </c>
      <c r="H390" t="s">
        <v>35</v>
      </c>
      <c r="I390" t="s">
        <v>48</v>
      </c>
      <c r="J390" t="s">
        <v>102</v>
      </c>
      <c r="K390">
        <v>4</v>
      </c>
      <c r="L390">
        <v>133299</v>
      </c>
      <c r="M390">
        <v>7.3999999999999996E-2</v>
      </c>
      <c r="N390">
        <v>533196</v>
      </c>
      <c r="O390">
        <v>39456.5</v>
      </c>
      <c r="P390">
        <v>493739.5</v>
      </c>
      <c r="Q390">
        <v>5</v>
      </c>
      <c r="R390">
        <v>213</v>
      </c>
      <c r="S390">
        <v>3.9</v>
      </c>
      <c r="T390">
        <v>6</v>
      </c>
      <c r="U390">
        <v>3</v>
      </c>
    </row>
    <row r="391" spans="1:21" x14ac:dyDescent="0.3">
      <c r="A391" t="s">
        <v>496</v>
      </c>
      <c r="B391" s="2">
        <v>45735</v>
      </c>
      <c r="C391" t="s">
        <v>31</v>
      </c>
      <c r="D391" t="s">
        <v>32</v>
      </c>
      <c r="E391" t="s">
        <v>62</v>
      </c>
      <c r="F391" t="s">
        <v>70</v>
      </c>
      <c r="G391" t="s">
        <v>56</v>
      </c>
      <c r="H391" t="s">
        <v>27</v>
      </c>
      <c r="I391" t="s">
        <v>94</v>
      </c>
      <c r="J391" t="s">
        <v>104</v>
      </c>
      <c r="K391">
        <v>1</v>
      </c>
      <c r="L391">
        <v>110001</v>
      </c>
      <c r="M391">
        <v>8.3000000000000004E-2</v>
      </c>
      <c r="N391">
        <v>110001</v>
      </c>
      <c r="O391">
        <v>9130.08</v>
      </c>
      <c r="P391">
        <v>100870.92</v>
      </c>
      <c r="Q391">
        <v>3</v>
      </c>
      <c r="R391">
        <v>172</v>
      </c>
      <c r="S391">
        <v>4.2</v>
      </c>
      <c r="T391">
        <v>4</v>
      </c>
      <c r="U391">
        <v>3</v>
      </c>
    </row>
    <row r="392" spans="1:21" x14ac:dyDescent="0.3">
      <c r="A392" t="s">
        <v>497</v>
      </c>
      <c r="B392" s="2">
        <v>45964</v>
      </c>
      <c r="C392" t="s">
        <v>39</v>
      </c>
      <c r="D392" t="s">
        <v>154</v>
      </c>
      <c r="E392" t="s">
        <v>62</v>
      </c>
      <c r="F392" t="s">
        <v>70</v>
      </c>
      <c r="G392" t="s">
        <v>67</v>
      </c>
      <c r="H392" t="s">
        <v>53</v>
      </c>
      <c r="I392" t="s">
        <v>48</v>
      </c>
      <c r="J392" t="s">
        <v>138</v>
      </c>
      <c r="K392">
        <v>1</v>
      </c>
      <c r="L392">
        <v>193254</v>
      </c>
      <c r="M392">
        <v>0.112</v>
      </c>
      <c r="N392">
        <v>193254</v>
      </c>
      <c r="O392">
        <v>21644.45</v>
      </c>
      <c r="P392">
        <v>171609.55</v>
      </c>
      <c r="Q392">
        <v>2</v>
      </c>
      <c r="R392">
        <v>133</v>
      </c>
      <c r="S392">
        <v>3.3</v>
      </c>
      <c r="T392">
        <v>3</v>
      </c>
      <c r="U392">
        <v>2</v>
      </c>
    </row>
    <row r="393" spans="1:21" x14ac:dyDescent="0.3">
      <c r="A393" t="s">
        <v>498</v>
      </c>
      <c r="B393" s="2">
        <v>45720</v>
      </c>
      <c r="C393" t="s">
        <v>39</v>
      </c>
      <c r="D393" t="s">
        <v>154</v>
      </c>
      <c r="E393" t="s">
        <v>46</v>
      </c>
      <c r="F393" t="s">
        <v>47</v>
      </c>
      <c r="G393" t="s">
        <v>26</v>
      </c>
      <c r="H393" t="s">
        <v>53</v>
      </c>
      <c r="I393" t="s">
        <v>48</v>
      </c>
      <c r="J393" t="s">
        <v>92</v>
      </c>
      <c r="K393">
        <v>2</v>
      </c>
      <c r="L393">
        <v>176104</v>
      </c>
      <c r="M393">
        <v>7.9000000000000001E-2</v>
      </c>
      <c r="N393">
        <v>352208</v>
      </c>
      <c r="O393">
        <v>27824.43</v>
      </c>
      <c r="P393">
        <v>324383.57</v>
      </c>
      <c r="Q393">
        <v>3</v>
      </c>
      <c r="R393">
        <v>159</v>
      </c>
      <c r="S393">
        <v>3.9</v>
      </c>
      <c r="T393">
        <v>13</v>
      </c>
      <c r="U393">
        <v>3</v>
      </c>
    </row>
    <row r="394" spans="1:21" x14ac:dyDescent="0.3">
      <c r="A394" t="s">
        <v>499</v>
      </c>
      <c r="B394" s="2">
        <v>46004</v>
      </c>
      <c r="C394" t="s">
        <v>31</v>
      </c>
      <c r="D394" t="s">
        <v>97</v>
      </c>
      <c r="E394" t="s">
        <v>62</v>
      </c>
      <c r="F394" t="s">
        <v>70</v>
      </c>
      <c r="G394" t="s">
        <v>34</v>
      </c>
      <c r="H394" t="s">
        <v>35</v>
      </c>
      <c r="I394" t="s">
        <v>48</v>
      </c>
      <c r="J394" t="s">
        <v>92</v>
      </c>
      <c r="K394">
        <v>4</v>
      </c>
      <c r="L394">
        <v>132705</v>
      </c>
      <c r="M394">
        <v>8.6999999999999994E-2</v>
      </c>
      <c r="N394">
        <v>530820</v>
      </c>
      <c r="O394">
        <v>46181.34</v>
      </c>
      <c r="P394">
        <v>484638.66</v>
      </c>
      <c r="Q394">
        <v>2</v>
      </c>
      <c r="R394">
        <v>159</v>
      </c>
      <c r="S394">
        <v>3.8</v>
      </c>
      <c r="T394">
        <v>5</v>
      </c>
      <c r="U394">
        <v>2</v>
      </c>
    </row>
    <row r="395" spans="1:21" x14ac:dyDescent="0.3">
      <c r="A395" t="s">
        <v>500</v>
      </c>
      <c r="B395" s="2">
        <v>45904</v>
      </c>
      <c r="C395" t="s">
        <v>31</v>
      </c>
      <c r="D395" t="s">
        <v>32</v>
      </c>
      <c r="E395" t="s">
        <v>46</v>
      </c>
      <c r="F395" t="s">
        <v>41</v>
      </c>
      <c r="G395" t="s">
        <v>34</v>
      </c>
      <c r="H395" t="s">
        <v>27</v>
      </c>
      <c r="I395" t="s">
        <v>36</v>
      </c>
      <c r="J395" t="s">
        <v>49</v>
      </c>
      <c r="K395">
        <v>3</v>
      </c>
      <c r="L395">
        <v>111222</v>
      </c>
      <c r="M395">
        <v>9.5000000000000001E-2</v>
      </c>
      <c r="N395">
        <v>333666</v>
      </c>
      <c r="O395">
        <v>31698.27</v>
      </c>
      <c r="P395">
        <v>301967.73</v>
      </c>
      <c r="Q395">
        <v>3</v>
      </c>
      <c r="R395">
        <v>177</v>
      </c>
      <c r="S395">
        <v>4.0999999999999996</v>
      </c>
      <c r="T395">
        <v>2</v>
      </c>
      <c r="U395">
        <v>3</v>
      </c>
    </row>
    <row r="396" spans="1:21" x14ac:dyDescent="0.3">
      <c r="A396" t="s">
        <v>501</v>
      </c>
      <c r="B396" s="2">
        <v>45871</v>
      </c>
      <c r="C396" t="s">
        <v>44</v>
      </c>
      <c r="D396" t="s">
        <v>45</v>
      </c>
      <c r="E396" t="s">
        <v>24</v>
      </c>
      <c r="F396" t="s">
        <v>25</v>
      </c>
      <c r="G396" t="s">
        <v>34</v>
      </c>
      <c r="H396" t="s">
        <v>235</v>
      </c>
      <c r="I396" t="s">
        <v>36</v>
      </c>
      <c r="J396" t="s">
        <v>89</v>
      </c>
      <c r="K396">
        <v>2</v>
      </c>
      <c r="L396">
        <v>159136</v>
      </c>
      <c r="M396">
        <v>0.12</v>
      </c>
      <c r="N396">
        <v>318272</v>
      </c>
      <c r="O396">
        <v>38192.639999999999</v>
      </c>
      <c r="P396">
        <v>280079.35999999999</v>
      </c>
      <c r="Q396">
        <v>3</v>
      </c>
      <c r="R396">
        <v>171</v>
      </c>
      <c r="S396">
        <v>4.3</v>
      </c>
      <c r="T396">
        <v>11</v>
      </c>
      <c r="U396">
        <v>5</v>
      </c>
    </row>
    <row r="397" spans="1:21" x14ac:dyDescent="0.3">
      <c r="A397" t="s">
        <v>502</v>
      </c>
      <c r="B397" s="2">
        <v>45802</v>
      </c>
      <c r="C397" t="s">
        <v>60</v>
      </c>
      <c r="D397" t="s">
        <v>69</v>
      </c>
      <c r="E397" t="s">
        <v>46</v>
      </c>
      <c r="F397" t="s">
        <v>66</v>
      </c>
      <c r="G397" t="s">
        <v>67</v>
      </c>
      <c r="H397" t="s">
        <v>53</v>
      </c>
      <c r="I397" t="s">
        <v>36</v>
      </c>
      <c r="J397" t="s">
        <v>58</v>
      </c>
      <c r="K397">
        <v>1</v>
      </c>
      <c r="L397">
        <v>111310</v>
      </c>
      <c r="M397">
        <v>0.05</v>
      </c>
      <c r="N397">
        <v>111310</v>
      </c>
      <c r="O397">
        <v>5565.5</v>
      </c>
      <c r="P397">
        <v>105744.5</v>
      </c>
      <c r="Q397">
        <v>3</v>
      </c>
      <c r="R397">
        <v>159</v>
      </c>
      <c r="S397">
        <v>3.8</v>
      </c>
      <c r="T397">
        <v>5</v>
      </c>
      <c r="U397">
        <v>5</v>
      </c>
    </row>
    <row r="398" spans="1:21" x14ac:dyDescent="0.3">
      <c r="A398" t="s">
        <v>503</v>
      </c>
      <c r="B398" s="2">
        <v>45982</v>
      </c>
      <c r="C398" t="s">
        <v>99</v>
      </c>
      <c r="D398" t="s">
        <v>100</v>
      </c>
      <c r="E398" t="s">
        <v>46</v>
      </c>
      <c r="F398" t="s">
        <v>52</v>
      </c>
      <c r="G398" t="s">
        <v>67</v>
      </c>
      <c r="H398" t="s">
        <v>53</v>
      </c>
      <c r="I398" t="s">
        <v>28</v>
      </c>
      <c r="J398" t="s">
        <v>95</v>
      </c>
      <c r="K398">
        <v>1</v>
      </c>
      <c r="L398">
        <v>115453</v>
      </c>
      <c r="M398">
        <v>5.2999999999999999E-2</v>
      </c>
      <c r="N398">
        <v>115453</v>
      </c>
      <c r="O398">
        <v>6119.01</v>
      </c>
      <c r="P398">
        <v>109333.99</v>
      </c>
      <c r="Q398">
        <v>2</v>
      </c>
      <c r="R398">
        <v>126</v>
      </c>
      <c r="S398">
        <v>4</v>
      </c>
      <c r="T398">
        <v>12</v>
      </c>
      <c r="U398">
        <v>5</v>
      </c>
    </row>
    <row r="399" spans="1:21" x14ac:dyDescent="0.3">
      <c r="A399" t="s">
        <v>504</v>
      </c>
      <c r="B399" s="2">
        <v>45706</v>
      </c>
      <c r="C399" t="s">
        <v>87</v>
      </c>
      <c r="D399" t="s">
        <v>130</v>
      </c>
      <c r="E399" t="s">
        <v>46</v>
      </c>
      <c r="F399" t="s">
        <v>52</v>
      </c>
      <c r="G399" t="s">
        <v>67</v>
      </c>
      <c r="H399" t="s">
        <v>27</v>
      </c>
      <c r="I399" t="s">
        <v>94</v>
      </c>
      <c r="J399" t="s">
        <v>138</v>
      </c>
      <c r="K399">
        <v>1</v>
      </c>
      <c r="L399">
        <v>115327</v>
      </c>
      <c r="M399">
        <v>3.3000000000000002E-2</v>
      </c>
      <c r="N399">
        <v>115327</v>
      </c>
      <c r="O399">
        <v>3805.79</v>
      </c>
      <c r="P399">
        <v>111521.21</v>
      </c>
      <c r="Q399">
        <v>3</v>
      </c>
      <c r="R399">
        <v>148</v>
      </c>
      <c r="S399">
        <v>5</v>
      </c>
      <c r="T399">
        <v>4</v>
      </c>
      <c r="U399">
        <v>3</v>
      </c>
    </row>
    <row r="400" spans="1:21" x14ac:dyDescent="0.3">
      <c r="A400" t="s">
        <v>505</v>
      </c>
      <c r="B400" s="2">
        <v>45765</v>
      </c>
      <c r="C400" t="s">
        <v>76</v>
      </c>
      <c r="D400" t="s">
        <v>115</v>
      </c>
      <c r="E400" t="s">
        <v>62</v>
      </c>
      <c r="F400" t="s">
        <v>41</v>
      </c>
      <c r="G400" t="s">
        <v>34</v>
      </c>
      <c r="H400" t="s">
        <v>27</v>
      </c>
      <c r="I400" t="s">
        <v>28</v>
      </c>
      <c r="J400" t="s">
        <v>37</v>
      </c>
      <c r="K400">
        <v>1</v>
      </c>
      <c r="L400">
        <v>138351</v>
      </c>
      <c r="M400">
        <v>0.109</v>
      </c>
      <c r="N400">
        <v>138351</v>
      </c>
      <c r="O400">
        <v>15080.26</v>
      </c>
      <c r="P400">
        <v>123270.74</v>
      </c>
      <c r="Q400">
        <v>3</v>
      </c>
      <c r="R400">
        <v>172</v>
      </c>
      <c r="S400">
        <v>4.2</v>
      </c>
      <c r="T400">
        <v>9</v>
      </c>
      <c r="U400">
        <v>3</v>
      </c>
    </row>
    <row r="401" spans="1:21" x14ac:dyDescent="0.3">
      <c r="A401" t="s">
        <v>506</v>
      </c>
      <c r="B401" s="2">
        <v>45777</v>
      </c>
      <c r="C401" t="s">
        <v>44</v>
      </c>
      <c r="D401" t="s">
        <v>45</v>
      </c>
      <c r="E401" t="s">
        <v>62</v>
      </c>
      <c r="F401" t="s">
        <v>70</v>
      </c>
      <c r="G401" t="s">
        <v>34</v>
      </c>
      <c r="H401" t="s">
        <v>35</v>
      </c>
      <c r="I401" t="s">
        <v>57</v>
      </c>
      <c r="J401" t="s">
        <v>102</v>
      </c>
      <c r="K401">
        <v>1</v>
      </c>
      <c r="L401">
        <v>147810</v>
      </c>
      <c r="M401">
        <v>0.115</v>
      </c>
      <c r="N401">
        <v>147810</v>
      </c>
      <c r="O401">
        <v>16998.150000000001</v>
      </c>
      <c r="P401">
        <v>130811.85</v>
      </c>
      <c r="Q401">
        <v>4</v>
      </c>
      <c r="R401">
        <v>190</v>
      </c>
      <c r="S401">
        <v>4.8</v>
      </c>
      <c r="T401">
        <v>11</v>
      </c>
      <c r="U401">
        <v>2</v>
      </c>
    </row>
    <row r="402" spans="1:21" x14ac:dyDescent="0.3">
      <c r="A402" t="s">
        <v>507</v>
      </c>
      <c r="B402" s="2">
        <v>45712</v>
      </c>
      <c r="C402" t="s">
        <v>87</v>
      </c>
      <c r="D402" t="s">
        <v>130</v>
      </c>
      <c r="E402" t="s">
        <v>46</v>
      </c>
      <c r="F402" t="s">
        <v>66</v>
      </c>
      <c r="G402" t="s">
        <v>67</v>
      </c>
      <c r="H402" t="s">
        <v>53</v>
      </c>
      <c r="I402" t="s">
        <v>94</v>
      </c>
      <c r="J402" t="s">
        <v>29</v>
      </c>
      <c r="K402">
        <v>1</v>
      </c>
      <c r="L402">
        <v>105176</v>
      </c>
      <c r="M402">
        <v>0.107</v>
      </c>
      <c r="N402">
        <v>105176</v>
      </c>
      <c r="O402">
        <v>11253.83</v>
      </c>
      <c r="P402">
        <v>93922.17</v>
      </c>
      <c r="Q402">
        <v>3</v>
      </c>
      <c r="R402">
        <v>154</v>
      </c>
      <c r="S402">
        <v>4.8</v>
      </c>
      <c r="T402">
        <v>6</v>
      </c>
      <c r="U402">
        <v>2</v>
      </c>
    </row>
    <row r="403" spans="1:21" x14ac:dyDescent="0.3">
      <c r="A403" t="s">
        <v>508</v>
      </c>
      <c r="B403" s="2">
        <v>45775</v>
      </c>
      <c r="C403" t="s">
        <v>39</v>
      </c>
      <c r="D403" t="s">
        <v>40</v>
      </c>
      <c r="E403" t="s">
        <v>46</v>
      </c>
      <c r="F403" t="s">
        <v>25</v>
      </c>
      <c r="G403" t="s">
        <v>56</v>
      </c>
      <c r="H403" t="s">
        <v>27</v>
      </c>
      <c r="I403" t="s">
        <v>94</v>
      </c>
      <c r="J403" t="s">
        <v>109</v>
      </c>
      <c r="K403">
        <v>1</v>
      </c>
      <c r="L403">
        <v>134313</v>
      </c>
      <c r="M403">
        <v>7.3999999999999996E-2</v>
      </c>
      <c r="N403">
        <v>134313</v>
      </c>
      <c r="O403">
        <v>9939.16</v>
      </c>
      <c r="P403">
        <v>124373.84</v>
      </c>
      <c r="Q403">
        <v>2</v>
      </c>
      <c r="R403">
        <v>141</v>
      </c>
      <c r="S403">
        <v>3.4</v>
      </c>
      <c r="T403">
        <v>5</v>
      </c>
      <c r="U403">
        <v>5</v>
      </c>
    </row>
    <row r="404" spans="1:21" x14ac:dyDescent="0.3">
      <c r="A404" t="s">
        <v>509</v>
      </c>
      <c r="B404" s="2">
        <v>45738</v>
      </c>
      <c r="C404" t="s">
        <v>39</v>
      </c>
      <c r="D404" t="s">
        <v>40</v>
      </c>
      <c r="E404" t="s">
        <v>46</v>
      </c>
      <c r="F404" t="s">
        <v>47</v>
      </c>
      <c r="G404" t="s">
        <v>26</v>
      </c>
      <c r="H404" t="s">
        <v>53</v>
      </c>
      <c r="I404" t="s">
        <v>63</v>
      </c>
      <c r="J404" t="s">
        <v>175</v>
      </c>
      <c r="K404">
        <v>4</v>
      </c>
      <c r="L404">
        <v>119197</v>
      </c>
      <c r="M404">
        <v>2.5999999999999999E-2</v>
      </c>
      <c r="N404">
        <v>476788</v>
      </c>
      <c r="O404">
        <v>12396.49</v>
      </c>
      <c r="P404">
        <v>464391.51</v>
      </c>
      <c r="Q404">
        <v>3</v>
      </c>
      <c r="R404">
        <v>163</v>
      </c>
      <c r="S404">
        <v>4</v>
      </c>
      <c r="T404">
        <v>9</v>
      </c>
      <c r="U404">
        <v>3</v>
      </c>
    </row>
    <row r="405" spans="1:21" x14ac:dyDescent="0.3">
      <c r="A405" t="s">
        <v>510</v>
      </c>
      <c r="B405" s="2">
        <v>45943</v>
      </c>
      <c r="C405" t="s">
        <v>99</v>
      </c>
      <c r="D405" t="s">
        <v>141</v>
      </c>
      <c r="E405" t="s">
        <v>62</v>
      </c>
      <c r="F405" t="s">
        <v>80</v>
      </c>
      <c r="G405" t="s">
        <v>56</v>
      </c>
      <c r="H405" t="s">
        <v>35</v>
      </c>
      <c r="I405" t="s">
        <v>94</v>
      </c>
      <c r="J405" t="s">
        <v>175</v>
      </c>
      <c r="K405">
        <v>3</v>
      </c>
      <c r="L405">
        <v>134941</v>
      </c>
      <c r="M405">
        <v>5.8000000000000003E-2</v>
      </c>
      <c r="N405">
        <v>404823</v>
      </c>
      <c r="O405">
        <v>23479.73</v>
      </c>
      <c r="P405">
        <v>381343.27</v>
      </c>
      <c r="Q405">
        <v>3</v>
      </c>
      <c r="R405">
        <v>181</v>
      </c>
      <c r="S405">
        <v>3.9</v>
      </c>
      <c r="T405">
        <v>9</v>
      </c>
      <c r="U405">
        <v>2</v>
      </c>
    </row>
    <row r="406" spans="1:21" x14ac:dyDescent="0.3">
      <c r="A406" t="s">
        <v>511</v>
      </c>
      <c r="B406" s="2">
        <v>45870</v>
      </c>
      <c r="C406" t="s">
        <v>44</v>
      </c>
      <c r="D406" t="s">
        <v>45</v>
      </c>
      <c r="E406" t="s">
        <v>62</v>
      </c>
      <c r="F406" t="s">
        <v>47</v>
      </c>
      <c r="G406" t="s">
        <v>56</v>
      </c>
      <c r="H406" t="s">
        <v>35</v>
      </c>
      <c r="I406" t="s">
        <v>57</v>
      </c>
      <c r="J406" t="s">
        <v>104</v>
      </c>
      <c r="K406">
        <v>1</v>
      </c>
      <c r="L406">
        <v>151594</v>
      </c>
      <c r="M406">
        <v>4.5999999999999999E-2</v>
      </c>
      <c r="N406">
        <v>151594</v>
      </c>
      <c r="O406">
        <v>6973.32</v>
      </c>
      <c r="P406">
        <v>144620.68</v>
      </c>
      <c r="Q406">
        <v>2</v>
      </c>
      <c r="R406">
        <v>147</v>
      </c>
      <c r="S406">
        <v>5</v>
      </c>
      <c r="T406">
        <v>3</v>
      </c>
      <c r="U406">
        <v>3</v>
      </c>
    </row>
    <row r="407" spans="1:21" x14ac:dyDescent="0.3">
      <c r="A407" t="s">
        <v>512</v>
      </c>
      <c r="B407" s="2">
        <v>45911</v>
      </c>
      <c r="C407" t="s">
        <v>99</v>
      </c>
      <c r="D407" t="s">
        <v>100</v>
      </c>
      <c r="E407" t="s">
        <v>62</v>
      </c>
      <c r="F407" t="s">
        <v>33</v>
      </c>
      <c r="G407" t="s">
        <v>26</v>
      </c>
      <c r="H407" t="s">
        <v>53</v>
      </c>
      <c r="I407" t="s">
        <v>28</v>
      </c>
      <c r="J407" t="s">
        <v>54</v>
      </c>
      <c r="K407">
        <v>2</v>
      </c>
      <c r="L407">
        <v>114359</v>
      </c>
      <c r="M407">
        <v>3.3000000000000002E-2</v>
      </c>
      <c r="N407">
        <v>228718</v>
      </c>
      <c r="O407">
        <v>7547.69</v>
      </c>
      <c r="P407">
        <v>221170.31</v>
      </c>
      <c r="Q407">
        <v>3</v>
      </c>
      <c r="R407">
        <v>183</v>
      </c>
      <c r="S407">
        <v>4.4000000000000004</v>
      </c>
      <c r="T407">
        <v>9</v>
      </c>
      <c r="U407">
        <v>5</v>
      </c>
    </row>
    <row r="408" spans="1:21" x14ac:dyDescent="0.3">
      <c r="A408" t="s">
        <v>513</v>
      </c>
      <c r="B408" s="2">
        <v>45824</v>
      </c>
      <c r="C408" t="s">
        <v>87</v>
      </c>
      <c r="D408" t="s">
        <v>88</v>
      </c>
      <c r="E408" t="s">
        <v>24</v>
      </c>
      <c r="F408" t="s">
        <v>66</v>
      </c>
      <c r="G408" t="s">
        <v>34</v>
      </c>
      <c r="H408" t="s">
        <v>35</v>
      </c>
      <c r="I408" t="s">
        <v>57</v>
      </c>
      <c r="J408" t="s">
        <v>64</v>
      </c>
      <c r="K408">
        <v>5</v>
      </c>
      <c r="L408">
        <v>150312</v>
      </c>
      <c r="M408">
        <v>5.1999999999999998E-2</v>
      </c>
      <c r="N408">
        <v>751560</v>
      </c>
      <c r="O408">
        <v>39081.120000000003</v>
      </c>
      <c r="P408">
        <v>712478.88</v>
      </c>
      <c r="Q408">
        <v>4</v>
      </c>
      <c r="R408">
        <v>168</v>
      </c>
      <c r="S408">
        <v>4.5</v>
      </c>
      <c r="T408">
        <v>5</v>
      </c>
      <c r="U408">
        <v>2</v>
      </c>
    </row>
    <row r="409" spans="1:21" x14ac:dyDescent="0.3">
      <c r="A409" t="s">
        <v>514</v>
      </c>
      <c r="B409" s="2">
        <v>46008</v>
      </c>
      <c r="C409" t="s">
        <v>22</v>
      </c>
      <c r="D409" t="s">
        <v>107</v>
      </c>
      <c r="E409" t="s">
        <v>24</v>
      </c>
      <c r="F409" t="s">
        <v>101</v>
      </c>
      <c r="G409" t="s">
        <v>67</v>
      </c>
      <c r="H409" t="s">
        <v>35</v>
      </c>
      <c r="I409" t="s">
        <v>28</v>
      </c>
      <c r="J409" t="s">
        <v>148</v>
      </c>
      <c r="K409">
        <v>1</v>
      </c>
      <c r="L409">
        <v>137886</v>
      </c>
      <c r="M409">
        <v>3.9E-2</v>
      </c>
      <c r="N409">
        <v>137886</v>
      </c>
      <c r="O409">
        <v>5377.55</v>
      </c>
      <c r="P409">
        <v>132508.45000000001</v>
      </c>
      <c r="Q409">
        <v>3</v>
      </c>
      <c r="R409">
        <v>163</v>
      </c>
      <c r="S409">
        <v>4.3</v>
      </c>
      <c r="T409">
        <v>11</v>
      </c>
      <c r="U409">
        <v>5</v>
      </c>
    </row>
    <row r="410" spans="1:21" x14ac:dyDescent="0.3">
      <c r="A410" t="s">
        <v>515</v>
      </c>
      <c r="B410" s="2">
        <v>45909</v>
      </c>
      <c r="C410" t="s">
        <v>22</v>
      </c>
      <c r="D410" t="s">
        <v>107</v>
      </c>
      <c r="E410" t="s">
        <v>46</v>
      </c>
      <c r="F410" t="s">
        <v>47</v>
      </c>
      <c r="G410" t="s">
        <v>34</v>
      </c>
      <c r="H410" t="s">
        <v>35</v>
      </c>
      <c r="I410" t="s">
        <v>63</v>
      </c>
      <c r="J410" t="s">
        <v>109</v>
      </c>
      <c r="K410">
        <v>1</v>
      </c>
      <c r="L410">
        <v>141322</v>
      </c>
      <c r="M410">
        <v>2.1000000000000001E-2</v>
      </c>
      <c r="N410">
        <v>141322</v>
      </c>
      <c r="O410">
        <v>2967.76</v>
      </c>
      <c r="P410">
        <v>138354.23999999999</v>
      </c>
      <c r="Q410">
        <v>3</v>
      </c>
      <c r="R410">
        <v>183</v>
      </c>
      <c r="S410">
        <v>3.7</v>
      </c>
      <c r="T410">
        <v>7</v>
      </c>
      <c r="U410">
        <v>3</v>
      </c>
    </row>
    <row r="411" spans="1:21" x14ac:dyDescent="0.3">
      <c r="A411" t="s">
        <v>516</v>
      </c>
      <c r="B411" s="2">
        <v>45708</v>
      </c>
      <c r="C411" t="s">
        <v>87</v>
      </c>
      <c r="D411" t="s">
        <v>88</v>
      </c>
      <c r="E411" t="s">
        <v>24</v>
      </c>
      <c r="F411" t="s">
        <v>33</v>
      </c>
      <c r="G411" t="s">
        <v>67</v>
      </c>
      <c r="H411" t="s">
        <v>27</v>
      </c>
      <c r="I411" t="s">
        <v>57</v>
      </c>
      <c r="J411" t="s">
        <v>58</v>
      </c>
      <c r="K411">
        <v>1</v>
      </c>
      <c r="L411">
        <v>145180</v>
      </c>
      <c r="M411">
        <v>5.5E-2</v>
      </c>
      <c r="N411">
        <v>145180</v>
      </c>
      <c r="O411">
        <v>7984.9</v>
      </c>
      <c r="P411">
        <v>137195.1</v>
      </c>
      <c r="Q411">
        <v>4</v>
      </c>
      <c r="R411">
        <v>169</v>
      </c>
      <c r="S411">
        <v>4.2</v>
      </c>
      <c r="T411">
        <v>8</v>
      </c>
      <c r="U411">
        <v>2</v>
      </c>
    </row>
    <row r="412" spans="1:21" x14ac:dyDescent="0.3">
      <c r="A412" t="s">
        <v>517</v>
      </c>
      <c r="B412" s="2">
        <v>45934</v>
      </c>
      <c r="C412" t="s">
        <v>60</v>
      </c>
      <c r="D412" t="s">
        <v>69</v>
      </c>
      <c r="E412" t="s">
        <v>46</v>
      </c>
      <c r="F412" t="s">
        <v>41</v>
      </c>
      <c r="G412" t="s">
        <v>26</v>
      </c>
      <c r="H412" t="s">
        <v>27</v>
      </c>
      <c r="I412" t="s">
        <v>94</v>
      </c>
      <c r="J412" t="s">
        <v>58</v>
      </c>
      <c r="K412">
        <v>1</v>
      </c>
      <c r="L412">
        <v>113053</v>
      </c>
      <c r="M412">
        <v>0.115</v>
      </c>
      <c r="N412">
        <v>113053</v>
      </c>
      <c r="O412">
        <v>13001.1</v>
      </c>
      <c r="P412">
        <v>100051.9</v>
      </c>
      <c r="Q412">
        <v>4</v>
      </c>
      <c r="R412">
        <v>168</v>
      </c>
      <c r="S412">
        <v>3.7</v>
      </c>
      <c r="T412">
        <v>13</v>
      </c>
      <c r="U412">
        <v>2</v>
      </c>
    </row>
    <row r="413" spans="1:21" x14ac:dyDescent="0.3">
      <c r="A413" t="s">
        <v>518</v>
      </c>
      <c r="B413" s="2">
        <v>45889</v>
      </c>
      <c r="C413" t="s">
        <v>87</v>
      </c>
      <c r="D413" t="s">
        <v>130</v>
      </c>
      <c r="E413" t="s">
        <v>24</v>
      </c>
      <c r="F413" t="s">
        <v>66</v>
      </c>
      <c r="G413" t="s">
        <v>56</v>
      </c>
      <c r="H413" t="s">
        <v>35</v>
      </c>
      <c r="I413" t="s">
        <v>36</v>
      </c>
      <c r="J413" t="s">
        <v>157</v>
      </c>
      <c r="K413">
        <v>1</v>
      </c>
      <c r="L413">
        <v>113188</v>
      </c>
      <c r="M413">
        <v>0.11899999999999999</v>
      </c>
      <c r="N413">
        <v>113188</v>
      </c>
      <c r="O413">
        <v>13469.37</v>
      </c>
      <c r="P413">
        <v>99718.63</v>
      </c>
      <c r="Q413">
        <v>4</v>
      </c>
      <c r="R413">
        <v>174</v>
      </c>
      <c r="S413">
        <v>3.9</v>
      </c>
      <c r="T413">
        <v>12</v>
      </c>
      <c r="U413">
        <v>3</v>
      </c>
    </row>
    <row r="414" spans="1:21" x14ac:dyDescent="0.3">
      <c r="A414" t="s">
        <v>519</v>
      </c>
      <c r="B414" s="2">
        <v>45726</v>
      </c>
      <c r="C414" t="s">
        <v>44</v>
      </c>
      <c r="D414" t="s">
        <v>51</v>
      </c>
      <c r="E414" t="s">
        <v>24</v>
      </c>
      <c r="F414" t="s">
        <v>33</v>
      </c>
      <c r="G414" t="s">
        <v>56</v>
      </c>
      <c r="H414" t="s">
        <v>53</v>
      </c>
      <c r="I414" t="s">
        <v>48</v>
      </c>
      <c r="J414" t="s">
        <v>138</v>
      </c>
      <c r="K414">
        <v>2</v>
      </c>
      <c r="L414">
        <v>129387</v>
      </c>
      <c r="M414">
        <v>4.2999999999999997E-2</v>
      </c>
      <c r="N414">
        <v>258774</v>
      </c>
      <c r="O414">
        <v>11127.28</v>
      </c>
      <c r="P414">
        <v>247646.72</v>
      </c>
      <c r="Q414">
        <v>4</v>
      </c>
      <c r="R414">
        <v>191</v>
      </c>
      <c r="S414">
        <v>4.2</v>
      </c>
      <c r="T414">
        <v>2</v>
      </c>
      <c r="U414">
        <v>2</v>
      </c>
    </row>
    <row r="415" spans="1:21" x14ac:dyDescent="0.3">
      <c r="A415" t="s">
        <v>520</v>
      </c>
      <c r="B415" s="2">
        <v>45774</v>
      </c>
      <c r="C415" t="s">
        <v>87</v>
      </c>
      <c r="D415" t="s">
        <v>130</v>
      </c>
      <c r="E415" t="s">
        <v>46</v>
      </c>
      <c r="F415" t="s">
        <v>41</v>
      </c>
      <c r="G415" t="s">
        <v>67</v>
      </c>
      <c r="H415" t="s">
        <v>27</v>
      </c>
      <c r="I415" t="s">
        <v>48</v>
      </c>
      <c r="J415" t="s">
        <v>89</v>
      </c>
      <c r="K415">
        <v>2</v>
      </c>
      <c r="L415">
        <v>113128</v>
      </c>
      <c r="M415">
        <v>7.1999999999999995E-2</v>
      </c>
      <c r="N415">
        <v>226256</v>
      </c>
      <c r="O415">
        <v>16290.43</v>
      </c>
      <c r="P415">
        <v>209965.57</v>
      </c>
      <c r="Q415">
        <v>2</v>
      </c>
      <c r="R415">
        <v>145</v>
      </c>
      <c r="S415">
        <v>3.4</v>
      </c>
      <c r="T415">
        <v>3</v>
      </c>
      <c r="U415">
        <v>3</v>
      </c>
    </row>
    <row r="416" spans="1:21" x14ac:dyDescent="0.3">
      <c r="A416" t="s">
        <v>521</v>
      </c>
      <c r="B416" s="2">
        <v>45696</v>
      </c>
      <c r="C416" t="s">
        <v>76</v>
      </c>
      <c r="D416" t="s">
        <v>117</v>
      </c>
      <c r="E416" t="s">
        <v>62</v>
      </c>
      <c r="F416" t="s">
        <v>74</v>
      </c>
      <c r="G416" t="s">
        <v>67</v>
      </c>
      <c r="H416" t="s">
        <v>53</v>
      </c>
      <c r="I416" t="s">
        <v>57</v>
      </c>
      <c r="J416" t="s">
        <v>81</v>
      </c>
      <c r="K416">
        <v>4</v>
      </c>
      <c r="L416">
        <v>143299</v>
      </c>
      <c r="M416">
        <v>9.0999999999999998E-2</v>
      </c>
      <c r="N416">
        <v>573196</v>
      </c>
      <c r="O416">
        <v>52160.84</v>
      </c>
      <c r="P416">
        <v>521035.16</v>
      </c>
      <c r="Q416">
        <v>2</v>
      </c>
      <c r="R416">
        <v>153</v>
      </c>
      <c r="S416">
        <v>4.4000000000000004</v>
      </c>
      <c r="T416">
        <v>7</v>
      </c>
      <c r="U416">
        <v>2</v>
      </c>
    </row>
    <row r="417" spans="1:21" x14ac:dyDescent="0.3">
      <c r="A417" t="s">
        <v>522</v>
      </c>
      <c r="B417" s="2">
        <v>45771</v>
      </c>
      <c r="C417" t="s">
        <v>76</v>
      </c>
      <c r="D417" t="s">
        <v>115</v>
      </c>
      <c r="E417" t="s">
        <v>24</v>
      </c>
      <c r="F417" t="s">
        <v>47</v>
      </c>
      <c r="G417" t="s">
        <v>56</v>
      </c>
      <c r="H417" t="s">
        <v>53</v>
      </c>
      <c r="I417" t="s">
        <v>28</v>
      </c>
      <c r="J417" t="s">
        <v>216</v>
      </c>
      <c r="K417">
        <v>2</v>
      </c>
      <c r="L417">
        <v>122825</v>
      </c>
      <c r="M417">
        <v>8.4000000000000005E-2</v>
      </c>
      <c r="N417">
        <v>245650</v>
      </c>
      <c r="O417">
        <v>20634.599999999999</v>
      </c>
      <c r="P417">
        <v>225015.4</v>
      </c>
      <c r="Q417">
        <v>2</v>
      </c>
      <c r="R417">
        <v>125</v>
      </c>
      <c r="S417">
        <v>3.9</v>
      </c>
      <c r="T417">
        <v>11</v>
      </c>
      <c r="U417">
        <v>5</v>
      </c>
    </row>
    <row r="418" spans="1:21" x14ac:dyDescent="0.3">
      <c r="A418" t="s">
        <v>523</v>
      </c>
      <c r="B418" s="2">
        <v>45813</v>
      </c>
      <c r="C418" t="s">
        <v>39</v>
      </c>
      <c r="D418" t="s">
        <v>154</v>
      </c>
      <c r="E418" t="s">
        <v>62</v>
      </c>
      <c r="F418" t="s">
        <v>101</v>
      </c>
      <c r="G418" t="s">
        <v>67</v>
      </c>
      <c r="H418" t="s">
        <v>35</v>
      </c>
      <c r="I418" t="s">
        <v>48</v>
      </c>
      <c r="J418" t="s">
        <v>42</v>
      </c>
      <c r="K418">
        <v>2</v>
      </c>
      <c r="L418">
        <v>186006</v>
      </c>
      <c r="M418">
        <v>4.7E-2</v>
      </c>
      <c r="N418">
        <v>372012</v>
      </c>
      <c r="O418">
        <v>17484.560000000001</v>
      </c>
      <c r="P418">
        <v>354527.44</v>
      </c>
      <c r="Q418">
        <v>5</v>
      </c>
      <c r="R418">
        <v>187</v>
      </c>
      <c r="S418">
        <v>4</v>
      </c>
      <c r="T418">
        <v>5</v>
      </c>
      <c r="U418">
        <v>2</v>
      </c>
    </row>
    <row r="419" spans="1:21" x14ac:dyDescent="0.3">
      <c r="A419" t="s">
        <v>524</v>
      </c>
      <c r="B419" s="2">
        <v>45710</v>
      </c>
      <c r="C419" t="s">
        <v>99</v>
      </c>
      <c r="D419" t="s">
        <v>121</v>
      </c>
      <c r="E419" t="s">
        <v>46</v>
      </c>
      <c r="F419" t="s">
        <v>80</v>
      </c>
      <c r="G419" t="s">
        <v>67</v>
      </c>
      <c r="H419" t="s">
        <v>27</v>
      </c>
      <c r="I419" t="s">
        <v>63</v>
      </c>
      <c r="J419" t="s">
        <v>42</v>
      </c>
      <c r="K419">
        <v>1</v>
      </c>
      <c r="L419">
        <v>104384</v>
      </c>
      <c r="M419">
        <v>0.10199999999999999</v>
      </c>
      <c r="N419">
        <v>104384</v>
      </c>
      <c r="O419">
        <v>10647.17</v>
      </c>
      <c r="P419">
        <v>93736.83</v>
      </c>
      <c r="Q419">
        <v>5</v>
      </c>
      <c r="R419">
        <v>205</v>
      </c>
      <c r="S419">
        <v>3</v>
      </c>
      <c r="T419">
        <v>4</v>
      </c>
      <c r="U419">
        <v>2</v>
      </c>
    </row>
    <row r="420" spans="1:21" x14ac:dyDescent="0.3">
      <c r="A420" t="s">
        <v>525</v>
      </c>
      <c r="B420" s="2">
        <v>45660</v>
      </c>
      <c r="C420" t="s">
        <v>44</v>
      </c>
      <c r="D420" t="s">
        <v>51</v>
      </c>
      <c r="E420" t="s">
        <v>62</v>
      </c>
      <c r="F420" t="s">
        <v>47</v>
      </c>
      <c r="G420" t="s">
        <v>56</v>
      </c>
      <c r="H420" t="s">
        <v>53</v>
      </c>
      <c r="I420" t="s">
        <v>63</v>
      </c>
      <c r="J420" t="s">
        <v>72</v>
      </c>
      <c r="K420">
        <v>3</v>
      </c>
      <c r="L420">
        <v>122928</v>
      </c>
      <c r="M420">
        <v>8.5000000000000006E-2</v>
      </c>
      <c r="N420">
        <v>368784</v>
      </c>
      <c r="O420">
        <v>31346.639999999999</v>
      </c>
      <c r="P420">
        <v>337437.36</v>
      </c>
      <c r="Q420">
        <v>5</v>
      </c>
      <c r="R420">
        <v>179</v>
      </c>
      <c r="S420">
        <v>3.6</v>
      </c>
      <c r="T420">
        <v>3</v>
      </c>
      <c r="U420">
        <v>5</v>
      </c>
    </row>
    <row r="421" spans="1:21" x14ac:dyDescent="0.3">
      <c r="A421" t="s">
        <v>526</v>
      </c>
      <c r="B421" s="2">
        <v>45760</v>
      </c>
      <c r="C421" t="s">
        <v>22</v>
      </c>
      <c r="D421" t="s">
        <v>23</v>
      </c>
      <c r="E421" t="s">
        <v>24</v>
      </c>
      <c r="F421" t="s">
        <v>80</v>
      </c>
      <c r="G421" t="s">
        <v>67</v>
      </c>
      <c r="H421" t="s">
        <v>35</v>
      </c>
      <c r="I421" t="s">
        <v>48</v>
      </c>
      <c r="J421" t="s">
        <v>212</v>
      </c>
      <c r="K421">
        <v>3</v>
      </c>
      <c r="L421">
        <v>125430</v>
      </c>
      <c r="M421">
        <v>7.9000000000000001E-2</v>
      </c>
      <c r="N421">
        <v>376290</v>
      </c>
      <c r="O421">
        <v>29726.91</v>
      </c>
      <c r="P421">
        <v>346563.09</v>
      </c>
      <c r="Q421">
        <v>3</v>
      </c>
      <c r="R421">
        <v>178</v>
      </c>
      <c r="S421">
        <v>4.3</v>
      </c>
      <c r="T421">
        <v>10</v>
      </c>
      <c r="U421">
        <v>3</v>
      </c>
    </row>
    <row r="422" spans="1:21" x14ac:dyDescent="0.3">
      <c r="A422" t="s">
        <v>527</v>
      </c>
      <c r="B422" s="2">
        <v>45742</v>
      </c>
      <c r="C422" t="s">
        <v>44</v>
      </c>
      <c r="D422" t="s">
        <v>51</v>
      </c>
      <c r="E422" t="s">
        <v>24</v>
      </c>
      <c r="F422" t="s">
        <v>101</v>
      </c>
      <c r="G422" t="s">
        <v>34</v>
      </c>
      <c r="H422" t="s">
        <v>53</v>
      </c>
      <c r="I422" t="s">
        <v>28</v>
      </c>
      <c r="J422" t="s">
        <v>143</v>
      </c>
      <c r="K422">
        <v>1</v>
      </c>
      <c r="L422">
        <v>129139</v>
      </c>
      <c r="M422">
        <v>5.6000000000000001E-2</v>
      </c>
      <c r="N422">
        <v>129139</v>
      </c>
      <c r="O422">
        <v>7231.78</v>
      </c>
      <c r="P422">
        <v>121907.22</v>
      </c>
      <c r="Q422">
        <v>3</v>
      </c>
      <c r="R422">
        <v>180</v>
      </c>
      <c r="S422">
        <v>3.6</v>
      </c>
      <c r="T422">
        <v>14</v>
      </c>
      <c r="U422">
        <v>3</v>
      </c>
    </row>
    <row r="423" spans="1:21" x14ac:dyDescent="0.3">
      <c r="A423" t="s">
        <v>528</v>
      </c>
      <c r="B423" s="2">
        <v>45914</v>
      </c>
      <c r="C423" t="s">
        <v>39</v>
      </c>
      <c r="D423" t="s">
        <v>154</v>
      </c>
      <c r="E423" t="s">
        <v>62</v>
      </c>
      <c r="F423" t="s">
        <v>80</v>
      </c>
      <c r="G423" t="s">
        <v>26</v>
      </c>
      <c r="H423" t="s">
        <v>27</v>
      </c>
      <c r="I423" t="s">
        <v>28</v>
      </c>
      <c r="J423" t="s">
        <v>58</v>
      </c>
      <c r="K423">
        <v>1</v>
      </c>
      <c r="L423">
        <v>172720</v>
      </c>
      <c r="M423">
        <v>9.1999999999999998E-2</v>
      </c>
      <c r="N423">
        <v>172720</v>
      </c>
      <c r="O423">
        <v>15890.24</v>
      </c>
      <c r="P423">
        <v>156829.76000000001</v>
      </c>
      <c r="Q423">
        <v>5</v>
      </c>
      <c r="R423">
        <v>199</v>
      </c>
      <c r="S423">
        <v>4.3</v>
      </c>
      <c r="T423">
        <v>3</v>
      </c>
      <c r="U423">
        <v>3</v>
      </c>
    </row>
    <row r="424" spans="1:21" x14ac:dyDescent="0.3">
      <c r="A424" t="s">
        <v>529</v>
      </c>
      <c r="B424" s="2">
        <v>45874</v>
      </c>
      <c r="C424" t="s">
        <v>87</v>
      </c>
      <c r="D424" t="s">
        <v>88</v>
      </c>
      <c r="E424" t="s">
        <v>24</v>
      </c>
      <c r="F424" t="s">
        <v>47</v>
      </c>
      <c r="G424" t="s">
        <v>67</v>
      </c>
      <c r="H424" t="s">
        <v>53</v>
      </c>
      <c r="I424" t="s">
        <v>57</v>
      </c>
      <c r="J424" t="s">
        <v>143</v>
      </c>
      <c r="K424">
        <v>4</v>
      </c>
      <c r="L424">
        <v>146106</v>
      </c>
      <c r="M424">
        <v>7.4999999999999997E-2</v>
      </c>
      <c r="N424">
        <v>584424</v>
      </c>
      <c r="O424">
        <v>43831.8</v>
      </c>
      <c r="P424">
        <v>540592.19999999995</v>
      </c>
      <c r="Q424">
        <v>3</v>
      </c>
      <c r="R424">
        <v>170</v>
      </c>
      <c r="S424">
        <v>4.4000000000000004</v>
      </c>
      <c r="T424">
        <v>5</v>
      </c>
      <c r="U424">
        <v>3</v>
      </c>
    </row>
    <row r="425" spans="1:21" x14ac:dyDescent="0.3">
      <c r="A425" t="s">
        <v>530</v>
      </c>
      <c r="B425" s="2">
        <v>45942</v>
      </c>
      <c r="C425" t="s">
        <v>87</v>
      </c>
      <c r="D425" t="s">
        <v>88</v>
      </c>
      <c r="E425" t="s">
        <v>24</v>
      </c>
      <c r="F425" t="s">
        <v>25</v>
      </c>
      <c r="G425" t="s">
        <v>67</v>
      </c>
      <c r="H425" t="s">
        <v>53</v>
      </c>
      <c r="I425" t="s">
        <v>57</v>
      </c>
      <c r="J425" t="s">
        <v>37</v>
      </c>
      <c r="K425">
        <v>2</v>
      </c>
      <c r="L425">
        <v>159261</v>
      </c>
      <c r="M425">
        <v>3.9E-2</v>
      </c>
      <c r="N425">
        <v>318522</v>
      </c>
      <c r="O425">
        <v>12422.36</v>
      </c>
      <c r="P425">
        <v>306099.64</v>
      </c>
      <c r="Q425">
        <v>3</v>
      </c>
      <c r="R425">
        <v>162</v>
      </c>
      <c r="S425">
        <v>4.4000000000000004</v>
      </c>
      <c r="T425">
        <v>14</v>
      </c>
      <c r="U425">
        <v>3</v>
      </c>
    </row>
    <row r="426" spans="1:21" x14ac:dyDescent="0.3">
      <c r="A426" t="s">
        <v>531</v>
      </c>
      <c r="B426" s="2">
        <v>45873</v>
      </c>
      <c r="C426" t="s">
        <v>22</v>
      </c>
      <c r="D426" t="s">
        <v>107</v>
      </c>
      <c r="E426" t="s">
        <v>24</v>
      </c>
      <c r="F426" t="s">
        <v>41</v>
      </c>
      <c r="G426" t="s">
        <v>67</v>
      </c>
      <c r="H426" t="s">
        <v>35</v>
      </c>
      <c r="I426" t="s">
        <v>48</v>
      </c>
      <c r="J426" t="s">
        <v>118</v>
      </c>
      <c r="K426">
        <v>5</v>
      </c>
      <c r="L426">
        <v>140238</v>
      </c>
      <c r="M426">
        <v>4.5999999999999999E-2</v>
      </c>
      <c r="N426">
        <v>701190</v>
      </c>
      <c r="O426">
        <v>32254.74</v>
      </c>
      <c r="P426">
        <v>668935.26</v>
      </c>
      <c r="Q426">
        <v>5</v>
      </c>
      <c r="R426">
        <v>211</v>
      </c>
      <c r="S426">
        <v>4.5999999999999996</v>
      </c>
      <c r="T426">
        <v>11</v>
      </c>
      <c r="U426">
        <v>5</v>
      </c>
    </row>
    <row r="427" spans="1:21" x14ac:dyDescent="0.3">
      <c r="A427" t="s">
        <v>532</v>
      </c>
      <c r="B427" s="2">
        <v>45730</v>
      </c>
      <c r="C427" t="s">
        <v>99</v>
      </c>
      <c r="D427" t="s">
        <v>141</v>
      </c>
      <c r="E427" t="s">
        <v>24</v>
      </c>
      <c r="F427" t="s">
        <v>47</v>
      </c>
      <c r="G427" t="s">
        <v>56</v>
      </c>
      <c r="H427" t="s">
        <v>27</v>
      </c>
      <c r="I427" t="s">
        <v>36</v>
      </c>
      <c r="J427" t="s">
        <v>109</v>
      </c>
      <c r="K427">
        <v>4</v>
      </c>
      <c r="L427">
        <v>150469</v>
      </c>
      <c r="M427">
        <v>8.3000000000000004E-2</v>
      </c>
      <c r="N427">
        <v>601876</v>
      </c>
      <c r="O427">
        <v>49955.71</v>
      </c>
      <c r="P427">
        <v>551920.29</v>
      </c>
      <c r="Q427">
        <v>3</v>
      </c>
      <c r="R427">
        <v>186</v>
      </c>
      <c r="S427">
        <v>4.7</v>
      </c>
      <c r="T427">
        <v>3</v>
      </c>
      <c r="U427">
        <v>3</v>
      </c>
    </row>
    <row r="428" spans="1:21" x14ac:dyDescent="0.3">
      <c r="A428" t="s">
        <v>533</v>
      </c>
      <c r="B428" s="2">
        <v>45760</v>
      </c>
      <c r="C428" t="s">
        <v>60</v>
      </c>
      <c r="D428" t="s">
        <v>61</v>
      </c>
      <c r="E428" t="s">
        <v>24</v>
      </c>
      <c r="F428" t="s">
        <v>101</v>
      </c>
      <c r="G428" t="s">
        <v>67</v>
      </c>
      <c r="H428" t="s">
        <v>53</v>
      </c>
      <c r="I428" t="s">
        <v>48</v>
      </c>
      <c r="J428" t="s">
        <v>72</v>
      </c>
      <c r="K428">
        <v>5</v>
      </c>
      <c r="L428">
        <v>112929</v>
      </c>
      <c r="M428">
        <v>2.1999999999999999E-2</v>
      </c>
      <c r="N428">
        <v>564645</v>
      </c>
      <c r="O428">
        <v>12422.19</v>
      </c>
      <c r="P428">
        <v>552222.81000000006</v>
      </c>
      <c r="Q428">
        <v>3</v>
      </c>
      <c r="R428">
        <v>171</v>
      </c>
      <c r="S428">
        <v>3.8</v>
      </c>
      <c r="T428">
        <v>8</v>
      </c>
      <c r="U428">
        <v>5</v>
      </c>
    </row>
    <row r="429" spans="1:21" x14ac:dyDescent="0.3">
      <c r="A429" t="s">
        <v>534</v>
      </c>
      <c r="B429" s="2">
        <v>45673</v>
      </c>
      <c r="C429" t="s">
        <v>31</v>
      </c>
      <c r="D429" t="s">
        <v>32</v>
      </c>
      <c r="E429" t="s">
        <v>62</v>
      </c>
      <c r="F429" t="s">
        <v>25</v>
      </c>
      <c r="G429" t="s">
        <v>56</v>
      </c>
      <c r="H429" t="s">
        <v>53</v>
      </c>
      <c r="I429" t="s">
        <v>48</v>
      </c>
      <c r="J429" t="s">
        <v>138</v>
      </c>
      <c r="K429">
        <v>3</v>
      </c>
      <c r="L429">
        <v>107302</v>
      </c>
      <c r="M429">
        <v>0.11</v>
      </c>
      <c r="N429">
        <v>321906</v>
      </c>
      <c r="O429">
        <v>35409.660000000003</v>
      </c>
      <c r="P429">
        <v>286496.34000000003</v>
      </c>
      <c r="Q429">
        <v>4</v>
      </c>
      <c r="R429">
        <v>194</v>
      </c>
      <c r="S429">
        <v>3.9</v>
      </c>
      <c r="T429">
        <v>11</v>
      </c>
      <c r="U429">
        <v>5</v>
      </c>
    </row>
    <row r="430" spans="1:21" x14ac:dyDescent="0.3">
      <c r="A430" t="s">
        <v>535</v>
      </c>
      <c r="B430" s="2">
        <v>45760</v>
      </c>
      <c r="C430" t="s">
        <v>99</v>
      </c>
      <c r="D430" t="s">
        <v>100</v>
      </c>
      <c r="E430" t="s">
        <v>62</v>
      </c>
      <c r="F430" t="s">
        <v>47</v>
      </c>
      <c r="G430" t="s">
        <v>67</v>
      </c>
      <c r="H430" t="s">
        <v>35</v>
      </c>
      <c r="I430" t="s">
        <v>36</v>
      </c>
      <c r="J430" t="s">
        <v>81</v>
      </c>
      <c r="K430">
        <v>4</v>
      </c>
      <c r="L430">
        <v>108992</v>
      </c>
      <c r="M430">
        <v>0.10299999999999999</v>
      </c>
      <c r="N430">
        <v>435968</v>
      </c>
      <c r="O430">
        <v>44904.7</v>
      </c>
      <c r="P430">
        <v>391063.3</v>
      </c>
      <c r="Q430">
        <v>3</v>
      </c>
      <c r="R430">
        <v>170</v>
      </c>
      <c r="T430">
        <v>2</v>
      </c>
      <c r="U430">
        <v>2</v>
      </c>
    </row>
    <row r="431" spans="1:21" x14ac:dyDescent="0.3">
      <c r="A431" t="s">
        <v>536</v>
      </c>
      <c r="B431" s="2">
        <v>45821</v>
      </c>
      <c r="C431" t="s">
        <v>99</v>
      </c>
      <c r="D431" t="s">
        <v>141</v>
      </c>
      <c r="E431" t="s">
        <v>24</v>
      </c>
      <c r="F431" t="s">
        <v>33</v>
      </c>
      <c r="G431" t="s">
        <v>67</v>
      </c>
      <c r="H431" t="s">
        <v>53</v>
      </c>
      <c r="I431" t="s">
        <v>63</v>
      </c>
      <c r="J431" t="s">
        <v>109</v>
      </c>
      <c r="K431">
        <v>1</v>
      </c>
      <c r="L431">
        <v>141809</v>
      </c>
      <c r="M431">
        <v>6.7000000000000004E-2</v>
      </c>
      <c r="N431">
        <v>141809</v>
      </c>
      <c r="O431">
        <v>9501.2000000000007</v>
      </c>
      <c r="P431">
        <v>132307.79999999999</v>
      </c>
      <c r="Q431">
        <v>2</v>
      </c>
      <c r="R431">
        <v>139</v>
      </c>
      <c r="S431">
        <v>4.5999999999999996</v>
      </c>
      <c r="T431">
        <v>8</v>
      </c>
      <c r="U431">
        <v>2</v>
      </c>
    </row>
    <row r="432" spans="1:21" x14ac:dyDescent="0.3">
      <c r="A432" t="s">
        <v>537</v>
      </c>
      <c r="B432" s="2">
        <v>45766</v>
      </c>
      <c r="C432" t="s">
        <v>31</v>
      </c>
      <c r="D432" t="s">
        <v>97</v>
      </c>
      <c r="E432" t="s">
        <v>24</v>
      </c>
      <c r="F432" t="s">
        <v>47</v>
      </c>
      <c r="G432" t="s">
        <v>67</v>
      </c>
      <c r="H432" t="s">
        <v>35</v>
      </c>
      <c r="I432" t="s">
        <v>94</v>
      </c>
      <c r="J432" t="s">
        <v>109</v>
      </c>
      <c r="K432">
        <v>1</v>
      </c>
      <c r="L432">
        <v>123976</v>
      </c>
      <c r="M432">
        <v>3.6999999999999998E-2</v>
      </c>
      <c r="N432">
        <v>123976</v>
      </c>
      <c r="O432">
        <v>4587.1099999999997</v>
      </c>
      <c r="P432">
        <v>119388.89</v>
      </c>
      <c r="Q432">
        <v>5</v>
      </c>
      <c r="R432">
        <v>194</v>
      </c>
      <c r="S432">
        <v>4.5999999999999996</v>
      </c>
      <c r="T432">
        <v>10</v>
      </c>
      <c r="U432">
        <v>3</v>
      </c>
    </row>
    <row r="433" spans="1:21" x14ac:dyDescent="0.3">
      <c r="A433" t="s">
        <v>538</v>
      </c>
      <c r="B433" s="2">
        <v>45930</v>
      </c>
      <c r="C433" t="s">
        <v>99</v>
      </c>
      <c r="D433" t="s">
        <v>141</v>
      </c>
      <c r="E433" t="s">
        <v>62</v>
      </c>
      <c r="F433" t="s">
        <v>101</v>
      </c>
      <c r="G433" t="s">
        <v>56</v>
      </c>
      <c r="H433" t="s">
        <v>27</v>
      </c>
      <c r="I433" t="s">
        <v>63</v>
      </c>
      <c r="J433" t="s">
        <v>81</v>
      </c>
      <c r="K433">
        <v>4</v>
      </c>
      <c r="L433">
        <v>142762</v>
      </c>
      <c r="M433">
        <v>0.10299999999999999</v>
      </c>
      <c r="N433">
        <v>571048</v>
      </c>
      <c r="O433">
        <v>58817.94</v>
      </c>
      <c r="P433">
        <v>512230.06</v>
      </c>
      <c r="Q433">
        <v>5</v>
      </c>
      <c r="R433">
        <v>206</v>
      </c>
      <c r="S433">
        <v>3.7</v>
      </c>
      <c r="T433">
        <v>12</v>
      </c>
      <c r="U433">
        <v>2</v>
      </c>
    </row>
    <row r="434" spans="1:21" x14ac:dyDescent="0.3">
      <c r="A434" t="s">
        <v>539</v>
      </c>
      <c r="B434" s="2">
        <v>45954</v>
      </c>
      <c r="C434" t="s">
        <v>99</v>
      </c>
      <c r="D434" t="s">
        <v>121</v>
      </c>
      <c r="E434" t="s">
        <v>46</v>
      </c>
      <c r="F434" t="s">
        <v>101</v>
      </c>
      <c r="G434" t="s">
        <v>26</v>
      </c>
      <c r="H434" t="s">
        <v>27</v>
      </c>
      <c r="I434" t="s">
        <v>63</v>
      </c>
      <c r="J434" t="s">
        <v>92</v>
      </c>
      <c r="K434">
        <v>3</v>
      </c>
      <c r="L434">
        <v>112079</v>
      </c>
      <c r="M434">
        <v>5.8000000000000003E-2</v>
      </c>
      <c r="N434">
        <v>336237</v>
      </c>
      <c r="O434">
        <v>19501.75</v>
      </c>
      <c r="P434">
        <v>316735.25</v>
      </c>
      <c r="Q434">
        <v>4</v>
      </c>
      <c r="R434">
        <v>161</v>
      </c>
      <c r="S434">
        <v>3.2</v>
      </c>
      <c r="T434">
        <v>4</v>
      </c>
      <c r="U434">
        <v>2</v>
      </c>
    </row>
    <row r="435" spans="1:21" x14ac:dyDescent="0.3">
      <c r="A435" t="s">
        <v>540</v>
      </c>
      <c r="B435" s="2">
        <v>46019</v>
      </c>
      <c r="C435" t="s">
        <v>60</v>
      </c>
      <c r="D435" t="s">
        <v>69</v>
      </c>
      <c r="E435" t="s">
        <v>24</v>
      </c>
      <c r="F435" t="s">
        <v>52</v>
      </c>
      <c r="G435" t="s">
        <v>26</v>
      </c>
      <c r="H435" t="s">
        <v>53</v>
      </c>
      <c r="I435" t="s">
        <v>94</v>
      </c>
      <c r="J435" t="s">
        <v>203</v>
      </c>
      <c r="K435">
        <v>2</v>
      </c>
      <c r="L435">
        <v>102416</v>
      </c>
      <c r="M435">
        <v>2.7E-2</v>
      </c>
      <c r="N435">
        <v>204832</v>
      </c>
      <c r="O435">
        <v>5530.46</v>
      </c>
      <c r="P435">
        <v>199301.54</v>
      </c>
      <c r="Q435">
        <v>3</v>
      </c>
      <c r="R435">
        <v>166</v>
      </c>
      <c r="S435">
        <v>4.4000000000000004</v>
      </c>
      <c r="T435">
        <v>10</v>
      </c>
      <c r="U435">
        <v>5</v>
      </c>
    </row>
    <row r="436" spans="1:21" x14ac:dyDescent="0.3">
      <c r="A436" t="s">
        <v>541</v>
      </c>
      <c r="B436" s="2">
        <v>45829</v>
      </c>
      <c r="C436" t="s">
        <v>99</v>
      </c>
      <c r="D436" t="s">
        <v>100</v>
      </c>
      <c r="E436" t="s">
        <v>46</v>
      </c>
      <c r="F436" t="s">
        <v>70</v>
      </c>
      <c r="G436" t="s">
        <v>26</v>
      </c>
      <c r="H436" t="s">
        <v>53</v>
      </c>
      <c r="I436" t="s">
        <v>36</v>
      </c>
      <c r="J436" t="s">
        <v>78</v>
      </c>
      <c r="K436">
        <v>4</v>
      </c>
      <c r="L436">
        <v>123160</v>
      </c>
      <c r="M436">
        <v>0.11799999999999999</v>
      </c>
      <c r="N436">
        <v>492640</v>
      </c>
      <c r="O436">
        <v>58131.519999999997</v>
      </c>
      <c r="P436">
        <v>434508.48</v>
      </c>
      <c r="Q436">
        <v>5</v>
      </c>
      <c r="R436">
        <v>209</v>
      </c>
      <c r="S436">
        <v>4.2</v>
      </c>
      <c r="T436">
        <v>5</v>
      </c>
      <c r="U436">
        <v>3</v>
      </c>
    </row>
    <row r="437" spans="1:21" x14ac:dyDescent="0.3">
      <c r="A437" t="s">
        <v>542</v>
      </c>
      <c r="B437" s="2">
        <v>45749</v>
      </c>
      <c r="C437" t="s">
        <v>87</v>
      </c>
      <c r="D437" t="s">
        <v>130</v>
      </c>
      <c r="E437" t="s">
        <v>24</v>
      </c>
      <c r="F437" t="s">
        <v>33</v>
      </c>
      <c r="G437" t="s">
        <v>26</v>
      </c>
      <c r="H437" t="s">
        <v>53</v>
      </c>
      <c r="I437" t="s">
        <v>94</v>
      </c>
      <c r="J437" t="s">
        <v>49</v>
      </c>
      <c r="K437">
        <v>1</v>
      </c>
      <c r="L437">
        <v>104693</v>
      </c>
      <c r="M437">
        <v>9.7000000000000003E-2</v>
      </c>
      <c r="N437">
        <v>104693</v>
      </c>
      <c r="O437">
        <v>10155.219999999999</v>
      </c>
      <c r="P437">
        <v>94537.78</v>
      </c>
      <c r="Q437">
        <v>4</v>
      </c>
      <c r="R437">
        <v>182</v>
      </c>
      <c r="S437">
        <v>4</v>
      </c>
      <c r="T437">
        <v>4</v>
      </c>
      <c r="U437">
        <v>3</v>
      </c>
    </row>
    <row r="438" spans="1:21" x14ac:dyDescent="0.3">
      <c r="A438" t="s">
        <v>543</v>
      </c>
      <c r="B438" s="2">
        <v>45719</v>
      </c>
      <c r="C438" t="s">
        <v>76</v>
      </c>
      <c r="D438" t="s">
        <v>115</v>
      </c>
      <c r="E438" t="s">
        <v>46</v>
      </c>
      <c r="F438" t="s">
        <v>25</v>
      </c>
      <c r="G438" t="s">
        <v>26</v>
      </c>
      <c r="H438" t="s">
        <v>27</v>
      </c>
      <c r="I438" t="s">
        <v>36</v>
      </c>
      <c r="J438" t="s">
        <v>83</v>
      </c>
      <c r="K438">
        <v>1</v>
      </c>
      <c r="L438">
        <v>131565</v>
      </c>
      <c r="M438">
        <v>9.0999999999999998E-2</v>
      </c>
      <c r="N438">
        <v>131565</v>
      </c>
      <c r="O438">
        <v>11972.41</v>
      </c>
      <c r="P438">
        <v>119592.59</v>
      </c>
      <c r="Q438">
        <v>5</v>
      </c>
      <c r="R438">
        <v>215</v>
      </c>
      <c r="S438">
        <v>4.5</v>
      </c>
      <c r="T438">
        <v>3</v>
      </c>
      <c r="U438">
        <v>3</v>
      </c>
    </row>
    <row r="439" spans="1:21" x14ac:dyDescent="0.3">
      <c r="A439" t="s">
        <v>544</v>
      </c>
      <c r="B439" s="2">
        <v>45828</v>
      </c>
      <c r="C439" t="s">
        <v>31</v>
      </c>
      <c r="D439" t="s">
        <v>32</v>
      </c>
      <c r="E439" t="s">
        <v>46</v>
      </c>
      <c r="F439" t="s">
        <v>52</v>
      </c>
      <c r="G439" t="s">
        <v>67</v>
      </c>
      <c r="H439" t="s">
        <v>27</v>
      </c>
      <c r="I439" t="s">
        <v>63</v>
      </c>
      <c r="J439" t="s">
        <v>54</v>
      </c>
      <c r="K439">
        <v>1</v>
      </c>
      <c r="L439">
        <v>114993</v>
      </c>
      <c r="M439">
        <v>7.0000000000000007E-2</v>
      </c>
      <c r="N439">
        <v>114993</v>
      </c>
      <c r="O439">
        <v>8049.51</v>
      </c>
      <c r="P439">
        <v>106943.49</v>
      </c>
      <c r="Q439">
        <v>3</v>
      </c>
      <c r="R439">
        <v>143</v>
      </c>
      <c r="S439">
        <v>4.4000000000000004</v>
      </c>
      <c r="T439">
        <v>4</v>
      </c>
      <c r="U439">
        <v>3</v>
      </c>
    </row>
    <row r="440" spans="1:21" x14ac:dyDescent="0.3">
      <c r="A440" t="s">
        <v>545</v>
      </c>
      <c r="B440" s="2">
        <v>45955</v>
      </c>
      <c r="C440" t="s">
        <v>99</v>
      </c>
      <c r="D440" t="s">
        <v>141</v>
      </c>
      <c r="E440" t="s">
        <v>24</v>
      </c>
      <c r="F440" t="s">
        <v>25</v>
      </c>
      <c r="G440" t="s">
        <v>56</v>
      </c>
      <c r="H440" t="s">
        <v>27</v>
      </c>
      <c r="I440" t="s">
        <v>48</v>
      </c>
      <c r="J440" t="s">
        <v>138</v>
      </c>
      <c r="K440">
        <v>3</v>
      </c>
      <c r="L440">
        <v>145613</v>
      </c>
      <c r="M440">
        <v>4.4999999999999998E-2</v>
      </c>
      <c r="N440">
        <v>436839</v>
      </c>
      <c r="O440">
        <v>19657.759999999998</v>
      </c>
      <c r="P440">
        <v>417181.24</v>
      </c>
      <c r="Q440">
        <v>5</v>
      </c>
      <c r="R440">
        <v>204</v>
      </c>
      <c r="S440">
        <v>3.6</v>
      </c>
      <c r="T440">
        <v>5</v>
      </c>
      <c r="U440">
        <v>3</v>
      </c>
    </row>
    <row r="441" spans="1:21" x14ac:dyDescent="0.3">
      <c r="A441" t="s">
        <v>546</v>
      </c>
      <c r="B441" s="2">
        <v>45687</v>
      </c>
      <c r="C441" t="s">
        <v>22</v>
      </c>
      <c r="D441" t="s">
        <v>107</v>
      </c>
      <c r="E441" t="s">
        <v>62</v>
      </c>
      <c r="F441" t="s">
        <v>52</v>
      </c>
      <c r="G441" t="s">
        <v>34</v>
      </c>
      <c r="H441" t="s">
        <v>27</v>
      </c>
      <c r="I441" t="s">
        <v>63</v>
      </c>
      <c r="J441" t="s">
        <v>49</v>
      </c>
      <c r="K441">
        <v>1</v>
      </c>
      <c r="L441">
        <v>134785</v>
      </c>
      <c r="M441">
        <v>0.11600000000000001</v>
      </c>
      <c r="N441">
        <v>134785</v>
      </c>
      <c r="O441">
        <v>15635.06</v>
      </c>
      <c r="P441">
        <v>119149.94</v>
      </c>
      <c r="Q441">
        <v>5</v>
      </c>
      <c r="R441">
        <v>196</v>
      </c>
      <c r="S441">
        <v>4.5999999999999996</v>
      </c>
      <c r="T441">
        <v>9</v>
      </c>
      <c r="U441">
        <v>5</v>
      </c>
    </row>
    <row r="442" spans="1:21" x14ac:dyDescent="0.3">
      <c r="A442" t="s">
        <v>547</v>
      </c>
      <c r="B442" s="2">
        <v>45827</v>
      </c>
      <c r="C442" t="s">
        <v>39</v>
      </c>
      <c r="D442" t="s">
        <v>154</v>
      </c>
      <c r="E442" t="s">
        <v>24</v>
      </c>
      <c r="F442" t="s">
        <v>25</v>
      </c>
      <c r="G442" t="s">
        <v>67</v>
      </c>
      <c r="H442" t="s">
        <v>53</v>
      </c>
      <c r="I442" t="s">
        <v>48</v>
      </c>
      <c r="J442" t="s">
        <v>131</v>
      </c>
      <c r="K442">
        <v>3</v>
      </c>
      <c r="L442">
        <v>188009</v>
      </c>
      <c r="M442">
        <v>3.5000000000000003E-2</v>
      </c>
      <c r="N442">
        <v>564027</v>
      </c>
      <c r="O442">
        <v>19740.95</v>
      </c>
      <c r="P442">
        <v>544286.05000000005</v>
      </c>
      <c r="Q442">
        <v>5</v>
      </c>
      <c r="R442">
        <v>186</v>
      </c>
      <c r="S442">
        <v>3.9</v>
      </c>
      <c r="T442">
        <v>9</v>
      </c>
      <c r="U442">
        <v>2</v>
      </c>
    </row>
    <row r="443" spans="1:21" x14ac:dyDescent="0.3">
      <c r="A443" t="s">
        <v>548</v>
      </c>
      <c r="B443" s="2">
        <v>45926</v>
      </c>
      <c r="C443" t="s">
        <v>87</v>
      </c>
      <c r="D443" t="s">
        <v>130</v>
      </c>
      <c r="E443" t="s">
        <v>24</v>
      </c>
      <c r="G443" t="s">
        <v>67</v>
      </c>
      <c r="H443" t="s">
        <v>27</v>
      </c>
      <c r="I443" t="s">
        <v>28</v>
      </c>
      <c r="J443" t="s">
        <v>212</v>
      </c>
      <c r="K443">
        <v>1</v>
      </c>
      <c r="L443">
        <v>111735</v>
      </c>
      <c r="M443">
        <v>2.5000000000000001E-2</v>
      </c>
      <c r="N443">
        <v>111735</v>
      </c>
      <c r="O443">
        <v>2793.38</v>
      </c>
      <c r="P443">
        <v>108941.62</v>
      </c>
      <c r="Q443">
        <v>4</v>
      </c>
      <c r="R443">
        <v>182</v>
      </c>
      <c r="S443">
        <v>5</v>
      </c>
      <c r="T443">
        <v>2</v>
      </c>
      <c r="U443">
        <v>2</v>
      </c>
    </row>
    <row r="444" spans="1:21" x14ac:dyDescent="0.3">
      <c r="A444" t="s">
        <v>549</v>
      </c>
      <c r="B444" s="2">
        <v>45873</v>
      </c>
      <c r="C444" t="s">
        <v>87</v>
      </c>
      <c r="D444" t="s">
        <v>88</v>
      </c>
      <c r="E444" t="s">
        <v>24</v>
      </c>
      <c r="F444" t="s">
        <v>101</v>
      </c>
      <c r="G444" t="s">
        <v>56</v>
      </c>
      <c r="H444" t="s">
        <v>35</v>
      </c>
      <c r="I444" t="s">
        <v>28</v>
      </c>
      <c r="J444" t="s">
        <v>109</v>
      </c>
      <c r="K444">
        <v>2</v>
      </c>
      <c r="L444">
        <v>156105</v>
      </c>
      <c r="M444">
        <v>8.2000000000000003E-2</v>
      </c>
      <c r="N444">
        <v>312210</v>
      </c>
      <c r="O444">
        <v>25601.22</v>
      </c>
      <c r="P444">
        <v>286608.78000000003</v>
      </c>
      <c r="Q444">
        <v>2</v>
      </c>
      <c r="R444">
        <v>137</v>
      </c>
      <c r="S444">
        <v>3.7</v>
      </c>
      <c r="T444">
        <v>7</v>
      </c>
      <c r="U444">
        <v>3</v>
      </c>
    </row>
    <row r="445" spans="1:21" x14ac:dyDescent="0.3">
      <c r="A445" t="s">
        <v>550</v>
      </c>
      <c r="B445" s="2">
        <v>45761</v>
      </c>
      <c r="C445" t="s">
        <v>39</v>
      </c>
      <c r="D445" t="s">
        <v>40</v>
      </c>
      <c r="E445" t="s">
        <v>46</v>
      </c>
      <c r="F445" t="s">
        <v>47</v>
      </c>
      <c r="G445" t="s">
        <v>56</v>
      </c>
      <c r="H445" t="s">
        <v>27</v>
      </c>
      <c r="I445" t="s">
        <v>48</v>
      </c>
      <c r="J445" t="s">
        <v>72</v>
      </c>
      <c r="K445">
        <v>1</v>
      </c>
      <c r="L445">
        <v>128401</v>
      </c>
      <c r="M445">
        <v>6.5000000000000002E-2</v>
      </c>
      <c r="N445">
        <v>128401</v>
      </c>
      <c r="O445">
        <v>8346.07</v>
      </c>
      <c r="P445">
        <v>120054.93</v>
      </c>
      <c r="Q445">
        <v>4</v>
      </c>
      <c r="R445">
        <v>175</v>
      </c>
      <c r="S445">
        <v>3.9</v>
      </c>
      <c r="T445">
        <v>3</v>
      </c>
      <c r="U445">
        <v>2</v>
      </c>
    </row>
    <row r="446" spans="1:21" x14ac:dyDescent="0.3">
      <c r="A446" t="s">
        <v>551</v>
      </c>
      <c r="B446" s="2">
        <v>45777</v>
      </c>
      <c r="C446" t="s">
        <v>87</v>
      </c>
      <c r="D446" t="s">
        <v>130</v>
      </c>
      <c r="E446" t="s">
        <v>62</v>
      </c>
      <c r="F446" t="s">
        <v>70</v>
      </c>
      <c r="G446" t="s">
        <v>26</v>
      </c>
      <c r="H446" t="s">
        <v>53</v>
      </c>
      <c r="I446" t="s">
        <v>57</v>
      </c>
      <c r="J446" t="s">
        <v>58</v>
      </c>
      <c r="K446">
        <v>4</v>
      </c>
      <c r="L446">
        <v>108924</v>
      </c>
      <c r="M446">
        <v>8.3000000000000004E-2</v>
      </c>
      <c r="N446">
        <v>435696</v>
      </c>
      <c r="O446">
        <v>36162.769999999997</v>
      </c>
      <c r="P446">
        <v>399533.23</v>
      </c>
      <c r="Q446">
        <v>4</v>
      </c>
      <c r="R446">
        <v>160</v>
      </c>
      <c r="S446">
        <v>3.8</v>
      </c>
      <c r="T446">
        <v>13</v>
      </c>
      <c r="U446">
        <v>2</v>
      </c>
    </row>
    <row r="447" spans="1:21" x14ac:dyDescent="0.3">
      <c r="A447" t="s">
        <v>552</v>
      </c>
      <c r="B447" s="2">
        <v>45686</v>
      </c>
      <c r="C447" t="s">
        <v>44</v>
      </c>
      <c r="D447" t="s">
        <v>45</v>
      </c>
      <c r="E447" t="s">
        <v>24</v>
      </c>
      <c r="F447" t="s">
        <v>101</v>
      </c>
      <c r="G447" t="s">
        <v>67</v>
      </c>
      <c r="H447" t="s">
        <v>35</v>
      </c>
      <c r="I447" t="s">
        <v>48</v>
      </c>
      <c r="J447" t="s">
        <v>92</v>
      </c>
      <c r="K447">
        <v>4</v>
      </c>
      <c r="L447">
        <v>142651</v>
      </c>
      <c r="M447">
        <v>5.2999999999999999E-2</v>
      </c>
      <c r="N447">
        <v>570604</v>
      </c>
      <c r="O447">
        <v>30242.01</v>
      </c>
      <c r="P447">
        <v>540361.99</v>
      </c>
      <c r="Q447">
        <v>3</v>
      </c>
      <c r="R447">
        <v>174</v>
      </c>
      <c r="S447">
        <v>4.5999999999999996</v>
      </c>
      <c r="T447">
        <v>14</v>
      </c>
      <c r="U447">
        <v>5</v>
      </c>
    </row>
    <row r="448" spans="1:21" x14ac:dyDescent="0.3">
      <c r="A448" t="s">
        <v>553</v>
      </c>
      <c r="B448" s="2">
        <v>45721</v>
      </c>
      <c r="C448" t="s">
        <v>31</v>
      </c>
      <c r="D448" t="s">
        <v>32</v>
      </c>
      <c r="E448" t="s">
        <v>46</v>
      </c>
      <c r="F448" t="s">
        <v>74</v>
      </c>
      <c r="G448" t="s">
        <v>67</v>
      </c>
      <c r="H448" t="s">
        <v>35</v>
      </c>
      <c r="I448" t="s">
        <v>28</v>
      </c>
      <c r="J448" t="s">
        <v>157</v>
      </c>
      <c r="K448">
        <v>1</v>
      </c>
      <c r="L448">
        <v>107540</v>
      </c>
      <c r="M448">
        <v>0.12</v>
      </c>
      <c r="N448">
        <v>107540</v>
      </c>
      <c r="O448">
        <v>12904.8</v>
      </c>
      <c r="P448">
        <v>94635.199999999997</v>
      </c>
      <c r="Q448">
        <v>5</v>
      </c>
      <c r="R448">
        <v>203</v>
      </c>
      <c r="S448">
        <v>4.0999999999999996</v>
      </c>
      <c r="T448">
        <v>11</v>
      </c>
      <c r="U448">
        <v>3</v>
      </c>
    </row>
    <row r="449" spans="1:21" x14ac:dyDescent="0.3">
      <c r="A449" t="s">
        <v>554</v>
      </c>
      <c r="B449" s="2">
        <v>45951</v>
      </c>
      <c r="C449" t="s">
        <v>99</v>
      </c>
      <c r="D449" t="s">
        <v>141</v>
      </c>
      <c r="E449" t="s">
        <v>46</v>
      </c>
      <c r="F449" t="s">
        <v>52</v>
      </c>
      <c r="G449" t="s">
        <v>26</v>
      </c>
      <c r="H449" t="s">
        <v>35</v>
      </c>
      <c r="I449" t="s">
        <v>36</v>
      </c>
      <c r="J449" t="s">
        <v>42</v>
      </c>
      <c r="K449">
        <v>3</v>
      </c>
      <c r="L449">
        <v>147494</v>
      </c>
      <c r="M449">
        <v>0.06</v>
      </c>
      <c r="N449">
        <v>442482</v>
      </c>
      <c r="O449">
        <v>26548.92</v>
      </c>
      <c r="P449">
        <v>415933.08</v>
      </c>
      <c r="Q449">
        <v>5</v>
      </c>
      <c r="R449">
        <v>216</v>
      </c>
      <c r="S449">
        <v>3.9</v>
      </c>
      <c r="T449">
        <v>5</v>
      </c>
      <c r="U449">
        <v>2</v>
      </c>
    </row>
    <row r="450" spans="1:21" x14ac:dyDescent="0.3">
      <c r="A450" t="s">
        <v>555</v>
      </c>
      <c r="B450" s="2">
        <v>45905</v>
      </c>
      <c r="C450" t="s">
        <v>44</v>
      </c>
      <c r="D450" t="s">
        <v>51</v>
      </c>
      <c r="E450" t="s">
        <v>46</v>
      </c>
      <c r="F450" t="s">
        <v>66</v>
      </c>
      <c r="G450" t="s">
        <v>26</v>
      </c>
      <c r="H450" t="s">
        <v>27</v>
      </c>
      <c r="I450" t="s">
        <v>94</v>
      </c>
      <c r="J450" t="s">
        <v>123</v>
      </c>
      <c r="K450">
        <v>2</v>
      </c>
      <c r="L450">
        <v>129065</v>
      </c>
      <c r="M450">
        <v>3.5000000000000003E-2</v>
      </c>
      <c r="N450">
        <v>258130</v>
      </c>
      <c r="O450">
        <v>9034.5499999999993</v>
      </c>
      <c r="P450">
        <v>249095.45</v>
      </c>
      <c r="Q450">
        <v>5</v>
      </c>
      <c r="R450">
        <v>203</v>
      </c>
      <c r="S450">
        <v>3.5</v>
      </c>
      <c r="T450">
        <v>3</v>
      </c>
      <c r="U450">
        <v>5</v>
      </c>
    </row>
    <row r="451" spans="1:21" x14ac:dyDescent="0.3">
      <c r="A451" t="s">
        <v>556</v>
      </c>
      <c r="B451" s="2">
        <v>45688</v>
      </c>
      <c r="C451" t="s">
        <v>44</v>
      </c>
      <c r="D451" t="s">
        <v>51</v>
      </c>
      <c r="E451" t="s">
        <v>46</v>
      </c>
      <c r="F451" t="s">
        <v>25</v>
      </c>
      <c r="G451" t="s">
        <v>67</v>
      </c>
      <c r="H451" t="s">
        <v>35</v>
      </c>
      <c r="I451" t="s">
        <v>94</v>
      </c>
      <c r="J451" t="s">
        <v>216</v>
      </c>
      <c r="K451">
        <v>1</v>
      </c>
      <c r="L451">
        <v>117130</v>
      </c>
      <c r="M451">
        <v>0.09</v>
      </c>
      <c r="N451">
        <v>117130</v>
      </c>
      <c r="O451">
        <v>10541.7</v>
      </c>
      <c r="P451">
        <v>106588.3</v>
      </c>
      <c r="Q451">
        <v>2</v>
      </c>
      <c r="R451">
        <v>147</v>
      </c>
      <c r="S451">
        <v>3.9</v>
      </c>
      <c r="T451">
        <v>11</v>
      </c>
      <c r="U451">
        <v>2</v>
      </c>
    </row>
    <row r="452" spans="1:21" x14ac:dyDescent="0.3">
      <c r="A452" t="s">
        <v>557</v>
      </c>
      <c r="B452" s="2">
        <v>45682</v>
      </c>
      <c r="C452" t="s">
        <v>44</v>
      </c>
      <c r="D452" t="s">
        <v>51</v>
      </c>
      <c r="E452" t="s">
        <v>46</v>
      </c>
      <c r="F452" t="s">
        <v>70</v>
      </c>
      <c r="G452" t="s">
        <v>56</v>
      </c>
      <c r="H452" t="s">
        <v>35</v>
      </c>
      <c r="I452" t="s">
        <v>36</v>
      </c>
      <c r="J452" t="s">
        <v>49</v>
      </c>
      <c r="K452">
        <v>1</v>
      </c>
      <c r="L452">
        <v>125654</v>
      </c>
      <c r="M452">
        <v>6.9000000000000006E-2</v>
      </c>
      <c r="N452">
        <v>125654</v>
      </c>
      <c r="O452">
        <v>8670.1299999999992</v>
      </c>
      <c r="P452">
        <v>116983.87</v>
      </c>
      <c r="Q452">
        <v>3</v>
      </c>
      <c r="R452">
        <v>151</v>
      </c>
      <c r="S452">
        <v>4.3</v>
      </c>
      <c r="T452">
        <v>14</v>
      </c>
      <c r="U452">
        <v>5</v>
      </c>
    </row>
    <row r="453" spans="1:21" x14ac:dyDescent="0.3">
      <c r="A453" t="s">
        <v>558</v>
      </c>
      <c r="B453" s="2">
        <v>45935</v>
      </c>
      <c r="C453" t="s">
        <v>60</v>
      </c>
      <c r="D453" t="s">
        <v>61</v>
      </c>
      <c r="E453" t="s">
        <v>24</v>
      </c>
      <c r="F453" t="s">
        <v>41</v>
      </c>
      <c r="G453" t="s">
        <v>34</v>
      </c>
      <c r="H453" t="s">
        <v>53</v>
      </c>
      <c r="I453" t="s">
        <v>94</v>
      </c>
      <c r="J453" t="s">
        <v>83</v>
      </c>
      <c r="K453">
        <v>1</v>
      </c>
      <c r="L453">
        <v>108604</v>
      </c>
      <c r="M453">
        <v>3.2000000000000001E-2</v>
      </c>
      <c r="N453">
        <v>108604</v>
      </c>
      <c r="O453">
        <v>3475.33</v>
      </c>
      <c r="P453">
        <v>105128.67</v>
      </c>
      <c r="Q453">
        <v>4</v>
      </c>
      <c r="R453">
        <v>189</v>
      </c>
      <c r="S453">
        <v>4.3</v>
      </c>
      <c r="T453">
        <v>9</v>
      </c>
      <c r="U453">
        <v>3</v>
      </c>
    </row>
    <row r="454" spans="1:21" x14ac:dyDescent="0.3">
      <c r="A454" t="s">
        <v>559</v>
      </c>
      <c r="B454" s="2">
        <v>45913</v>
      </c>
      <c r="C454" t="s">
        <v>22</v>
      </c>
      <c r="D454" t="s">
        <v>107</v>
      </c>
      <c r="E454" t="s">
        <v>24</v>
      </c>
      <c r="F454" t="s">
        <v>41</v>
      </c>
      <c r="G454" t="s">
        <v>67</v>
      </c>
      <c r="H454" t="s">
        <v>35</v>
      </c>
      <c r="I454" t="s">
        <v>94</v>
      </c>
      <c r="J454" t="s">
        <v>109</v>
      </c>
      <c r="K454">
        <v>1</v>
      </c>
      <c r="L454">
        <v>136748</v>
      </c>
      <c r="M454">
        <v>0.107</v>
      </c>
      <c r="N454">
        <v>136748</v>
      </c>
      <c r="O454">
        <v>14632.04</v>
      </c>
      <c r="P454">
        <v>122115.96</v>
      </c>
      <c r="Q454">
        <v>3</v>
      </c>
      <c r="R454">
        <v>157</v>
      </c>
      <c r="S454">
        <v>4.2</v>
      </c>
      <c r="T454">
        <v>14</v>
      </c>
      <c r="U454">
        <v>5</v>
      </c>
    </row>
    <row r="455" spans="1:21" x14ac:dyDescent="0.3">
      <c r="A455" t="s">
        <v>560</v>
      </c>
      <c r="B455" s="2">
        <v>45987</v>
      </c>
      <c r="C455" t="s">
        <v>31</v>
      </c>
      <c r="D455" t="s">
        <v>97</v>
      </c>
      <c r="E455" t="s">
        <v>46</v>
      </c>
      <c r="F455" t="s">
        <v>66</v>
      </c>
      <c r="G455" t="s">
        <v>67</v>
      </c>
      <c r="H455" t="s">
        <v>27</v>
      </c>
      <c r="I455" t="s">
        <v>57</v>
      </c>
      <c r="J455" t="s">
        <v>64</v>
      </c>
      <c r="K455">
        <v>4</v>
      </c>
      <c r="L455">
        <v>124507</v>
      </c>
      <c r="M455">
        <v>0.107</v>
      </c>
      <c r="N455">
        <v>498028</v>
      </c>
      <c r="O455">
        <v>53289</v>
      </c>
      <c r="P455">
        <v>444739</v>
      </c>
      <c r="Q455">
        <v>4</v>
      </c>
      <c r="R455">
        <v>179</v>
      </c>
      <c r="S455">
        <v>3.6</v>
      </c>
      <c r="T455">
        <v>11</v>
      </c>
      <c r="U455">
        <v>3</v>
      </c>
    </row>
    <row r="456" spans="1:21" x14ac:dyDescent="0.3">
      <c r="A456" t="s">
        <v>561</v>
      </c>
      <c r="B456" s="2">
        <v>45936</v>
      </c>
      <c r="C456" t="s">
        <v>76</v>
      </c>
      <c r="D456" t="s">
        <v>77</v>
      </c>
      <c r="E456" t="s">
        <v>62</v>
      </c>
      <c r="F456" t="s">
        <v>74</v>
      </c>
      <c r="G456" t="s">
        <v>56</v>
      </c>
      <c r="H456" t="s">
        <v>27</v>
      </c>
      <c r="I456" t="s">
        <v>57</v>
      </c>
      <c r="J456" t="s">
        <v>64</v>
      </c>
      <c r="K456">
        <v>2</v>
      </c>
      <c r="L456">
        <v>155590</v>
      </c>
      <c r="M456">
        <v>7.3999999999999996E-2</v>
      </c>
      <c r="N456">
        <v>311180</v>
      </c>
      <c r="O456">
        <v>23027.32</v>
      </c>
      <c r="P456">
        <v>288152.68</v>
      </c>
      <c r="Q456">
        <v>3</v>
      </c>
      <c r="R456">
        <v>163</v>
      </c>
      <c r="S456">
        <v>4.5999999999999996</v>
      </c>
      <c r="T456">
        <v>14</v>
      </c>
      <c r="U456">
        <v>3</v>
      </c>
    </row>
    <row r="457" spans="1:21" x14ac:dyDescent="0.3">
      <c r="A457" t="s">
        <v>562</v>
      </c>
      <c r="B457" s="2">
        <v>45674</v>
      </c>
      <c r="C457" t="s">
        <v>563</v>
      </c>
      <c r="D457" t="s">
        <v>97</v>
      </c>
      <c r="E457" t="s">
        <v>62</v>
      </c>
      <c r="F457" t="s">
        <v>101</v>
      </c>
      <c r="G457" t="s">
        <v>67</v>
      </c>
      <c r="H457" t="s">
        <v>53</v>
      </c>
      <c r="I457" t="s">
        <v>28</v>
      </c>
      <c r="J457" t="s">
        <v>92</v>
      </c>
      <c r="K457">
        <v>4</v>
      </c>
      <c r="L457">
        <v>138731</v>
      </c>
      <c r="M457">
        <v>0.08</v>
      </c>
      <c r="N457">
        <v>554924</v>
      </c>
      <c r="O457">
        <v>44393.919999999998</v>
      </c>
      <c r="P457">
        <v>510530.08</v>
      </c>
      <c r="Q457">
        <v>4</v>
      </c>
      <c r="R457">
        <v>186</v>
      </c>
      <c r="S457">
        <v>4.0999999999999996</v>
      </c>
      <c r="T457">
        <v>9</v>
      </c>
      <c r="U457">
        <v>2</v>
      </c>
    </row>
    <row r="458" spans="1:21" x14ac:dyDescent="0.3">
      <c r="A458" t="s">
        <v>564</v>
      </c>
      <c r="B458" s="2">
        <v>45929</v>
      </c>
      <c r="C458" t="s">
        <v>31</v>
      </c>
      <c r="D458" t="s">
        <v>97</v>
      </c>
      <c r="E458" t="s">
        <v>24</v>
      </c>
      <c r="F458" t="s">
        <v>52</v>
      </c>
      <c r="G458" t="s">
        <v>56</v>
      </c>
      <c r="H458" t="s">
        <v>53</v>
      </c>
      <c r="I458" t="s">
        <v>48</v>
      </c>
      <c r="J458" t="s">
        <v>148</v>
      </c>
      <c r="K458">
        <v>4</v>
      </c>
      <c r="L458">
        <v>127484</v>
      </c>
      <c r="M458">
        <v>2.8000000000000001E-2</v>
      </c>
      <c r="N458">
        <v>509936</v>
      </c>
      <c r="O458">
        <v>14278.21</v>
      </c>
      <c r="P458">
        <v>495657.79</v>
      </c>
      <c r="Q458">
        <v>3</v>
      </c>
      <c r="R458">
        <v>149</v>
      </c>
      <c r="S458">
        <v>4.5999999999999996</v>
      </c>
      <c r="T458">
        <v>2</v>
      </c>
      <c r="U458">
        <v>2</v>
      </c>
    </row>
    <row r="459" spans="1:21" x14ac:dyDescent="0.3">
      <c r="A459" t="s">
        <v>565</v>
      </c>
      <c r="B459" s="2">
        <v>45974</v>
      </c>
      <c r="C459" t="s">
        <v>44</v>
      </c>
      <c r="D459" t="s">
        <v>45</v>
      </c>
      <c r="E459" t="s">
        <v>24</v>
      </c>
      <c r="F459" t="s">
        <v>80</v>
      </c>
      <c r="G459" t="s">
        <v>56</v>
      </c>
      <c r="H459" t="s">
        <v>27</v>
      </c>
      <c r="I459" t="s">
        <v>48</v>
      </c>
      <c r="J459" t="s">
        <v>85</v>
      </c>
      <c r="K459">
        <v>1</v>
      </c>
      <c r="L459">
        <v>151274</v>
      </c>
      <c r="M459">
        <v>4.9000000000000002E-2</v>
      </c>
      <c r="N459">
        <v>151274</v>
      </c>
      <c r="O459">
        <v>7412.43</v>
      </c>
      <c r="P459">
        <v>143861.57</v>
      </c>
      <c r="Q459">
        <v>4</v>
      </c>
      <c r="R459">
        <v>169</v>
      </c>
      <c r="S459">
        <v>5</v>
      </c>
      <c r="T459">
        <v>10</v>
      </c>
      <c r="U459">
        <v>3</v>
      </c>
    </row>
    <row r="460" spans="1:21" x14ac:dyDescent="0.3">
      <c r="A460" t="s">
        <v>566</v>
      </c>
      <c r="B460" s="2">
        <v>45942</v>
      </c>
      <c r="C460" t="s">
        <v>39</v>
      </c>
      <c r="D460" t="s">
        <v>40</v>
      </c>
      <c r="E460" t="s">
        <v>24</v>
      </c>
      <c r="F460" t="s">
        <v>47</v>
      </c>
      <c r="G460" t="s">
        <v>67</v>
      </c>
      <c r="H460" t="s">
        <v>27</v>
      </c>
      <c r="I460" t="s">
        <v>57</v>
      </c>
      <c r="J460" t="s">
        <v>54</v>
      </c>
      <c r="K460">
        <v>1</v>
      </c>
      <c r="L460">
        <v>120624</v>
      </c>
      <c r="M460">
        <v>6.9000000000000006E-2</v>
      </c>
      <c r="N460">
        <v>120624</v>
      </c>
      <c r="O460">
        <v>8323.06</v>
      </c>
      <c r="P460">
        <v>112300.94</v>
      </c>
      <c r="Q460">
        <v>2</v>
      </c>
      <c r="R460">
        <v>145</v>
      </c>
      <c r="S460">
        <v>4.2</v>
      </c>
      <c r="T460">
        <v>5</v>
      </c>
      <c r="U460">
        <v>3</v>
      </c>
    </row>
    <row r="461" spans="1:21" x14ac:dyDescent="0.3">
      <c r="A461" t="s">
        <v>567</v>
      </c>
      <c r="B461" s="2">
        <v>45985</v>
      </c>
      <c r="C461" t="s">
        <v>39</v>
      </c>
      <c r="D461" t="s">
        <v>154</v>
      </c>
      <c r="E461" t="s">
        <v>62</v>
      </c>
      <c r="F461" t="s">
        <v>33</v>
      </c>
      <c r="G461" t="s">
        <v>34</v>
      </c>
      <c r="H461" t="s">
        <v>35</v>
      </c>
      <c r="I461" t="s">
        <v>63</v>
      </c>
      <c r="J461" t="s">
        <v>131</v>
      </c>
      <c r="K461">
        <v>1</v>
      </c>
      <c r="L461">
        <v>186135</v>
      </c>
      <c r="M461">
        <v>2.5000000000000001E-2</v>
      </c>
      <c r="N461">
        <v>186135</v>
      </c>
      <c r="O461">
        <v>4653.38</v>
      </c>
      <c r="P461">
        <v>181481.62</v>
      </c>
      <c r="Q461">
        <v>2</v>
      </c>
      <c r="R461">
        <v>153</v>
      </c>
      <c r="S461">
        <v>4.4000000000000004</v>
      </c>
      <c r="T461">
        <v>5</v>
      </c>
      <c r="U461">
        <v>3</v>
      </c>
    </row>
    <row r="462" spans="1:21" x14ac:dyDescent="0.3">
      <c r="A462" t="s">
        <v>568</v>
      </c>
      <c r="B462" s="2">
        <v>45686</v>
      </c>
      <c r="C462" t="s">
        <v>60</v>
      </c>
      <c r="D462" t="s">
        <v>69</v>
      </c>
      <c r="E462" t="s">
        <v>24</v>
      </c>
      <c r="F462" t="s">
        <v>33</v>
      </c>
      <c r="G462" t="s">
        <v>56</v>
      </c>
      <c r="H462" t="s">
        <v>27</v>
      </c>
      <c r="I462" t="s">
        <v>63</v>
      </c>
      <c r="J462" t="s">
        <v>197</v>
      </c>
      <c r="K462">
        <v>2</v>
      </c>
      <c r="L462">
        <v>99839</v>
      </c>
      <c r="M462">
        <v>2.1999999999999999E-2</v>
      </c>
      <c r="N462">
        <v>199678</v>
      </c>
      <c r="O462">
        <v>4392.92</v>
      </c>
      <c r="P462">
        <v>195285.08</v>
      </c>
      <c r="Q462">
        <v>2</v>
      </c>
      <c r="R462">
        <v>154</v>
      </c>
      <c r="S462">
        <v>4</v>
      </c>
      <c r="T462">
        <v>8</v>
      </c>
      <c r="U462">
        <v>5</v>
      </c>
    </row>
    <row r="463" spans="1:21" x14ac:dyDescent="0.3">
      <c r="A463" t="s">
        <v>569</v>
      </c>
      <c r="B463" s="2">
        <v>45886</v>
      </c>
      <c r="C463" t="s">
        <v>60</v>
      </c>
      <c r="D463" t="s">
        <v>69</v>
      </c>
      <c r="E463" t="s">
        <v>62</v>
      </c>
      <c r="F463" t="s">
        <v>66</v>
      </c>
      <c r="G463" t="s">
        <v>67</v>
      </c>
      <c r="H463" t="s">
        <v>53</v>
      </c>
      <c r="I463" t="s">
        <v>48</v>
      </c>
      <c r="J463" t="s">
        <v>138</v>
      </c>
      <c r="K463">
        <v>3</v>
      </c>
      <c r="L463">
        <v>100100</v>
      </c>
      <c r="M463">
        <v>2.3E-2</v>
      </c>
      <c r="N463">
        <v>300300</v>
      </c>
      <c r="O463">
        <v>6906.9</v>
      </c>
      <c r="P463">
        <v>293393.09999999998</v>
      </c>
      <c r="Q463">
        <v>3</v>
      </c>
      <c r="R463">
        <v>152</v>
      </c>
      <c r="S463">
        <v>4.3</v>
      </c>
      <c r="T463">
        <v>8</v>
      </c>
      <c r="U463">
        <v>3</v>
      </c>
    </row>
    <row r="464" spans="1:21" x14ac:dyDescent="0.3">
      <c r="A464" t="s">
        <v>570</v>
      </c>
      <c r="B464" s="2">
        <v>45705</v>
      </c>
      <c r="C464" t="s">
        <v>22</v>
      </c>
      <c r="D464" t="s">
        <v>107</v>
      </c>
      <c r="E464" t="s">
        <v>46</v>
      </c>
      <c r="F464" t="s">
        <v>33</v>
      </c>
      <c r="G464" t="s">
        <v>56</v>
      </c>
      <c r="H464" t="s">
        <v>53</v>
      </c>
      <c r="I464" t="s">
        <v>94</v>
      </c>
      <c r="J464" t="s">
        <v>157</v>
      </c>
      <c r="K464">
        <v>3</v>
      </c>
      <c r="L464">
        <v>134633</v>
      </c>
      <c r="M464">
        <v>0.05</v>
      </c>
      <c r="N464">
        <v>403899</v>
      </c>
      <c r="O464">
        <v>20194.95</v>
      </c>
      <c r="P464">
        <v>383704.05</v>
      </c>
      <c r="Q464">
        <v>3</v>
      </c>
      <c r="R464">
        <v>147</v>
      </c>
      <c r="S464">
        <v>3.8</v>
      </c>
      <c r="T464">
        <v>9</v>
      </c>
      <c r="U464">
        <v>2</v>
      </c>
    </row>
    <row r="465" spans="1:21" x14ac:dyDescent="0.3">
      <c r="A465" t="s">
        <v>571</v>
      </c>
      <c r="B465" s="2">
        <v>45900</v>
      </c>
      <c r="C465" t="s">
        <v>99</v>
      </c>
      <c r="D465" t="s">
        <v>141</v>
      </c>
      <c r="E465" t="s">
        <v>46</v>
      </c>
      <c r="F465" t="s">
        <v>66</v>
      </c>
      <c r="G465" t="s">
        <v>26</v>
      </c>
      <c r="H465" t="s">
        <v>27</v>
      </c>
      <c r="I465" t="s">
        <v>36</v>
      </c>
      <c r="J465" t="s">
        <v>49</v>
      </c>
      <c r="K465">
        <v>1</v>
      </c>
      <c r="L465">
        <v>138840</v>
      </c>
      <c r="M465">
        <v>3.5999999999999997E-2</v>
      </c>
      <c r="N465">
        <v>138840</v>
      </c>
      <c r="O465">
        <v>4998.24</v>
      </c>
      <c r="P465">
        <v>133841.76</v>
      </c>
      <c r="Q465">
        <v>5</v>
      </c>
      <c r="R465">
        <v>177</v>
      </c>
      <c r="S465">
        <v>4.5</v>
      </c>
      <c r="T465">
        <v>8</v>
      </c>
      <c r="U465">
        <v>2</v>
      </c>
    </row>
    <row r="466" spans="1:21" x14ac:dyDescent="0.3">
      <c r="A466" t="s">
        <v>572</v>
      </c>
      <c r="B466" s="2">
        <v>45983</v>
      </c>
      <c r="C466" t="s">
        <v>76</v>
      </c>
      <c r="D466" t="s">
        <v>115</v>
      </c>
      <c r="E466" t="s">
        <v>24</v>
      </c>
      <c r="F466" t="s">
        <v>52</v>
      </c>
      <c r="G466" t="s">
        <v>67</v>
      </c>
      <c r="H466" t="s">
        <v>27</v>
      </c>
      <c r="I466" t="s">
        <v>36</v>
      </c>
      <c r="J466" t="s">
        <v>175</v>
      </c>
      <c r="K466">
        <v>1</v>
      </c>
      <c r="L466">
        <v>124668</v>
      </c>
      <c r="M466">
        <v>3.5000000000000003E-2</v>
      </c>
      <c r="N466">
        <v>124668</v>
      </c>
      <c r="O466">
        <v>4363.38</v>
      </c>
      <c r="P466">
        <v>120304.62</v>
      </c>
      <c r="Q466">
        <v>4</v>
      </c>
      <c r="R466">
        <v>196</v>
      </c>
      <c r="S466">
        <v>4.4000000000000004</v>
      </c>
      <c r="T466">
        <v>12</v>
      </c>
      <c r="U466">
        <v>3</v>
      </c>
    </row>
    <row r="467" spans="1:21" x14ac:dyDescent="0.3">
      <c r="A467" t="s">
        <v>573</v>
      </c>
      <c r="B467" s="2">
        <v>45813</v>
      </c>
      <c r="C467" t="s">
        <v>76</v>
      </c>
      <c r="D467" t="s">
        <v>117</v>
      </c>
      <c r="E467" t="s">
        <v>24</v>
      </c>
      <c r="F467" t="s">
        <v>47</v>
      </c>
      <c r="G467" t="s">
        <v>34</v>
      </c>
      <c r="H467" t="s">
        <v>27</v>
      </c>
      <c r="I467" t="s">
        <v>28</v>
      </c>
      <c r="J467" t="s">
        <v>102</v>
      </c>
      <c r="K467">
        <v>2</v>
      </c>
      <c r="L467">
        <v>126923</v>
      </c>
      <c r="M467">
        <v>0.109</v>
      </c>
      <c r="N467">
        <v>253846</v>
      </c>
      <c r="O467">
        <v>27669.21</v>
      </c>
      <c r="P467">
        <v>226176.79</v>
      </c>
      <c r="Q467">
        <v>4</v>
      </c>
      <c r="R467">
        <v>192</v>
      </c>
      <c r="S467">
        <v>3.8</v>
      </c>
      <c r="T467">
        <v>-11</v>
      </c>
      <c r="U467">
        <v>5</v>
      </c>
    </row>
    <row r="468" spans="1:21" x14ac:dyDescent="0.3">
      <c r="A468" t="s">
        <v>574</v>
      </c>
      <c r="B468" s="2">
        <v>45757</v>
      </c>
      <c r="C468" t="s">
        <v>60</v>
      </c>
      <c r="D468" t="s">
        <v>61</v>
      </c>
      <c r="E468" t="s">
        <v>62</v>
      </c>
      <c r="F468" t="s">
        <v>52</v>
      </c>
      <c r="G468" t="s">
        <v>34</v>
      </c>
      <c r="H468" t="s">
        <v>35</v>
      </c>
      <c r="I468" t="s">
        <v>28</v>
      </c>
      <c r="J468" t="s">
        <v>42</v>
      </c>
      <c r="K468">
        <v>3</v>
      </c>
      <c r="L468">
        <v>121031</v>
      </c>
      <c r="M468">
        <v>3.5000000000000003E-2</v>
      </c>
      <c r="N468">
        <v>363093</v>
      </c>
      <c r="O468">
        <v>12708.26</v>
      </c>
      <c r="P468">
        <v>350384.74</v>
      </c>
      <c r="Q468">
        <v>3</v>
      </c>
      <c r="R468">
        <v>151</v>
      </c>
      <c r="S468">
        <v>3.9</v>
      </c>
      <c r="T468">
        <v>3</v>
      </c>
      <c r="U468">
        <v>5</v>
      </c>
    </row>
    <row r="469" spans="1:21" x14ac:dyDescent="0.3">
      <c r="A469" t="s">
        <v>575</v>
      </c>
      <c r="B469" s="2">
        <v>45710</v>
      </c>
      <c r="C469" t="s">
        <v>44</v>
      </c>
      <c r="D469" t="s">
        <v>45</v>
      </c>
      <c r="E469" t="s">
        <v>62</v>
      </c>
      <c r="F469" t="s">
        <v>101</v>
      </c>
      <c r="G469" t="s">
        <v>26</v>
      </c>
      <c r="H469" t="s">
        <v>35</v>
      </c>
      <c r="I469" t="s">
        <v>36</v>
      </c>
      <c r="J469" t="s">
        <v>138</v>
      </c>
      <c r="K469">
        <v>1</v>
      </c>
      <c r="L469">
        <v>161704</v>
      </c>
      <c r="M469">
        <v>9.8000000000000004E-2</v>
      </c>
      <c r="N469">
        <v>161704</v>
      </c>
      <c r="O469">
        <v>15846.99</v>
      </c>
      <c r="P469">
        <v>145857.01</v>
      </c>
      <c r="Q469">
        <v>3</v>
      </c>
      <c r="R469">
        <v>173</v>
      </c>
      <c r="S469">
        <v>4.2</v>
      </c>
      <c r="T469">
        <v>4</v>
      </c>
      <c r="U469">
        <v>5</v>
      </c>
    </row>
    <row r="470" spans="1:21" x14ac:dyDescent="0.3">
      <c r="A470" t="s">
        <v>576</v>
      </c>
      <c r="B470" s="2">
        <v>45920</v>
      </c>
      <c r="C470" t="s">
        <v>31</v>
      </c>
      <c r="D470" t="s">
        <v>97</v>
      </c>
      <c r="E470" t="s">
        <v>24</v>
      </c>
      <c r="F470" t="s">
        <v>70</v>
      </c>
      <c r="G470" t="s">
        <v>34</v>
      </c>
      <c r="H470" t="s">
        <v>27</v>
      </c>
      <c r="I470" t="s">
        <v>36</v>
      </c>
      <c r="J470" t="s">
        <v>37</v>
      </c>
      <c r="K470">
        <v>2</v>
      </c>
      <c r="L470">
        <v>126122</v>
      </c>
      <c r="M470">
        <v>4.2000000000000003E-2</v>
      </c>
      <c r="N470">
        <v>252244</v>
      </c>
      <c r="O470">
        <v>10594.25</v>
      </c>
      <c r="P470">
        <v>241649.75</v>
      </c>
      <c r="Q470">
        <v>4</v>
      </c>
      <c r="R470">
        <v>150</v>
      </c>
      <c r="S470">
        <v>4.0999999999999996</v>
      </c>
      <c r="T470">
        <v>10</v>
      </c>
      <c r="U470">
        <v>2</v>
      </c>
    </row>
    <row r="471" spans="1:21" x14ac:dyDescent="0.3">
      <c r="A471" t="s">
        <v>577</v>
      </c>
      <c r="B471" s="2">
        <v>45776</v>
      </c>
      <c r="C471" t="s">
        <v>39</v>
      </c>
      <c r="D471" t="s">
        <v>40</v>
      </c>
      <c r="E471" t="s">
        <v>46</v>
      </c>
      <c r="F471" t="s">
        <v>70</v>
      </c>
      <c r="G471" t="s">
        <v>26</v>
      </c>
      <c r="H471" t="s">
        <v>35</v>
      </c>
      <c r="I471" t="s">
        <v>48</v>
      </c>
      <c r="J471" t="s">
        <v>175</v>
      </c>
      <c r="K471">
        <v>1</v>
      </c>
      <c r="L471">
        <v>123235</v>
      </c>
      <c r="M471">
        <v>3.2000000000000001E-2</v>
      </c>
      <c r="N471">
        <v>123235</v>
      </c>
      <c r="O471">
        <v>3943.52</v>
      </c>
      <c r="P471">
        <v>119291.48</v>
      </c>
      <c r="Q471">
        <v>3</v>
      </c>
      <c r="R471">
        <v>163</v>
      </c>
      <c r="S471">
        <v>4.5999999999999996</v>
      </c>
      <c r="T471">
        <v>7</v>
      </c>
      <c r="U471">
        <v>5</v>
      </c>
    </row>
    <row r="472" spans="1:21" x14ac:dyDescent="0.3">
      <c r="A472" t="s">
        <v>578</v>
      </c>
      <c r="B472" s="2">
        <v>45764</v>
      </c>
      <c r="C472" t="s">
        <v>87</v>
      </c>
      <c r="D472" t="s">
        <v>88</v>
      </c>
      <c r="E472" t="s">
        <v>62</v>
      </c>
      <c r="F472" t="s">
        <v>52</v>
      </c>
      <c r="G472" t="s">
        <v>67</v>
      </c>
      <c r="H472" t="s">
        <v>27</v>
      </c>
      <c r="I472" t="s">
        <v>36</v>
      </c>
      <c r="J472" t="s">
        <v>64</v>
      </c>
      <c r="K472">
        <v>1</v>
      </c>
      <c r="L472">
        <v>159889</v>
      </c>
      <c r="M472">
        <v>0.114</v>
      </c>
      <c r="N472">
        <v>159889</v>
      </c>
      <c r="O472">
        <v>18227.349999999999</v>
      </c>
      <c r="P472">
        <v>141661.65</v>
      </c>
      <c r="Q472">
        <v>4</v>
      </c>
      <c r="R472">
        <v>175</v>
      </c>
      <c r="S472">
        <v>5</v>
      </c>
      <c r="T472">
        <v>11</v>
      </c>
      <c r="U472">
        <v>3</v>
      </c>
    </row>
    <row r="473" spans="1:21" x14ac:dyDescent="0.3">
      <c r="A473" t="s">
        <v>579</v>
      </c>
      <c r="B473" s="2">
        <v>45893</v>
      </c>
      <c r="C473" t="s">
        <v>22</v>
      </c>
      <c r="D473" t="s">
        <v>23</v>
      </c>
      <c r="E473" t="s">
        <v>24</v>
      </c>
      <c r="F473" t="s">
        <v>52</v>
      </c>
      <c r="G473" t="s">
        <v>67</v>
      </c>
      <c r="H473" t="s">
        <v>27</v>
      </c>
      <c r="I473" t="s">
        <v>48</v>
      </c>
      <c r="J473" t="s">
        <v>148</v>
      </c>
      <c r="K473">
        <v>2</v>
      </c>
      <c r="L473">
        <v>126304</v>
      </c>
      <c r="M473">
        <v>7.0999999999999994E-2</v>
      </c>
      <c r="N473">
        <v>252608</v>
      </c>
      <c r="O473">
        <v>17935.169999999998</v>
      </c>
      <c r="P473">
        <v>234672.83</v>
      </c>
      <c r="Q473">
        <v>2</v>
      </c>
      <c r="R473">
        <v>133</v>
      </c>
      <c r="S473">
        <v>3.2</v>
      </c>
      <c r="T473">
        <v>6</v>
      </c>
      <c r="U473">
        <v>2</v>
      </c>
    </row>
    <row r="474" spans="1:21" x14ac:dyDescent="0.3">
      <c r="A474" t="s">
        <v>580</v>
      </c>
      <c r="B474" s="2">
        <v>45899</v>
      </c>
      <c r="C474" t="s">
        <v>31</v>
      </c>
      <c r="D474" t="s">
        <v>97</v>
      </c>
      <c r="E474" t="s">
        <v>24</v>
      </c>
      <c r="F474" t="s">
        <v>80</v>
      </c>
      <c r="G474" t="s">
        <v>56</v>
      </c>
      <c r="H474" t="s">
        <v>35</v>
      </c>
      <c r="I474" t="s">
        <v>63</v>
      </c>
      <c r="J474" t="s">
        <v>72</v>
      </c>
      <c r="K474">
        <v>5</v>
      </c>
      <c r="L474">
        <v>128018</v>
      </c>
      <c r="M474">
        <v>0.107</v>
      </c>
      <c r="N474">
        <v>640090</v>
      </c>
      <c r="O474">
        <v>68489.63</v>
      </c>
      <c r="P474">
        <v>571600.37</v>
      </c>
      <c r="Q474">
        <v>5</v>
      </c>
      <c r="R474">
        <v>192</v>
      </c>
      <c r="S474">
        <v>4</v>
      </c>
      <c r="T474">
        <v>9</v>
      </c>
      <c r="U474">
        <v>3</v>
      </c>
    </row>
    <row r="475" spans="1:21" x14ac:dyDescent="0.3">
      <c r="A475" t="s">
        <v>581</v>
      </c>
      <c r="B475" s="2">
        <v>45695</v>
      </c>
      <c r="C475" t="s">
        <v>76</v>
      </c>
      <c r="D475" t="s">
        <v>115</v>
      </c>
      <c r="E475" t="s">
        <v>24</v>
      </c>
      <c r="F475" t="s">
        <v>41</v>
      </c>
      <c r="G475" t="s">
        <v>26</v>
      </c>
      <c r="H475" t="s">
        <v>53</v>
      </c>
      <c r="I475" t="s">
        <v>57</v>
      </c>
      <c r="J475" t="s">
        <v>64</v>
      </c>
      <c r="K475">
        <v>2</v>
      </c>
      <c r="L475">
        <v>131371</v>
      </c>
      <c r="M475">
        <v>2.1000000000000001E-2</v>
      </c>
      <c r="N475">
        <v>262742</v>
      </c>
      <c r="O475">
        <v>5517.58</v>
      </c>
      <c r="P475">
        <v>257224.42</v>
      </c>
      <c r="Q475">
        <v>3</v>
      </c>
      <c r="R475">
        <v>177</v>
      </c>
      <c r="S475">
        <v>4.2</v>
      </c>
      <c r="T475">
        <v>2</v>
      </c>
      <c r="U475">
        <v>5</v>
      </c>
    </row>
    <row r="476" spans="1:21" x14ac:dyDescent="0.3">
      <c r="A476" t="s">
        <v>582</v>
      </c>
      <c r="B476" s="2">
        <v>45862</v>
      </c>
      <c r="C476" t="s">
        <v>44</v>
      </c>
      <c r="D476" t="s">
        <v>45</v>
      </c>
      <c r="E476" t="s">
        <v>24</v>
      </c>
      <c r="F476" t="s">
        <v>52</v>
      </c>
      <c r="G476" t="s">
        <v>26</v>
      </c>
      <c r="H476" t="s">
        <v>53</v>
      </c>
      <c r="I476" t="s">
        <v>57</v>
      </c>
      <c r="J476" t="s">
        <v>148</v>
      </c>
      <c r="K476">
        <v>2</v>
      </c>
      <c r="L476">
        <v>154602</v>
      </c>
      <c r="M476">
        <v>2.3E-2</v>
      </c>
      <c r="N476">
        <v>309204</v>
      </c>
      <c r="O476">
        <v>7111.69</v>
      </c>
      <c r="P476">
        <v>302092.31</v>
      </c>
      <c r="Q476">
        <v>4</v>
      </c>
      <c r="R476">
        <v>218</v>
      </c>
      <c r="S476">
        <v>4.4000000000000004</v>
      </c>
      <c r="T476">
        <v>10</v>
      </c>
      <c r="U476">
        <v>5</v>
      </c>
    </row>
    <row r="477" spans="1:21" x14ac:dyDescent="0.3">
      <c r="A477" t="s">
        <v>583</v>
      </c>
      <c r="B477" s="2">
        <v>45669</v>
      </c>
      <c r="C477" t="s">
        <v>39</v>
      </c>
      <c r="D477" t="s">
        <v>40</v>
      </c>
      <c r="E477" t="s">
        <v>24</v>
      </c>
      <c r="F477" t="s">
        <v>41</v>
      </c>
      <c r="G477" t="s">
        <v>67</v>
      </c>
      <c r="H477" t="s">
        <v>27</v>
      </c>
      <c r="I477" t="s">
        <v>36</v>
      </c>
      <c r="J477" t="s">
        <v>85</v>
      </c>
      <c r="K477">
        <v>4</v>
      </c>
      <c r="L477">
        <v>121656</v>
      </c>
      <c r="M477">
        <v>0.11799999999999999</v>
      </c>
      <c r="N477">
        <v>486624</v>
      </c>
      <c r="O477">
        <v>57421.63</v>
      </c>
      <c r="P477">
        <v>429202.37</v>
      </c>
      <c r="Q477">
        <v>3</v>
      </c>
      <c r="R477">
        <v>157</v>
      </c>
      <c r="S477">
        <v>3.4</v>
      </c>
      <c r="T477">
        <v>8</v>
      </c>
      <c r="U477">
        <v>2</v>
      </c>
    </row>
    <row r="478" spans="1:21" x14ac:dyDescent="0.3">
      <c r="A478" t="s">
        <v>584</v>
      </c>
      <c r="B478" s="2">
        <v>45837</v>
      </c>
      <c r="C478" t="s">
        <v>39</v>
      </c>
      <c r="D478" t="s">
        <v>40</v>
      </c>
      <c r="E478" t="s">
        <v>62</v>
      </c>
      <c r="F478" t="s">
        <v>66</v>
      </c>
      <c r="G478" t="s">
        <v>56</v>
      </c>
      <c r="H478" t="s">
        <v>27</v>
      </c>
      <c r="I478" t="s">
        <v>28</v>
      </c>
      <c r="J478" t="s">
        <v>89</v>
      </c>
      <c r="K478">
        <v>2</v>
      </c>
      <c r="L478">
        <v>131929</v>
      </c>
      <c r="M478">
        <v>6.2E-2</v>
      </c>
      <c r="N478">
        <v>263858</v>
      </c>
      <c r="O478">
        <v>16359.2</v>
      </c>
      <c r="P478">
        <v>247498.8</v>
      </c>
      <c r="Q478">
        <v>2</v>
      </c>
      <c r="R478">
        <v>165</v>
      </c>
      <c r="S478">
        <v>4.4000000000000004</v>
      </c>
      <c r="T478">
        <v>12</v>
      </c>
      <c r="U478">
        <v>5</v>
      </c>
    </row>
    <row r="479" spans="1:21" x14ac:dyDescent="0.3">
      <c r="A479" t="s">
        <v>585</v>
      </c>
      <c r="B479" s="2">
        <v>45890</v>
      </c>
      <c r="C479" t="s">
        <v>99</v>
      </c>
      <c r="D479" t="s">
        <v>141</v>
      </c>
      <c r="E479" t="s">
        <v>62</v>
      </c>
      <c r="F479" t="s">
        <v>52</v>
      </c>
      <c r="G479" t="s">
        <v>56</v>
      </c>
      <c r="H479" t="s">
        <v>53</v>
      </c>
      <c r="I479" t="s">
        <v>36</v>
      </c>
      <c r="J479" t="s">
        <v>83</v>
      </c>
      <c r="K479">
        <v>4</v>
      </c>
      <c r="L479">
        <v>137699</v>
      </c>
      <c r="M479">
        <v>4.1000000000000002E-2</v>
      </c>
      <c r="N479">
        <v>550796</v>
      </c>
      <c r="O479">
        <v>22582.639999999999</v>
      </c>
      <c r="P479">
        <v>528213.36</v>
      </c>
      <c r="Q479">
        <v>5</v>
      </c>
      <c r="R479">
        <v>201</v>
      </c>
      <c r="S479">
        <v>4.5</v>
      </c>
      <c r="T479">
        <v>14</v>
      </c>
      <c r="U479">
        <v>3</v>
      </c>
    </row>
    <row r="480" spans="1:21" x14ac:dyDescent="0.3">
      <c r="A480" t="s">
        <v>586</v>
      </c>
      <c r="B480" s="2">
        <v>45858</v>
      </c>
      <c r="C480" t="s">
        <v>44</v>
      </c>
      <c r="D480" t="s">
        <v>45</v>
      </c>
      <c r="E480" t="s">
        <v>62</v>
      </c>
      <c r="F480" t="s">
        <v>80</v>
      </c>
      <c r="G480" t="s">
        <v>67</v>
      </c>
      <c r="H480" t="s">
        <v>53</v>
      </c>
      <c r="I480" t="s">
        <v>36</v>
      </c>
      <c r="J480" t="s">
        <v>138</v>
      </c>
      <c r="K480">
        <v>1</v>
      </c>
      <c r="L480">
        <v>153734</v>
      </c>
      <c r="M480">
        <v>8.7999999999999995E-2</v>
      </c>
      <c r="N480">
        <v>153734</v>
      </c>
      <c r="O480">
        <v>13528.59</v>
      </c>
      <c r="P480">
        <v>140205.41</v>
      </c>
      <c r="Q480">
        <v>4</v>
      </c>
      <c r="R480">
        <v>189</v>
      </c>
      <c r="S480">
        <v>4.8</v>
      </c>
      <c r="T480">
        <v>6</v>
      </c>
      <c r="U480">
        <v>3</v>
      </c>
    </row>
    <row r="481" spans="1:21" x14ac:dyDescent="0.3">
      <c r="A481" t="s">
        <v>587</v>
      </c>
      <c r="B481" s="2">
        <v>45756</v>
      </c>
      <c r="C481" t="s">
        <v>76</v>
      </c>
      <c r="D481" t="s">
        <v>117</v>
      </c>
      <c r="E481" t="s">
        <v>46</v>
      </c>
      <c r="F481" t="s">
        <v>41</v>
      </c>
      <c r="G481" t="s">
        <v>56</v>
      </c>
      <c r="H481" t="s">
        <v>53</v>
      </c>
      <c r="I481" t="s">
        <v>28</v>
      </c>
      <c r="J481" t="s">
        <v>92</v>
      </c>
      <c r="K481">
        <v>4</v>
      </c>
      <c r="L481">
        <v>140751</v>
      </c>
      <c r="M481">
        <v>7.0999999999999994E-2</v>
      </c>
      <c r="N481">
        <v>563004</v>
      </c>
      <c r="O481">
        <v>39973.279999999999</v>
      </c>
      <c r="P481">
        <v>523030.72</v>
      </c>
      <c r="Q481">
        <v>5</v>
      </c>
      <c r="R481">
        <v>208</v>
      </c>
      <c r="S481">
        <v>3.9</v>
      </c>
      <c r="T481">
        <v>7</v>
      </c>
      <c r="U481">
        <v>3</v>
      </c>
    </row>
    <row r="482" spans="1:21" x14ac:dyDescent="0.3">
      <c r="A482" t="s">
        <v>588</v>
      </c>
      <c r="B482" s="2">
        <v>45812</v>
      </c>
      <c r="C482" t="s">
        <v>99</v>
      </c>
      <c r="D482" t="s">
        <v>100</v>
      </c>
      <c r="E482" t="s">
        <v>62</v>
      </c>
      <c r="F482" t="s">
        <v>52</v>
      </c>
      <c r="G482" t="s">
        <v>34</v>
      </c>
      <c r="H482" t="s">
        <v>27</v>
      </c>
      <c r="I482" t="s">
        <v>28</v>
      </c>
      <c r="J482" t="s">
        <v>95</v>
      </c>
      <c r="K482">
        <v>1</v>
      </c>
      <c r="L482">
        <v>115193</v>
      </c>
      <c r="M482">
        <v>0.106</v>
      </c>
      <c r="N482">
        <v>115193</v>
      </c>
      <c r="O482">
        <v>12210.46</v>
      </c>
      <c r="P482">
        <v>102982.54</v>
      </c>
      <c r="Q482">
        <v>4</v>
      </c>
      <c r="R482">
        <v>179</v>
      </c>
      <c r="S482">
        <v>4.2</v>
      </c>
      <c r="T482">
        <v>5</v>
      </c>
      <c r="U482">
        <v>2</v>
      </c>
    </row>
    <row r="483" spans="1:21" x14ac:dyDescent="0.3">
      <c r="A483" t="s">
        <v>589</v>
      </c>
      <c r="B483" s="2">
        <v>45757</v>
      </c>
      <c r="C483" t="s">
        <v>60</v>
      </c>
      <c r="D483" t="s">
        <v>69</v>
      </c>
      <c r="E483" t="s">
        <v>62</v>
      </c>
      <c r="F483" t="s">
        <v>47</v>
      </c>
      <c r="G483" t="s">
        <v>56</v>
      </c>
      <c r="H483" t="s">
        <v>27</v>
      </c>
      <c r="I483" t="s">
        <v>48</v>
      </c>
      <c r="J483" t="s">
        <v>175</v>
      </c>
      <c r="K483">
        <v>1</v>
      </c>
      <c r="L483">
        <v>103877</v>
      </c>
      <c r="M483">
        <v>0.106</v>
      </c>
      <c r="N483">
        <v>103877</v>
      </c>
      <c r="O483">
        <v>11010.96</v>
      </c>
      <c r="P483">
        <v>92866.04</v>
      </c>
      <c r="Q483">
        <v>3</v>
      </c>
      <c r="R483">
        <v>159</v>
      </c>
      <c r="S483">
        <v>3.5</v>
      </c>
      <c r="T483">
        <v>13</v>
      </c>
      <c r="U483">
        <v>2</v>
      </c>
    </row>
    <row r="484" spans="1:21" x14ac:dyDescent="0.3">
      <c r="A484" t="s">
        <v>590</v>
      </c>
      <c r="B484" s="2">
        <v>45820</v>
      </c>
      <c r="C484" t="s">
        <v>39</v>
      </c>
      <c r="D484" t="s">
        <v>154</v>
      </c>
      <c r="E484" t="s">
        <v>62</v>
      </c>
      <c r="F484" t="s">
        <v>101</v>
      </c>
      <c r="G484" t="s">
        <v>34</v>
      </c>
      <c r="H484" t="s">
        <v>53</v>
      </c>
      <c r="I484" t="s">
        <v>36</v>
      </c>
      <c r="J484" t="s">
        <v>95</v>
      </c>
      <c r="K484">
        <v>1</v>
      </c>
      <c r="L484">
        <v>183986</v>
      </c>
      <c r="M484">
        <v>0.03</v>
      </c>
      <c r="N484">
        <v>183986</v>
      </c>
      <c r="O484">
        <v>5519.58</v>
      </c>
      <c r="P484">
        <v>178466.42</v>
      </c>
      <c r="Q484">
        <v>4</v>
      </c>
      <c r="R484">
        <v>197</v>
      </c>
      <c r="S484">
        <v>3.9</v>
      </c>
      <c r="T484">
        <v>11</v>
      </c>
      <c r="U484">
        <v>3</v>
      </c>
    </row>
    <row r="485" spans="1:21" x14ac:dyDescent="0.3">
      <c r="A485" t="s">
        <v>591</v>
      </c>
      <c r="B485" s="2">
        <v>45790</v>
      </c>
      <c r="C485" t="s">
        <v>44</v>
      </c>
      <c r="D485" t="s">
        <v>51</v>
      </c>
      <c r="E485" t="s">
        <v>24</v>
      </c>
      <c r="F485" t="s">
        <v>66</v>
      </c>
      <c r="G485" t="s">
        <v>67</v>
      </c>
      <c r="H485" t="s">
        <v>27</v>
      </c>
      <c r="I485" t="s">
        <v>48</v>
      </c>
      <c r="J485" t="s">
        <v>138</v>
      </c>
      <c r="K485">
        <v>1</v>
      </c>
      <c r="L485">
        <v>128834</v>
      </c>
      <c r="M485">
        <v>0.107</v>
      </c>
      <c r="N485">
        <v>128834</v>
      </c>
      <c r="O485">
        <v>13785.24</v>
      </c>
      <c r="P485">
        <v>115048.76</v>
      </c>
      <c r="Q485">
        <v>4</v>
      </c>
      <c r="R485">
        <v>170</v>
      </c>
      <c r="S485">
        <v>4.5</v>
      </c>
      <c r="T485">
        <v>5</v>
      </c>
      <c r="U485">
        <v>5</v>
      </c>
    </row>
    <row r="486" spans="1:21" x14ac:dyDescent="0.3">
      <c r="A486" t="s">
        <v>592</v>
      </c>
      <c r="B486" s="2">
        <v>45818</v>
      </c>
      <c r="C486" t="s">
        <v>87</v>
      </c>
      <c r="D486" t="s">
        <v>88</v>
      </c>
      <c r="E486" t="s">
        <v>24</v>
      </c>
      <c r="F486" t="s">
        <v>70</v>
      </c>
      <c r="G486" t="s">
        <v>67</v>
      </c>
      <c r="H486" t="s">
        <v>35</v>
      </c>
      <c r="I486" t="s">
        <v>63</v>
      </c>
      <c r="J486" t="s">
        <v>216</v>
      </c>
      <c r="K486">
        <v>1</v>
      </c>
      <c r="L486">
        <v>152585</v>
      </c>
      <c r="M486">
        <v>0.104</v>
      </c>
      <c r="N486">
        <v>152585</v>
      </c>
      <c r="O486">
        <v>15868.84</v>
      </c>
      <c r="P486">
        <v>136716.16</v>
      </c>
      <c r="Q486">
        <v>5</v>
      </c>
      <c r="R486">
        <v>178</v>
      </c>
      <c r="S486">
        <v>3.8</v>
      </c>
      <c r="T486">
        <v>9</v>
      </c>
      <c r="U486">
        <v>5</v>
      </c>
    </row>
    <row r="487" spans="1:21" x14ac:dyDescent="0.3">
      <c r="A487" t="s">
        <v>593</v>
      </c>
      <c r="B487" s="2">
        <v>45770</v>
      </c>
      <c r="C487" t="s">
        <v>44</v>
      </c>
      <c r="D487" t="s">
        <v>51</v>
      </c>
      <c r="E487" t="s">
        <v>62</v>
      </c>
      <c r="F487" t="s">
        <v>66</v>
      </c>
      <c r="G487" t="s">
        <v>34</v>
      </c>
      <c r="H487" t="s">
        <v>27</v>
      </c>
      <c r="I487" t="s">
        <v>63</v>
      </c>
      <c r="J487" t="s">
        <v>216</v>
      </c>
      <c r="K487">
        <v>1</v>
      </c>
      <c r="L487">
        <v>124326</v>
      </c>
      <c r="M487">
        <v>0.115</v>
      </c>
      <c r="N487">
        <v>124326</v>
      </c>
      <c r="O487">
        <v>14297.49</v>
      </c>
      <c r="P487">
        <v>110028.51</v>
      </c>
      <c r="Q487">
        <v>3</v>
      </c>
      <c r="R487">
        <v>154</v>
      </c>
      <c r="S487">
        <v>4.0999999999999996</v>
      </c>
      <c r="T487">
        <v>12</v>
      </c>
      <c r="U487">
        <v>2</v>
      </c>
    </row>
    <row r="488" spans="1:21" x14ac:dyDescent="0.3">
      <c r="A488" t="s">
        <v>594</v>
      </c>
      <c r="B488" s="2">
        <v>45847</v>
      </c>
      <c r="C488" t="s">
        <v>87</v>
      </c>
      <c r="D488" t="s">
        <v>130</v>
      </c>
      <c r="E488" t="s">
        <v>46</v>
      </c>
      <c r="F488" t="s">
        <v>33</v>
      </c>
      <c r="G488" t="s">
        <v>34</v>
      </c>
      <c r="H488" t="s">
        <v>35</v>
      </c>
      <c r="I488" t="s">
        <v>28</v>
      </c>
      <c r="J488" t="s">
        <v>89</v>
      </c>
      <c r="K488">
        <v>2</v>
      </c>
      <c r="L488">
        <v>115008</v>
      </c>
      <c r="M488">
        <v>8.2000000000000003E-2</v>
      </c>
      <c r="N488">
        <v>230016</v>
      </c>
      <c r="O488">
        <v>18861.310000000001</v>
      </c>
      <c r="P488">
        <v>211154.69</v>
      </c>
      <c r="Q488">
        <v>4</v>
      </c>
      <c r="R488">
        <v>192</v>
      </c>
      <c r="S488">
        <v>4.5</v>
      </c>
      <c r="T488">
        <v>4</v>
      </c>
      <c r="U488">
        <v>3</v>
      </c>
    </row>
    <row r="489" spans="1:21" x14ac:dyDescent="0.3">
      <c r="A489" t="s">
        <v>595</v>
      </c>
      <c r="B489" s="2">
        <v>45837</v>
      </c>
      <c r="C489" t="s">
        <v>31</v>
      </c>
      <c r="D489" t="s">
        <v>32</v>
      </c>
      <c r="E489" t="s">
        <v>46</v>
      </c>
      <c r="F489" t="s">
        <v>25</v>
      </c>
      <c r="G489" t="s">
        <v>34</v>
      </c>
      <c r="H489" t="s">
        <v>35</v>
      </c>
      <c r="I489" t="s">
        <v>57</v>
      </c>
      <c r="J489" t="s">
        <v>42</v>
      </c>
      <c r="K489">
        <v>1</v>
      </c>
      <c r="L489">
        <v>109935</v>
      </c>
      <c r="M489">
        <v>9.0999999999999998E-2</v>
      </c>
      <c r="N489">
        <v>109935</v>
      </c>
      <c r="O489">
        <v>10004.08</v>
      </c>
      <c r="P489">
        <v>99930.92</v>
      </c>
      <c r="Q489">
        <v>4</v>
      </c>
      <c r="R489">
        <v>173</v>
      </c>
      <c r="S489">
        <v>3.4</v>
      </c>
      <c r="T489">
        <v>2</v>
      </c>
      <c r="U489">
        <v>2</v>
      </c>
    </row>
    <row r="490" spans="1:21" x14ac:dyDescent="0.3">
      <c r="A490" t="s">
        <v>596</v>
      </c>
      <c r="B490" s="2">
        <v>45866</v>
      </c>
      <c r="C490" t="s">
        <v>22</v>
      </c>
      <c r="D490" t="s">
        <v>23</v>
      </c>
      <c r="E490" t="s">
        <v>46</v>
      </c>
      <c r="F490" t="s">
        <v>66</v>
      </c>
      <c r="G490" t="s">
        <v>56</v>
      </c>
      <c r="H490" t="s">
        <v>27</v>
      </c>
      <c r="I490" t="s">
        <v>94</v>
      </c>
      <c r="J490" t="s">
        <v>42</v>
      </c>
      <c r="K490">
        <v>5</v>
      </c>
      <c r="L490">
        <v>123009</v>
      </c>
      <c r="M490">
        <v>0.11799999999999999</v>
      </c>
      <c r="N490">
        <v>615045</v>
      </c>
      <c r="O490">
        <v>72575.31</v>
      </c>
      <c r="P490">
        <v>542469.68999999994</v>
      </c>
      <c r="Q490">
        <v>5</v>
      </c>
      <c r="R490">
        <v>201</v>
      </c>
      <c r="S490">
        <v>4</v>
      </c>
      <c r="T490">
        <v>5</v>
      </c>
      <c r="U490">
        <v>2</v>
      </c>
    </row>
    <row r="491" spans="1:21" x14ac:dyDescent="0.3">
      <c r="A491" t="s">
        <v>597</v>
      </c>
      <c r="B491" s="2">
        <v>46010</v>
      </c>
      <c r="C491" t="s">
        <v>31</v>
      </c>
      <c r="D491" t="s">
        <v>32</v>
      </c>
      <c r="E491" t="s">
        <v>24</v>
      </c>
      <c r="F491" t="s">
        <v>66</v>
      </c>
      <c r="G491" t="s">
        <v>34</v>
      </c>
      <c r="H491" t="s">
        <v>35</v>
      </c>
      <c r="I491" t="s">
        <v>94</v>
      </c>
      <c r="J491" t="s">
        <v>29</v>
      </c>
      <c r="K491">
        <v>3</v>
      </c>
      <c r="L491">
        <v>115705</v>
      </c>
      <c r="M491">
        <v>7.0999999999999994E-2</v>
      </c>
      <c r="N491">
        <v>347115</v>
      </c>
      <c r="O491">
        <v>24645.16</v>
      </c>
      <c r="P491">
        <v>322469.84000000003</v>
      </c>
      <c r="Q491">
        <v>3</v>
      </c>
      <c r="R491">
        <v>169</v>
      </c>
      <c r="S491">
        <v>4.4000000000000004</v>
      </c>
      <c r="T491">
        <v>10</v>
      </c>
      <c r="U491">
        <v>5</v>
      </c>
    </row>
    <row r="492" spans="1:21" x14ac:dyDescent="0.3">
      <c r="A492" t="s">
        <v>598</v>
      </c>
      <c r="B492" s="2">
        <v>45734</v>
      </c>
      <c r="C492" t="s">
        <v>60</v>
      </c>
      <c r="D492" t="s">
        <v>61</v>
      </c>
      <c r="E492" t="s">
        <v>62</v>
      </c>
      <c r="F492" t="s">
        <v>52</v>
      </c>
      <c r="G492" t="s">
        <v>26</v>
      </c>
      <c r="H492" t="s">
        <v>53</v>
      </c>
      <c r="I492" t="s">
        <v>48</v>
      </c>
      <c r="J492" t="s">
        <v>42</v>
      </c>
      <c r="K492">
        <v>4</v>
      </c>
      <c r="L492">
        <v>119849</v>
      </c>
      <c r="M492">
        <v>9.4E-2</v>
      </c>
      <c r="N492">
        <v>479396</v>
      </c>
      <c r="O492">
        <v>45063.22</v>
      </c>
      <c r="P492">
        <v>434332.78</v>
      </c>
      <c r="Q492">
        <v>2</v>
      </c>
      <c r="R492">
        <v>157</v>
      </c>
      <c r="S492">
        <v>3.9</v>
      </c>
      <c r="T492">
        <v>10</v>
      </c>
      <c r="U492">
        <v>3</v>
      </c>
    </row>
    <row r="493" spans="1:21" x14ac:dyDescent="0.3">
      <c r="A493" t="s">
        <v>599</v>
      </c>
      <c r="B493" s="2">
        <v>45983</v>
      </c>
      <c r="C493" t="s">
        <v>76</v>
      </c>
      <c r="D493" t="s">
        <v>117</v>
      </c>
      <c r="E493" t="s">
        <v>62</v>
      </c>
      <c r="F493" t="s">
        <v>70</v>
      </c>
      <c r="G493" t="s">
        <v>67</v>
      </c>
      <c r="H493" t="s">
        <v>53</v>
      </c>
      <c r="I493" t="s">
        <v>57</v>
      </c>
      <c r="J493" t="s">
        <v>123</v>
      </c>
      <c r="K493">
        <v>1</v>
      </c>
      <c r="L493">
        <v>128059</v>
      </c>
      <c r="M493">
        <v>9.0999999999999998E-2</v>
      </c>
      <c r="N493">
        <v>128059</v>
      </c>
      <c r="O493">
        <v>11653.37</v>
      </c>
      <c r="P493">
        <v>116405.63</v>
      </c>
      <c r="Q493">
        <v>4</v>
      </c>
      <c r="R493">
        <v>182</v>
      </c>
      <c r="S493">
        <v>4.3</v>
      </c>
      <c r="T493">
        <v>14</v>
      </c>
      <c r="U493">
        <v>3</v>
      </c>
    </row>
    <row r="494" spans="1:21" x14ac:dyDescent="0.3">
      <c r="A494" t="s">
        <v>600</v>
      </c>
      <c r="B494" s="2">
        <v>45667</v>
      </c>
      <c r="C494" t="s">
        <v>87</v>
      </c>
      <c r="D494" t="s">
        <v>88</v>
      </c>
      <c r="E494" t="s">
        <v>46</v>
      </c>
      <c r="F494" t="s">
        <v>41</v>
      </c>
      <c r="G494" t="s">
        <v>67</v>
      </c>
      <c r="H494" t="s">
        <v>27</v>
      </c>
      <c r="I494" t="s">
        <v>94</v>
      </c>
      <c r="J494" t="s">
        <v>92</v>
      </c>
      <c r="K494">
        <v>1</v>
      </c>
      <c r="L494">
        <v>148016</v>
      </c>
      <c r="M494">
        <v>7.1999999999999995E-2</v>
      </c>
      <c r="N494">
        <v>148016</v>
      </c>
      <c r="O494">
        <v>10657.15</v>
      </c>
      <c r="P494">
        <v>137358.85</v>
      </c>
      <c r="Q494">
        <v>4</v>
      </c>
      <c r="R494">
        <v>171</v>
      </c>
      <c r="S494">
        <v>4.7</v>
      </c>
      <c r="T494">
        <v>8</v>
      </c>
      <c r="U494">
        <v>3</v>
      </c>
    </row>
    <row r="495" spans="1:21" x14ac:dyDescent="0.3">
      <c r="A495" t="s">
        <v>601</v>
      </c>
      <c r="B495" s="2">
        <v>45810</v>
      </c>
      <c r="C495" t="s">
        <v>87</v>
      </c>
      <c r="D495" t="s">
        <v>130</v>
      </c>
      <c r="E495" t="s">
        <v>24</v>
      </c>
      <c r="F495" t="s">
        <v>66</v>
      </c>
      <c r="G495" t="s">
        <v>56</v>
      </c>
      <c r="H495" t="s">
        <v>53</v>
      </c>
      <c r="I495" t="s">
        <v>28</v>
      </c>
      <c r="J495" t="s">
        <v>85</v>
      </c>
      <c r="K495">
        <v>1</v>
      </c>
      <c r="L495">
        <v>113817</v>
      </c>
      <c r="M495">
        <v>3.9E-2</v>
      </c>
      <c r="N495">
        <v>113817</v>
      </c>
      <c r="O495">
        <v>4438.8599999999997</v>
      </c>
      <c r="P495">
        <v>109378.14</v>
      </c>
      <c r="Q495">
        <v>4</v>
      </c>
      <c r="R495">
        <v>185</v>
      </c>
      <c r="S495">
        <v>3.7</v>
      </c>
      <c r="T495">
        <v>8</v>
      </c>
      <c r="U495">
        <v>2</v>
      </c>
    </row>
    <row r="496" spans="1:21" x14ac:dyDescent="0.3">
      <c r="A496" t="s">
        <v>602</v>
      </c>
      <c r="B496" s="2">
        <v>45806</v>
      </c>
      <c r="C496" t="s">
        <v>44</v>
      </c>
      <c r="D496" t="s">
        <v>45</v>
      </c>
      <c r="E496" t="s">
        <v>24</v>
      </c>
      <c r="F496" t="s">
        <v>80</v>
      </c>
      <c r="G496" t="s">
        <v>34</v>
      </c>
      <c r="H496" t="s">
        <v>27</v>
      </c>
      <c r="I496" t="s">
        <v>48</v>
      </c>
      <c r="J496" t="s">
        <v>109</v>
      </c>
      <c r="K496">
        <v>5</v>
      </c>
      <c r="L496">
        <v>158337</v>
      </c>
      <c r="M496">
        <v>2.5999999999999999E-2</v>
      </c>
      <c r="N496">
        <v>791685</v>
      </c>
      <c r="O496">
        <v>20583.810000000001</v>
      </c>
      <c r="P496">
        <v>771101.19</v>
      </c>
      <c r="Q496">
        <v>3</v>
      </c>
      <c r="R496">
        <v>164</v>
      </c>
      <c r="S496">
        <v>4.5</v>
      </c>
      <c r="T496">
        <v>4</v>
      </c>
      <c r="U496">
        <v>2</v>
      </c>
    </row>
    <row r="497" spans="1:21" x14ac:dyDescent="0.3">
      <c r="A497" t="s">
        <v>603</v>
      </c>
      <c r="B497" s="2">
        <v>45748</v>
      </c>
      <c r="C497" t="s">
        <v>87</v>
      </c>
      <c r="D497" t="s">
        <v>130</v>
      </c>
      <c r="E497" t="s">
        <v>46</v>
      </c>
      <c r="F497" t="s">
        <v>33</v>
      </c>
      <c r="G497" t="s">
        <v>34</v>
      </c>
      <c r="H497" t="s">
        <v>35</v>
      </c>
      <c r="I497" t="s">
        <v>28</v>
      </c>
      <c r="J497" t="s">
        <v>175</v>
      </c>
      <c r="K497">
        <v>2</v>
      </c>
      <c r="L497">
        <v>107819</v>
      </c>
      <c r="M497">
        <v>4.4999999999999998E-2</v>
      </c>
      <c r="N497">
        <v>215638</v>
      </c>
      <c r="O497">
        <v>9703.7099999999991</v>
      </c>
      <c r="P497">
        <v>205934.29</v>
      </c>
      <c r="Q497">
        <v>3</v>
      </c>
      <c r="R497">
        <v>170</v>
      </c>
      <c r="S497">
        <v>3.7</v>
      </c>
      <c r="T497">
        <v>4</v>
      </c>
      <c r="U497">
        <v>5</v>
      </c>
    </row>
    <row r="498" spans="1:21" x14ac:dyDescent="0.3">
      <c r="A498" t="s">
        <v>604</v>
      </c>
      <c r="B498" s="2">
        <v>45953</v>
      </c>
      <c r="C498" t="s">
        <v>44</v>
      </c>
      <c r="D498" t="s">
        <v>51</v>
      </c>
      <c r="E498" t="s">
        <v>62</v>
      </c>
      <c r="F498" t="s">
        <v>66</v>
      </c>
      <c r="G498" t="s">
        <v>56</v>
      </c>
      <c r="H498" t="s">
        <v>35</v>
      </c>
      <c r="I498" t="s">
        <v>48</v>
      </c>
      <c r="J498" t="s">
        <v>37</v>
      </c>
      <c r="K498">
        <v>2</v>
      </c>
      <c r="L498">
        <v>122819</v>
      </c>
      <c r="M498">
        <v>5.7000000000000002E-2</v>
      </c>
      <c r="N498">
        <v>245638</v>
      </c>
      <c r="O498">
        <v>14001.37</v>
      </c>
      <c r="P498">
        <v>231636.63</v>
      </c>
      <c r="Q498">
        <v>4</v>
      </c>
      <c r="R498">
        <v>169</v>
      </c>
      <c r="S498">
        <v>4.0999999999999996</v>
      </c>
      <c r="T498">
        <v>12</v>
      </c>
      <c r="U498">
        <v>3</v>
      </c>
    </row>
    <row r="499" spans="1:21" x14ac:dyDescent="0.3">
      <c r="A499" t="s">
        <v>605</v>
      </c>
      <c r="B499" s="2">
        <v>45791</v>
      </c>
      <c r="C499" t="s">
        <v>60</v>
      </c>
      <c r="D499" t="s">
        <v>69</v>
      </c>
      <c r="E499" t="s">
        <v>46</v>
      </c>
      <c r="F499" t="s">
        <v>80</v>
      </c>
      <c r="G499" t="s">
        <v>26</v>
      </c>
      <c r="H499" t="s">
        <v>35</v>
      </c>
      <c r="I499" t="s">
        <v>48</v>
      </c>
      <c r="J499" t="s">
        <v>64</v>
      </c>
      <c r="K499">
        <v>2</v>
      </c>
      <c r="L499">
        <v>106497</v>
      </c>
      <c r="M499">
        <v>8.5999999999999993E-2</v>
      </c>
      <c r="N499">
        <v>212994</v>
      </c>
      <c r="O499">
        <v>18317.48</v>
      </c>
      <c r="P499">
        <v>194676.52</v>
      </c>
      <c r="Q499">
        <v>4</v>
      </c>
      <c r="R499">
        <v>165</v>
      </c>
      <c r="S499">
        <v>3.9</v>
      </c>
      <c r="T499">
        <v>9</v>
      </c>
      <c r="U499">
        <v>3</v>
      </c>
    </row>
    <row r="500" spans="1:21" x14ac:dyDescent="0.3">
      <c r="A500" t="s">
        <v>606</v>
      </c>
      <c r="B500" s="2">
        <v>45693</v>
      </c>
      <c r="C500" t="s">
        <v>44</v>
      </c>
      <c r="D500" t="s">
        <v>51</v>
      </c>
      <c r="E500" t="s">
        <v>24</v>
      </c>
      <c r="F500" t="s">
        <v>70</v>
      </c>
      <c r="G500" t="s">
        <v>26</v>
      </c>
      <c r="H500" t="s">
        <v>53</v>
      </c>
      <c r="I500" t="s">
        <v>94</v>
      </c>
      <c r="J500" t="s">
        <v>148</v>
      </c>
      <c r="K500">
        <v>1</v>
      </c>
      <c r="L500">
        <v>113994</v>
      </c>
      <c r="M500">
        <v>5.5E-2</v>
      </c>
      <c r="N500">
        <v>113994</v>
      </c>
      <c r="O500">
        <v>6269.67</v>
      </c>
      <c r="P500">
        <v>107724.33</v>
      </c>
      <c r="Q500">
        <v>4</v>
      </c>
      <c r="R500">
        <v>197</v>
      </c>
      <c r="S500">
        <v>4</v>
      </c>
      <c r="T500">
        <v>2</v>
      </c>
      <c r="U500">
        <v>2</v>
      </c>
    </row>
    <row r="501" spans="1:21" x14ac:dyDescent="0.3">
      <c r="A501" t="s">
        <v>607</v>
      </c>
      <c r="B501" s="2">
        <v>45887</v>
      </c>
      <c r="C501" t="s">
        <v>99</v>
      </c>
      <c r="D501" t="s">
        <v>100</v>
      </c>
      <c r="E501" t="s">
        <v>24</v>
      </c>
      <c r="F501" t="s">
        <v>70</v>
      </c>
      <c r="G501" t="s">
        <v>26</v>
      </c>
      <c r="H501" t="s">
        <v>27</v>
      </c>
      <c r="I501" t="s">
        <v>48</v>
      </c>
      <c r="J501" t="s">
        <v>212</v>
      </c>
      <c r="K501">
        <v>1</v>
      </c>
      <c r="L501">
        <v>117791</v>
      </c>
      <c r="M501">
        <v>0.09</v>
      </c>
      <c r="N501">
        <v>117791</v>
      </c>
      <c r="O501">
        <v>10601.19</v>
      </c>
      <c r="P501">
        <v>107189.81</v>
      </c>
      <c r="Q501">
        <v>2</v>
      </c>
      <c r="R501">
        <v>125</v>
      </c>
      <c r="S501">
        <v>4.0999999999999996</v>
      </c>
      <c r="T501">
        <v>13</v>
      </c>
      <c r="U501">
        <v>3</v>
      </c>
    </row>
    <row r="502" spans="1:21" x14ac:dyDescent="0.3">
      <c r="A502" t="s">
        <v>608</v>
      </c>
      <c r="B502" s="2">
        <v>45745</v>
      </c>
      <c r="C502" t="s">
        <v>44</v>
      </c>
      <c r="D502" t="s">
        <v>45</v>
      </c>
      <c r="E502" t="s">
        <v>46</v>
      </c>
      <c r="F502" t="s">
        <v>33</v>
      </c>
      <c r="G502" t="s">
        <v>26</v>
      </c>
      <c r="H502" t="s">
        <v>53</v>
      </c>
      <c r="I502" t="s">
        <v>36</v>
      </c>
      <c r="J502" t="s">
        <v>104</v>
      </c>
      <c r="K502">
        <v>1</v>
      </c>
      <c r="L502">
        <v>153296</v>
      </c>
      <c r="M502">
        <v>7.1999999999999995E-2</v>
      </c>
      <c r="N502">
        <v>153296</v>
      </c>
      <c r="O502">
        <v>11037.31</v>
      </c>
      <c r="P502">
        <v>142258.69</v>
      </c>
      <c r="Q502">
        <v>3</v>
      </c>
      <c r="R502">
        <v>165</v>
      </c>
      <c r="S502">
        <v>4</v>
      </c>
      <c r="T502">
        <v>2</v>
      </c>
      <c r="U502">
        <v>3</v>
      </c>
    </row>
    <row r="503" spans="1:21" x14ac:dyDescent="0.3">
      <c r="A503" t="s">
        <v>609</v>
      </c>
      <c r="B503" s="2">
        <v>45745</v>
      </c>
      <c r="C503" t="s">
        <v>22</v>
      </c>
      <c r="D503" t="s">
        <v>107</v>
      </c>
      <c r="E503" t="s">
        <v>62</v>
      </c>
      <c r="F503" t="s">
        <v>52</v>
      </c>
      <c r="G503" t="s">
        <v>34</v>
      </c>
      <c r="H503" t="s">
        <v>35</v>
      </c>
      <c r="I503" t="s">
        <v>94</v>
      </c>
      <c r="J503" t="s">
        <v>89</v>
      </c>
      <c r="K503">
        <v>1</v>
      </c>
      <c r="L503">
        <v>149879</v>
      </c>
      <c r="M503">
        <v>5.8999999999999997E-2</v>
      </c>
      <c r="N503">
        <v>149879</v>
      </c>
      <c r="O503">
        <v>8842.86</v>
      </c>
      <c r="P503">
        <v>141036.14000000001</v>
      </c>
      <c r="Q503">
        <v>4</v>
      </c>
      <c r="R503">
        <v>192</v>
      </c>
      <c r="S503">
        <v>3.5</v>
      </c>
      <c r="T503">
        <v>5</v>
      </c>
      <c r="U503">
        <v>2</v>
      </c>
    </row>
    <row r="504" spans="1:21" x14ac:dyDescent="0.3">
      <c r="A504" t="s">
        <v>610</v>
      </c>
      <c r="B504" s="2">
        <v>45809</v>
      </c>
      <c r="C504" t="s">
        <v>31</v>
      </c>
      <c r="D504" t="s">
        <v>97</v>
      </c>
      <c r="E504" t="s">
        <v>24</v>
      </c>
      <c r="F504" t="s">
        <v>33</v>
      </c>
      <c r="G504" t="s">
        <v>34</v>
      </c>
      <c r="H504" t="s">
        <v>27</v>
      </c>
      <c r="I504" t="s">
        <v>63</v>
      </c>
      <c r="J504" t="s">
        <v>83</v>
      </c>
      <c r="K504">
        <v>4</v>
      </c>
      <c r="L504">
        <v>122990</v>
      </c>
      <c r="M504">
        <v>4.5999999999999999E-2</v>
      </c>
      <c r="N504">
        <v>491960</v>
      </c>
      <c r="O504">
        <v>22630.16</v>
      </c>
      <c r="P504">
        <v>469329.84</v>
      </c>
      <c r="Q504">
        <v>5</v>
      </c>
      <c r="R504">
        <v>234</v>
      </c>
      <c r="S504">
        <v>4.8</v>
      </c>
      <c r="T504">
        <v>7</v>
      </c>
      <c r="U504">
        <v>5</v>
      </c>
    </row>
    <row r="505" spans="1:21" x14ac:dyDescent="0.3">
      <c r="A505" t="s">
        <v>611</v>
      </c>
      <c r="B505" s="2">
        <v>45699</v>
      </c>
      <c r="C505" t="s">
        <v>87</v>
      </c>
      <c r="D505" t="s">
        <v>88</v>
      </c>
      <c r="E505" t="s">
        <v>24</v>
      </c>
      <c r="F505" t="s">
        <v>52</v>
      </c>
      <c r="G505" t="s">
        <v>56</v>
      </c>
      <c r="H505" t="s">
        <v>35</v>
      </c>
      <c r="I505" t="s">
        <v>36</v>
      </c>
      <c r="J505" t="s">
        <v>58</v>
      </c>
      <c r="K505">
        <v>3</v>
      </c>
      <c r="L505">
        <v>152799</v>
      </c>
      <c r="M505">
        <v>9.4E-2</v>
      </c>
      <c r="N505">
        <v>458397</v>
      </c>
      <c r="O505">
        <v>43089.32</v>
      </c>
      <c r="P505">
        <v>415307.68</v>
      </c>
      <c r="Q505">
        <v>4</v>
      </c>
      <c r="R505">
        <v>195</v>
      </c>
      <c r="S505">
        <v>3.9</v>
      </c>
      <c r="T505">
        <v>3</v>
      </c>
      <c r="U505">
        <v>2</v>
      </c>
    </row>
    <row r="506" spans="1:21" x14ac:dyDescent="0.3">
      <c r="A506" t="s">
        <v>612</v>
      </c>
      <c r="B506" s="2">
        <v>45947</v>
      </c>
      <c r="C506" t="s">
        <v>76</v>
      </c>
      <c r="D506" t="s">
        <v>115</v>
      </c>
      <c r="E506" t="s">
        <v>24</v>
      </c>
      <c r="F506" t="s">
        <v>47</v>
      </c>
      <c r="G506" t="s">
        <v>34</v>
      </c>
      <c r="H506" t="s">
        <v>27</v>
      </c>
      <c r="I506" t="s">
        <v>63</v>
      </c>
      <c r="J506" t="s">
        <v>42</v>
      </c>
      <c r="K506">
        <v>4</v>
      </c>
      <c r="L506">
        <v>136732</v>
      </c>
      <c r="M506">
        <v>4.7E-2</v>
      </c>
      <c r="N506">
        <v>546928</v>
      </c>
      <c r="O506">
        <v>25705.62</v>
      </c>
      <c r="P506">
        <v>521222.38</v>
      </c>
      <c r="Q506">
        <v>3</v>
      </c>
      <c r="R506">
        <v>155</v>
      </c>
      <c r="S506">
        <v>3.6</v>
      </c>
      <c r="T506">
        <v>10</v>
      </c>
      <c r="U506">
        <v>2</v>
      </c>
    </row>
    <row r="507" spans="1:21" x14ac:dyDescent="0.3">
      <c r="A507" t="s">
        <v>613</v>
      </c>
      <c r="B507" s="2">
        <v>45868</v>
      </c>
      <c r="C507" t="s">
        <v>76</v>
      </c>
      <c r="D507" t="s">
        <v>115</v>
      </c>
      <c r="E507" t="s">
        <v>46</v>
      </c>
      <c r="F507" t="s">
        <v>74</v>
      </c>
      <c r="G507" t="s">
        <v>26</v>
      </c>
      <c r="H507" t="s">
        <v>27</v>
      </c>
      <c r="I507" t="s">
        <v>36</v>
      </c>
      <c r="J507" t="s">
        <v>54</v>
      </c>
      <c r="K507">
        <v>2</v>
      </c>
      <c r="L507">
        <v>126634</v>
      </c>
      <c r="M507">
        <v>6.7000000000000004E-2</v>
      </c>
      <c r="N507">
        <v>253268</v>
      </c>
      <c r="O507">
        <v>16968.96</v>
      </c>
      <c r="P507">
        <v>236299.04</v>
      </c>
      <c r="Q507">
        <v>4</v>
      </c>
      <c r="R507">
        <v>198</v>
      </c>
      <c r="S507">
        <v>4.3</v>
      </c>
      <c r="T507">
        <v>9</v>
      </c>
      <c r="U507">
        <v>2</v>
      </c>
    </row>
    <row r="508" spans="1:21" x14ac:dyDescent="0.3">
      <c r="A508" t="s">
        <v>614</v>
      </c>
      <c r="B508" s="2">
        <v>45859</v>
      </c>
      <c r="C508" t="s">
        <v>99</v>
      </c>
      <c r="D508" t="s">
        <v>121</v>
      </c>
      <c r="E508" t="s">
        <v>46</v>
      </c>
      <c r="F508" t="s">
        <v>101</v>
      </c>
      <c r="G508" t="s">
        <v>67</v>
      </c>
      <c r="H508" t="s">
        <v>27</v>
      </c>
      <c r="I508" t="s">
        <v>94</v>
      </c>
      <c r="J508" t="s">
        <v>148</v>
      </c>
      <c r="K508">
        <v>1</v>
      </c>
      <c r="L508">
        <v>101066</v>
      </c>
      <c r="M508">
        <v>7.5999999999999998E-2</v>
      </c>
      <c r="N508">
        <v>101066</v>
      </c>
      <c r="O508">
        <v>7681.02</v>
      </c>
      <c r="P508">
        <v>93384.98</v>
      </c>
      <c r="Q508">
        <v>5</v>
      </c>
      <c r="R508">
        <v>202</v>
      </c>
      <c r="S508">
        <v>3.7</v>
      </c>
      <c r="T508">
        <v>10</v>
      </c>
      <c r="U508">
        <v>5</v>
      </c>
    </row>
    <row r="509" spans="1:21" x14ac:dyDescent="0.3">
      <c r="A509" t="s">
        <v>615</v>
      </c>
      <c r="B509" s="2">
        <v>45928</v>
      </c>
      <c r="C509" t="s">
        <v>44</v>
      </c>
      <c r="D509" t="s">
        <v>45</v>
      </c>
      <c r="E509" t="s">
        <v>62</v>
      </c>
      <c r="F509" t="s">
        <v>70</v>
      </c>
      <c r="G509" t="s">
        <v>26</v>
      </c>
      <c r="H509" t="s">
        <v>35</v>
      </c>
      <c r="I509" t="s">
        <v>48</v>
      </c>
      <c r="J509" t="s">
        <v>148</v>
      </c>
      <c r="K509">
        <v>5</v>
      </c>
      <c r="L509">
        <v>156223</v>
      </c>
      <c r="M509">
        <v>3.1E-2</v>
      </c>
      <c r="N509">
        <v>781115</v>
      </c>
      <c r="O509">
        <v>24214.560000000001</v>
      </c>
      <c r="P509">
        <v>756900.44</v>
      </c>
      <c r="Q509">
        <v>4</v>
      </c>
      <c r="R509">
        <v>167</v>
      </c>
      <c r="S509">
        <v>4.2</v>
      </c>
      <c r="T509">
        <v>13</v>
      </c>
      <c r="U509">
        <v>2</v>
      </c>
    </row>
    <row r="510" spans="1:21" x14ac:dyDescent="0.3">
      <c r="A510" t="s">
        <v>616</v>
      </c>
      <c r="B510" s="2">
        <v>45962</v>
      </c>
      <c r="C510" t="s">
        <v>44</v>
      </c>
      <c r="D510" t="s">
        <v>45</v>
      </c>
      <c r="E510" t="s">
        <v>62</v>
      </c>
      <c r="F510" t="s">
        <v>52</v>
      </c>
      <c r="G510" t="s">
        <v>26</v>
      </c>
      <c r="H510" t="s">
        <v>53</v>
      </c>
      <c r="I510" t="s">
        <v>36</v>
      </c>
      <c r="J510" t="s">
        <v>203</v>
      </c>
      <c r="K510">
        <v>2</v>
      </c>
      <c r="L510">
        <v>153638</v>
      </c>
      <c r="M510">
        <v>2.5999999999999999E-2</v>
      </c>
      <c r="N510">
        <v>307276</v>
      </c>
      <c r="O510">
        <v>7989.18</v>
      </c>
      <c r="P510">
        <v>299286.82</v>
      </c>
      <c r="Q510">
        <v>5</v>
      </c>
      <c r="R510">
        <v>226</v>
      </c>
      <c r="S510">
        <v>4.8</v>
      </c>
      <c r="T510">
        <v>5</v>
      </c>
      <c r="U510">
        <v>2</v>
      </c>
    </row>
    <row r="511" spans="1:21" x14ac:dyDescent="0.3">
      <c r="A511" t="s">
        <v>617</v>
      </c>
      <c r="B511" s="2">
        <v>45861</v>
      </c>
      <c r="C511" t="s">
        <v>87</v>
      </c>
      <c r="D511" t="s">
        <v>88</v>
      </c>
      <c r="E511" t="s">
        <v>46</v>
      </c>
      <c r="F511" t="s">
        <v>41</v>
      </c>
      <c r="G511" t="s">
        <v>26</v>
      </c>
      <c r="H511" t="s">
        <v>35</v>
      </c>
      <c r="I511" t="s">
        <v>57</v>
      </c>
      <c r="J511" t="s">
        <v>29</v>
      </c>
      <c r="K511">
        <v>1</v>
      </c>
      <c r="L511">
        <v>147032</v>
      </c>
      <c r="M511">
        <v>9.4E-2</v>
      </c>
      <c r="N511">
        <v>147032</v>
      </c>
      <c r="O511">
        <v>13821.01</v>
      </c>
      <c r="P511">
        <v>133210.99</v>
      </c>
      <c r="Q511">
        <v>3</v>
      </c>
      <c r="R511">
        <v>160</v>
      </c>
      <c r="S511">
        <v>3.1</v>
      </c>
      <c r="T511">
        <v>2</v>
      </c>
      <c r="U511">
        <v>5</v>
      </c>
    </row>
    <row r="512" spans="1:21" x14ac:dyDescent="0.3">
      <c r="A512" t="s">
        <v>618</v>
      </c>
      <c r="B512" s="2">
        <v>45690</v>
      </c>
      <c r="C512" t="s">
        <v>44</v>
      </c>
      <c r="D512" t="s">
        <v>51</v>
      </c>
      <c r="E512" t="s">
        <v>62</v>
      </c>
      <c r="F512" t="s">
        <v>74</v>
      </c>
      <c r="G512" t="s">
        <v>67</v>
      </c>
      <c r="H512" t="s">
        <v>27</v>
      </c>
      <c r="I512" t="s">
        <v>94</v>
      </c>
      <c r="J512" t="s">
        <v>118</v>
      </c>
      <c r="K512">
        <v>2</v>
      </c>
      <c r="L512">
        <v>126674</v>
      </c>
      <c r="M512">
        <v>0.05</v>
      </c>
      <c r="N512">
        <v>253348</v>
      </c>
      <c r="O512">
        <v>12667.4</v>
      </c>
      <c r="P512">
        <v>240680.6</v>
      </c>
      <c r="Q512">
        <v>3</v>
      </c>
      <c r="R512">
        <v>159</v>
      </c>
      <c r="S512">
        <v>3.2</v>
      </c>
      <c r="T512">
        <v>2</v>
      </c>
      <c r="U512">
        <v>5</v>
      </c>
    </row>
    <row r="513" spans="1:21" x14ac:dyDescent="0.3">
      <c r="A513" t="s">
        <v>619</v>
      </c>
      <c r="B513" s="2">
        <v>45955</v>
      </c>
      <c r="C513" t="s">
        <v>39</v>
      </c>
      <c r="D513" t="s">
        <v>154</v>
      </c>
      <c r="E513" t="s">
        <v>62</v>
      </c>
      <c r="F513" t="s">
        <v>74</v>
      </c>
      <c r="G513" t="s">
        <v>56</v>
      </c>
      <c r="H513" t="s">
        <v>53</v>
      </c>
      <c r="I513" t="s">
        <v>48</v>
      </c>
      <c r="J513" t="s">
        <v>131</v>
      </c>
      <c r="K513">
        <v>1</v>
      </c>
      <c r="L513">
        <v>182692</v>
      </c>
      <c r="M513">
        <v>9.9000000000000005E-2</v>
      </c>
      <c r="N513">
        <v>182692</v>
      </c>
      <c r="O513">
        <v>18086.509999999998</v>
      </c>
      <c r="P513">
        <v>164605.49</v>
      </c>
      <c r="Q513">
        <v>4</v>
      </c>
      <c r="R513">
        <v>166</v>
      </c>
      <c r="S513">
        <v>4.2</v>
      </c>
      <c r="T513">
        <v>7</v>
      </c>
      <c r="U513">
        <v>3</v>
      </c>
    </row>
    <row r="514" spans="1:21" x14ac:dyDescent="0.3">
      <c r="A514" t="s">
        <v>620</v>
      </c>
      <c r="B514" s="2">
        <v>45938</v>
      </c>
      <c r="C514" t="s">
        <v>76</v>
      </c>
      <c r="D514" t="s">
        <v>115</v>
      </c>
      <c r="E514" t="s">
        <v>24</v>
      </c>
      <c r="F514" t="s">
        <v>47</v>
      </c>
      <c r="G514" t="s">
        <v>34</v>
      </c>
      <c r="H514" t="s">
        <v>27</v>
      </c>
      <c r="I514" t="s">
        <v>36</v>
      </c>
      <c r="J514" t="s">
        <v>64</v>
      </c>
      <c r="K514">
        <v>2</v>
      </c>
      <c r="L514">
        <v>136931</v>
      </c>
      <c r="M514">
        <v>0.1</v>
      </c>
      <c r="N514">
        <v>273862</v>
      </c>
      <c r="O514">
        <v>27386.2</v>
      </c>
      <c r="P514">
        <v>246475.8</v>
      </c>
      <c r="Q514">
        <v>5</v>
      </c>
      <c r="R514">
        <v>209</v>
      </c>
      <c r="S514">
        <v>4.5</v>
      </c>
      <c r="T514">
        <v>3</v>
      </c>
      <c r="U514">
        <v>3</v>
      </c>
    </row>
    <row r="515" spans="1:21" x14ac:dyDescent="0.3">
      <c r="A515" t="s">
        <v>621</v>
      </c>
      <c r="B515" s="2">
        <v>45963</v>
      </c>
      <c r="C515" t="s">
        <v>60</v>
      </c>
      <c r="D515" t="s">
        <v>61</v>
      </c>
      <c r="E515" t="s">
        <v>46</v>
      </c>
      <c r="F515" t="s">
        <v>41</v>
      </c>
      <c r="G515" t="s">
        <v>34</v>
      </c>
      <c r="H515" t="s">
        <v>53</v>
      </c>
      <c r="I515" t="s">
        <v>48</v>
      </c>
      <c r="J515" t="s">
        <v>37</v>
      </c>
      <c r="K515">
        <v>1</v>
      </c>
      <c r="L515">
        <v>116335</v>
      </c>
      <c r="M515">
        <v>0.112</v>
      </c>
      <c r="N515">
        <v>116335</v>
      </c>
      <c r="O515">
        <v>13029.52</v>
      </c>
      <c r="P515">
        <v>103305.48</v>
      </c>
      <c r="Q515">
        <v>5</v>
      </c>
      <c r="R515">
        <v>195</v>
      </c>
      <c r="S515">
        <v>3.6</v>
      </c>
      <c r="T515">
        <v>12</v>
      </c>
      <c r="U515">
        <v>5</v>
      </c>
    </row>
    <row r="516" spans="1:21" x14ac:dyDescent="0.3">
      <c r="A516" t="s">
        <v>622</v>
      </c>
      <c r="B516" s="2">
        <v>46011</v>
      </c>
      <c r="C516" t="s">
        <v>99</v>
      </c>
      <c r="D516" t="s">
        <v>100</v>
      </c>
      <c r="E516" t="s">
        <v>62</v>
      </c>
      <c r="F516" t="s">
        <v>66</v>
      </c>
      <c r="G516" t="s">
        <v>67</v>
      </c>
      <c r="H516" t="s">
        <v>35</v>
      </c>
      <c r="I516" t="s">
        <v>94</v>
      </c>
      <c r="J516" t="s">
        <v>123</v>
      </c>
      <c r="K516">
        <v>1</v>
      </c>
      <c r="L516">
        <v>122742</v>
      </c>
      <c r="M516">
        <v>3.9E-2</v>
      </c>
      <c r="N516">
        <v>122742</v>
      </c>
      <c r="O516">
        <v>4786.9399999999996</v>
      </c>
      <c r="P516">
        <v>117955.06</v>
      </c>
      <c r="Q516">
        <v>3</v>
      </c>
      <c r="R516">
        <v>190</v>
      </c>
      <c r="S516">
        <v>3.6</v>
      </c>
      <c r="T516">
        <v>5</v>
      </c>
      <c r="U516">
        <v>3</v>
      </c>
    </row>
    <row r="517" spans="1:21" x14ac:dyDescent="0.3">
      <c r="A517" t="s">
        <v>623</v>
      </c>
      <c r="B517" s="2">
        <v>45976</v>
      </c>
      <c r="C517" t="s">
        <v>76</v>
      </c>
      <c r="D517" t="s">
        <v>115</v>
      </c>
      <c r="E517" t="s">
        <v>62</v>
      </c>
      <c r="F517" t="s">
        <v>101</v>
      </c>
      <c r="G517" t="s">
        <v>26</v>
      </c>
      <c r="H517" t="s">
        <v>53</v>
      </c>
      <c r="I517" t="s">
        <v>36</v>
      </c>
      <c r="J517" t="s">
        <v>78</v>
      </c>
      <c r="K517">
        <v>1</v>
      </c>
      <c r="L517">
        <v>135585</v>
      </c>
      <c r="M517">
        <v>0.11899999999999999</v>
      </c>
      <c r="N517">
        <v>135585</v>
      </c>
      <c r="O517">
        <v>16134.61</v>
      </c>
      <c r="P517">
        <v>119450.39</v>
      </c>
      <c r="Q517">
        <v>4</v>
      </c>
      <c r="R517">
        <v>166</v>
      </c>
      <c r="S517">
        <v>3.8</v>
      </c>
      <c r="T517">
        <v>10</v>
      </c>
      <c r="U517">
        <v>5</v>
      </c>
    </row>
    <row r="518" spans="1:21" x14ac:dyDescent="0.3">
      <c r="A518" t="s">
        <v>624</v>
      </c>
      <c r="B518" s="2">
        <v>45874</v>
      </c>
      <c r="C518" t="s">
        <v>22</v>
      </c>
      <c r="D518" t="s">
        <v>107</v>
      </c>
      <c r="E518" t="s">
        <v>62</v>
      </c>
      <c r="G518" t="s">
        <v>34</v>
      </c>
      <c r="H518" t="s">
        <v>27</v>
      </c>
      <c r="I518" t="s">
        <v>28</v>
      </c>
      <c r="J518" t="s">
        <v>109</v>
      </c>
      <c r="K518">
        <v>1</v>
      </c>
      <c r="L518">
        <v>142930</v>
      </c>
      <c r="M518">
        <v>0.11600000000000001</v>
      </c>
      <c r="N518">
        <v>142930</v>
      </c>
      <c r="O518">
        <v>16579.88</v>
      </c>
      <c r="P518">
        <v>126350.12</v>
      </c>
      <c r="Q518">
        <v>4</v>
      </c>
      <c r="R518">
        <v>184</v>
      </c>
      <c r="S518">
        <v>3.8</v>
      </c>
      <c r="T518">
        <v>7</v>
      </c>
      <c r="U518">
        <v>3</v>
      </c>
    </row>
    <row r="519" spans="1:21" x14ac:dyDescent="0.3">
      <c r="A519" t="s">
        <v>625</v>
      </c>
      <c r="B519" s="2">
        <v>45813</v>
      </c>
      <c r="C519" t="s">
        <v>31</v>
      </c>
      <c r="D519" t="s">
        <v>32</v>
      </c>
      <c r="E519" t="s">
        <v>46</v>
      </c>
      <c r="F519" t="s">
        <v>33</v>
      </c>
      <c r="G519" t="s">
        <v>67</v>
      </c>
      <c r="H519" t="s">
        <v>27</v>
      </c>
      <c r="I519" t="s">
        <v>36</v>
      </c>
      <c r="J519" t="s">
        <v>143</v>
      </c>
      <c r="K519">
        <v>1</v>
      </c>
      <c r="L519">
        <v>103550</v>
      </c>
      <c r="M519">
        <v>2.8000000000000001E-2</v>
      </c>
      <c r="N519">
        <v>103550</v>
      </c>
      <c r="O519">
        <v>2899.4</v>
      </c>
      <c r="P519">
        <v>100650.6</v>
      </c>
      <c r="Q519">
        <v>4</v>
      </c>
      <c r="R519">
        <v>181</v>
      </c>
      <c r="S519">
        <v>4.7</v>
      </c>
      <c r="T519">
        <v>12</v>
      </c>
      <c r="U519">
        <v>2</v>
      </c>
    </row>
    <row r="520" spans="1:21" x14ac:dyDescent="0.3">
      <c r="A520" t="s">
        <v>626</v>
      </c>
      <c r="B520" s="2">
        <v>45967</v>
      </c>
      <c r="C520" t="s">
        <v>87</v>
      </c>
      <c r="D520" t="s">
        <v>88</v>
      </c>
      <c r="E520" t="s">
        <v>62</v>
      </c>
      <c r="F520" t="s">
        <v>33</v>
      </c>
      <c r="G520" t="s">
        <v>34</v>
      </c>
      <c r="H520" t="s">
        <v>35</v>
      </c>
      <c r="I520" t="s">
        <v>28</v>
      </c>
      <c r="J520" t="s">
        <v>92</v>
      </c>
      <c r="K520">
        <v>1</v>
      </c>
      <c r="L520">
        <v>143423</v>
      </c>
      <c r="M520">
        <v>0.1</v>
      </c>
      <c r="N520">
        <v>143423</v>
      </c>
      <c r="O520">
        <v>14342.3</v>
      </c>
      <c r="P520">
        <v>129080.7</v>
      </c>
      <c r="Q520">
        <v>4</v>
      </c>
      <c r="R520">
        <v>206</v>
      </c>
      <c r="S520">
        <v>4</v>
      </c>
      <c r="T520">
        <v>9</v>
      </c>
      <c r="U520">
        <v>5</v>
      </c>
    </row>
    <row r="521" spans="1:21" x14ac:dyDescent="0.3">
      <c r="A521" t="s">
        <v>627</v>
      </c>
      <c r="B521" s="2">
        <v>45799</v>
      </c>
      <c r="C521" t="s">
        <v>44</v>
      </c>
      <c r="D521" t="s">
        <v>45</v>
      </c>
      <c r="E521" t="s">
        <v>24</v>
      </c>
      <c r="F521" t="s">
        <v>25</v>
      </c>
      <c r="G521" t="s">
        <v>34</v>
      </c>
      <c r="H521" t="s">
        <v>35</v>
      </c>
      <c r="I521" t="s">
        <v>94</v>
      </c>
      <c r="J521" t="s">
        <v>104</v>
      </c>
      <c r="K521">
        <v>4</v>
      </c>
      <c r="L521">
        <v>151144</v>
      </c>
      <c r="M521">
        <v>6.2E-2</v>
      </c>
      <c r="N521">
        <v>604576</v>
      </c>
      <c r="O521">
        <v>37483.71</v>
      </c>
      <c r="P521">
        <v>567092.29</v>
      </c>
      <c r="Q521">
        <v>5</v>
      </c>
      <c r="R521">
        <v>192</v>
      </c>
      <c r="S521">
        <v>3.8</v>
      </c>
      <c r="T521">
        <v>12</v>
      </c>
      <c r="U521">
        <v>5</v>
      </c>
    </row>
    <row r="522" spans="1:21" x14ac:dyDescent="0.3">
      <c r="A522" t="s">
        <v>628</v>
      </c>
      <c r="B522" s="2">
        <v>45734</v>
      </c>
      <c r="C522" t="s">
        <v>76</v>
      </c>
      <c r="D522" t="s">
        <v>77</v>
      </c>
      <c r="E522" t="s">
        <v>24</v>
      </c>
      <c r="F522" t="s">
        <v>101</v>
      </c>
      <c r="G522" t="s">
        <v>26</v>
      </c>
      <c r="H522" t="s">
        <v>27</v>
      </c>
      <c r="I522" t="s">
        <v>94</v>
      </c>
      <c r="J522" t="s">
        <v>157</v>
      </c>
      <c r="K522">
        <v>2</v>
      </c>
      <c r="L522">
        <v>153796</v>
      </c>
      <c r="M522">
        <v>8.5000000000000006E-2</v>
      </c>
      <c r="N522">
        <v>307592</v>
      </c>
      <c r="O522">
        <v>26145.32</v>
      </c>
      <c r="P522">
        <v>281446.68</v>
      </c>
      <c r="Q522">
        <v>4</v>
      </c>
      <c r="R522">
        <v>174</v>
      </c>
      <c r="S522">
        <v>4.0999999999999996</v>
      </c>
      <c r="T522">
        <v>13</v>
      </c>
      <c r="U522">
        <v>2</v>
      </c>
    </row>
    <row r="523" spans="1:21" x14ac:dyDescent="0.3">
      <c r="A523" t="s">
        <v>629</v>
      </c>
      <c r="B523" s="2">
        <v>45799</v>
      </c>
      <c r="C523" t="s">
        <v>76</v>
      </c>
      <c r="D523" t="s">
        <v>77</v>
      </c>
      <c r="E523" t="s">
        <v>24</v>
      </c>
      <c r="F523" t="s">
        <v>74</v>
      </c>
      <c r="G523" t="s">
        <v>34</v>
      </c>
      <c r="H523" t="s">
        <v>35</v>
      </c>
      <c r="I523" t="s">
        <v>36</v>
      </c>
      <c r="J523" t="s">
        <v>72</v>
      </c>
      <c r="K523">
        <v>2</v>
      </c>
      <c r="L523">
        <v>137253</v>
      </c>
      <c r="M523">
        <v>7.6999999999999999E-2</v>
      </c>
      <c r="N523">
        <v>274506</v>
      </c>
      <c r="O523">
        <v>21136.959999999999</v>
      </c>
      <c r="P523">
        <v>253369.04</v>
      </c>
      <c r="Q523">
        <v>4</v>
      </c>
      <c r="R523">
        <v>177</v>
      </c>
      <c r="S523">
        <v>3.9</v>
      </c>
      <c r="T523">
        <v>12</v>
      </c>
      <c r="U523">
        <v>5</v>
      </c>
    </row>
    <row r="524" spans="1:21" x14ac:dyDescent="0.3">
      <c r="A524" t="s">
        <v>630</v>
      </c>
      <c r="B524" s="2">
        <v>45741</v>
      </c>
      <c r="C524" t="s">
        <v>60</v>
      </c>
      <c r="D524" t="s">
        <v>61</v>
      </c>
      <c r="E524" t="s">
        <v>62</v>
      </c>
      <c r="F524" t="s">
        <v>47</v>
      </c>
      <c r="G524" t="s">
        <v>56</v>
      </c>
      <c r="H524" t="s">
        <v>27</v>
      </c>
      <c r="I524" t="s">
        <v>28</v>
      </c>
      <c r="J524" t="s">
        <v>49</v>
      </c>
      <c r="K524">
        <v>1</v>
      </c>
      <c r="L524">
        <v>116806</v>
      </c>
      <c r="M524">
        <v>8.7999999999999995E-2</v>
      </c>
      <c r="N524">
        <v>116806</v>
      </c>
      <c r="O524">
        <v>10278.93</v>
      </c>
      <c r="P524">
        <v>106527.07</v>
      </c>
      <c r="Q524">
        <v>4</v>
      </c>
      <c r="R524">
        <v>182</v>
      </c>
      <c r="S524">
        <v>4.4000000000000004</v>
      </c>
      <c r="T524">
        <v>2</v>
      </c>
      <c r="U524">
        <v>3</v>
      </c>
    </row>
    <row r="525" spans="1:21" x14ac:dyDescent="0.3">
      <c r="A525" t="s">
        <v>631</v>
      </c>
      <c r="B525" s="2">
        <v>45975</v>
      </c>
      <c r="C525" t="s">
        <v>76</v>
      </c>
      <c r="D525" t="s">
        <v>77</v>
      </c>
      <c r="E525" t="s">
        <v>46</v>
      </c>
      <c r="F525" t="s">
        <v>70</v>
      </c>
      <c r="G525" t="s">
        <v>34</v>
      </c>
      <c r="H525" t="s">
        <v>27</v>
      </c>
      <c r="I525" t="s">
        <v>57</v>
      </c>
      <c r="J525" t="s">
        <v>123</v>
      </c>
      <c r="K525">
        <v>1</v>
      </c>
      <c r="L525">
        <v>138581</v>
      </c>
      <c r="M525">
        <v>2.8000000000000001E-2</v>
      </c>
      <c r="N525">
        <v>138581</v>
      </c>
      <c r="O525">
        <v>3880.27</v>
      </c>
      <c r="P525">
        <v>134700.73000000001</v>
      </c>
      <c r="Q525">
        <v>4</v>
      </c>
      <c r="R525">
        <v>193</v>
      </c>
      <c r="S525">
        <v>4.3</v>
      </c>
      <c r="T525">
        <v>13</v>
      </c>
      <c r="U525">
        <v>5</v>
      </c>
    </row>
    <row r="526" spans="1:21" x14ac:dyDescent="0.3">
      <c r="A526" t="s">
        <v>632</v>
      </c>
      <c r="B526" s="2">
        <v>45677</v>
      </c>
      <c r="C526" t="s">
        <v>99</v>
      </c>
      <c r="D526" t="s">
        <v>100</v>
      </c>
      <c r="E526" t="s">
        <v>62</v>
      </c>
      <c r="F526" t="s">
        <v>74</v>
      </c>
      <c r="G526" t="s">
        <v>26</v>
      </c>
      <c r="H526" t="s">
        <v>35</v>
      </c>
      <c r="I526" t="s">
        <v>28</v>
      </c>
      <c r="J526" t="s">
        <v>109</v>
      </c>
      <c r="K526">
        <v>2</v>
      </c>
      <c r="L526">
        <v>113778</v>
      </c>
      <c r="M526">
        <v>5.2999999999999999E-2</v>
      </c>
      <c r="N526">
        <v>227556</v>
      </c>
      <c r="O526">
        <v>12060.47</v>
      </c>
      <c r="P526">
        <v>215495.53</v>
      </c>
      <c r="Q526">
        <v>3</v>
      </c>
      <c r="R526">
        <v>157</v>
      </c>
      <c r="S526">
        <v>4.5999999999999996</v>
      </c>
      <c r="T526">
        <v>14</v>
      </c>
      <c r="U526">
        <v>2</v>
      </c>
    </row>
    <row r="527" spans="1:21" x14ac:dyDescent="0.3">
      <c r="A527" t="s">
        <v>633</v>
      </c>
      <c r="B527" s="2">
        <v>45867</v>
      </c>
      <c r="C527" t="s">
        <v>87</v>
      </c>
      <c r="D527" t="s">
        <v>88</v>
      </c>
      <c r="E527" t="s">
        <v>46</v>
      </c>
      <c r="F527" t="s">
        <v>66</v>
      </c>
      <c r="G527" t="s">
        <v>56</v>
      </c>
      <c r="H527" t="s">
        <v>53</v>
      </c>
      <c r="I527" t="s">
        <v>94</v>
      </c>
      <c r="J527" t="s">
        <v>143</v>
      </c>
      <c r="K527">
        <v>1</v>
      </c>
      <c r="L527">
        <v>150568</v>
      </c>
      <c r="M527">
        <v>9.0999999999999998E-2</v>
      </c>
      <c r="N527">
        <v>150568</v>
      </c>
      <c r="O527">
        <v>13701.69</v>
      </c>
      <c r="P527">
        <v>136866.31</v>
      </c>
      <c r="Q527">
        <v>4</v>
      </c>
      <c r="R527">
        <v>190</v>
      </c>
      <c r="S527">
        <v>3.6</v>
      </c>
      <c r="T527">
        <v>12</v>
      </c>
      <c r="U527">
        <v>2</v>
      </c>
    </row>
    <row r="528" spans="1:21" x14ac:dyDescent="0.3">
      <c r="A528" t="s">
        <v>634</v>
      </c>
      <c r="B528" s="2">
        <v>46014</v>
      </c>
      <c r="C528" t="s">
        <v>39</v>
      </c>
      <c r="D528" t="s">
        <v>40</v>
      </c>
      <c r="E528" t="s">
        <v>62</v>
      </c>
      <c r="F528" t="s">
        <v>25</v>
      </c>
      <c r="G528" t="s">
        <v>34</v>
      </c>
      <c r="H528" t="s">
        <v>53</v>
      </c>
      <c r="I528" t="s">
        <v>94</v>
      </c>
      <c r="J528" t="s">
        <v>54</v>
      </c>
      <c r="K528">
        <v>1</v>
      </c>
      <c r="L528">
        <v>129328</v>
      </c>
      <c r="M528">
        <v>4.4999999999999998E-2</v>
      </c>
      <c r="N528">
        <v>129328</v>
      </c>
      <c r="O528">
        <v>5819.76</v>
      </c>
      <c r="P528">
        <v>123508.24</v>
      </c>
      <c r="Q528">
        <v>2</v>
      </c>
      <c r="R528">
        <v>150</v>
      </c>
      <c r="S528">
        <v>3.6</v>
      </c>
      <c r="T528">
        <v>8</v>
      </c>
      <c r="U528">
        <v>5</v>
      </c>
    </row>
    <row r="529" spans="1:21" x14ac:dyDescent="0.3">
      <c r="A529" t="s">
        <v>635</v>
      </c>
      <c r="B529" s="2">
        <v>45977</v>
      </c>
      <c r="C529" t="s">
        <v>39</v>
      </c>
      <c r="D529" t="s">
        <v>40</v>
      </c>
      <c r="E529" t="s">
        <v>62</v>
      </c>
      <c r="F529" t="s">
        <v>41</v>
      </c>
      <c r="G529" t="s">
        <v>67</v>
      </c>
      <c r="H529" t="s">
        <v>35</v>
      </c>
      <c r="I529" t="s">
        <v>57</v>
      </c>
      <c r="J529" t="s">
        <v>83</v>
      </c>
      <c r="K529">
        <v>2</v>
      </c>
      <c r="L529">
        <v>127137</v>
      </c>
      <c r="N529">
        <v>254274</v>
      </c>
      <c r="O529">
        <v>25935.95</v>
      </c>
      <c r="P529">
        <v>228338.05</v>
      </c>
      <c r="Q529">
        <v>5</v>
      </c>
      <c r="R529">
        <v>205</v>
      </c>
      <c r="S529">
        <v>4.7</v>
      </c>
      <c r="T529">
        <v>14</v>
      </c>
      <c r="U529">
        <v>5</v>
      </c>
    </row>
    <row r="530" spans="1:21" x14ac:dyDescent="0.3">
      <c r="A530" t="s">
        <v>636</v>
      </c>
      <c r="B530" s="2">
        <v>46022</v>
      </c>
      <c r="C530" t="s">
        <v>44</v>
      </c>
      <c r="D530" t="s">
        <v>51</v>
      </c>
      <c r="E530" t="s">
        <v>46</v>
      </c>
      <c r="F530" t="s">
        <v>70</v>
      </c>
      <c r="G530" t="s">
        <v>26</v>
      </c>
      <c r="H530" t="s">
        <v>27</v>
      </c>
      <c r="I530" t="s">
        <v>28</v>
      </c>
      <c r="J530" t="s">
        <v>37</v>
      </c>
      <c r="K530">
        <v>1</v>
      </c>
      <c r="L530">
        <v>126846</v>
      </c>
      <c r="M530">
        <v>4.5999999999999999E-2</v>
      </c>
      <c r="N530">
        <v>126846</v>
      </c>
      <c r="O530">
        <v>5834.92</v>
      </c>
      <c r="P530">
        <v>121011.08</v>
      </c>
      <c r="Q530">
        <v>3</v>
      </c>
      <c r="R530">
        <v>188</v>
      </c>
      <c r="S530">
        <v>4.3</v>
      </c>
      <c r="T530">
        <v>13</v>
      </c>
      <c r="U530">
        <v>2</v>
      </c>
    </row>
    <row r="531" spans="1:21" x14ac:dyDescent="0.3">
      <c r="A531" t="s">
        <v>637</v>
      </c>
      <c r="B531" s="2">
        <v>46009</v>
      </c>
      <c r="C531" t="s">
        <v>39</v>
      </c>
      <c r="D531" t="s">
        <v>154</v>
      </c>
      <c r="E531" t="s">
        <v>24</v>
      </c>
      <c r="F531" t="s">
        <v>47</v>
      </c>
      <c r="G531" t="s">
        <v>34</v>
      </c>
      <c r="H531" t="s">
        <v>53</v>
      </c>
      <c r="I531" t="s">
        <v>48</v>
      </c>
      <c r="J531" t="s">
        <v>118</v>
      </c>
      <c r="K531">
        <v>1</v>
      </c>
      <c r="L531">
        <v>174370</v>
      </c>
      <c r="M531">
        <v>6.9000000000000006E-2</v>
      </c>
      <c r="N531">
        <v>174370</v>
      </c>
      <c r="O531">
        <v>12031.53</v>
      </c>
      <c r="P531">
        <v>162338.47</v>
      </c>
      <c r="Q531">
        <v>5</v>
      </c>
      <c r="R531">
        <v>209</v>
      </c>
      <c r="S531">
        <v>4.0999999999999996</v>
      </c>
      <c r="T531">
        <v>8</v>
      </c>
      <c r="U531">
        <v>2</v>
      </c>
    </row>
    <row r="532" spans="1:21" x14ac:dyDescent="0.3">
      <c r="A532" t="s">
        <v>638</v>
      </c>
      <c r="B532" s="2">
        <v>46003</v>
      </c>
      <c r="C532" t="s">
        <v>87</v>
      </c>
      <c r="D532" t="s">
        <v>130</v>
      </c>
      <c r="E532" t="s">
        <v>62</v>
      </c>
      <c r="F532" t="s">
        <v>52</v>
      </c>
      <c r="G532" t="s">
        <v>26</v>
      </c>
      <c r="H532" t="s">
        <v>27</v>
      </c>
      <c r="I532" t="s">
        <v>63</v>
      </c>
      <c r="J532" t="s">
        <v>83</v>
      </c>
      <c r="K532">
        <v>4</v>
      </c>
      <c r="L532">
        <v>117926</v>
      </c>
      <c r="M532">
        <v>7.1999999999999995E-2</v>
      </c>
      <c r="N532">
        <v>471704</v>
      </c>
      <c r="O532">
        <v>33962.69</v>
      </c>
      <c r="P532">
        <v>437741.31</v>
      </c>
      <c r="Q532">
        <v>4</v>
      </c>
      <c r="R532">
        <v>176</v>
      </c>
      <c r="S532">
        <v>4.3</v>
      </c>
      <c r="T532">
        <v>8</v>
      </c>
      <c r="U532">
        <v>5</v>
      </c>
    </row>
    <row r="533" spans="1:21" x14ac:dyDescent="0.3">
      <c r="A533" t="s">
        <v>639</v>
      </c>
      <c r="B533" s="2">
        <v>45985</v>
      </c>
      <c r="C533" t="s">
        <v>39</v>
      </c>
      <c r="D533" t="s">
        <v>40</v>
      </c>
      <c r="E533" t="s">
        <v>24</v>
      </c>
      <c r="F533" t="s">
        <v>74</v>
      </c>
      <c r="G533" t="s">
        <v>56</v>
      </c>
      <c r="H533" t="s">
        <v>35</v>
      </c>
      <c r="I533" t="s">
        <v>36</v>
      </c>
      <c r="J533" t="s">
        <v>143</v>
      </c>
      <c r="K533">
        <v>1</v>
      </c>
      <c r="L533">
        <v>128405</v>
      </c>
      <c r="M533">
        <v>2.7E-2</v>
      </c>
      <c r="N533">
        <v>128405</v>
      </c>
      <c r="O533">
        <v>3466.93</v>
      </c>
      <c r="P533">
        <v>124938.07</v>
      </c>
      <c r="Q533">
        <v>4</v>
      </c>
      <c r="R533">
        <v>185</v>
      </c>
      <c r="S533">
        <v>3.5</v>
      </c>
      <c r="T533">
        <v>2</v>
      </c>
      <c r="U533">
        <v>2</v>
      </c>
    </row>
    <row r="534" spans="1:21" x14ac:dyDescent="0.3">
      <c r="A534" t="s">
        <v>640</v>
      </c>
      <c r="B534" s="2">
        <v>45851</v>
      </c>
      <c r="C534" t="s">
        <v>60</v>
      </c>
      <c r="D534" t="s">
        <v>61</v>
      </c>
      <c r="E534" t="s">
        <v>46</v>
      </c>
      <c r="F534" t="s">
        <v>74</v>
      </c>
      <c r="G534" t="s">
        <v>56</v>
      </c>
      <c r="H534" t="s">
        <v>235</v>
      </c>
      <c r="I534" t="s">
        <v>94</v>
      </c>
      <c r="J534" t="s">
        <v>49</v>
      </c>
      <c r="K534">
        <v>2</v>
      </c>
      <c r="L534">
        <v>108395</v>
      </c>
      <c r="M534">
        <v>8.5000000000000006E-2</v>
      </c>
      <c r="N534">
        <v>216790</v>
      </c>
      <c r="O534">
        <v>18427.150000000001</v>
      </c>
      <c r="P534">
        <v>198362.85</v>
      </c>
      <c r="Q534">
        <v>4</v>
      </c>
      <c r="R534">
        <v>175</v>
      </c>
      <c r="S534">
        <v>4</v>
      </c>
      <c r="T534">
        <v>13</v>
      </c>
      <c r="U534">
        <v>2</v>
      </c>
    </row>
    <row r="535" spans="1:21" x14ac:dyDescent="0.3">
      <c r="A535" t="s">
        <v>641</v>
      </c>
      <c r="B535" s="2">
        <v>45951</v>
      </c>
      <c r="C535" t="s">
        <v>60</v>
      </c>
      <c r="D535" t="s">
        <v>61</v>
      </c>
      <c r="E535" t="s">
        <v>24</v>
      </c>
      <c r="F535" t="s">
        <v>66</v>
      </c>
      <c r="G535" t="s">
        <v>34</v>
      </c>
      <c r="H535" t="s">
        <v>27</v>
      </c>
      <c r="I535" t="s">
        <v>94</v>
      </c>
      <c r="J535" t="s">
        <v>78</v>
      </c>
      <c r="K535">
        <v>1</v>
      </c>
      <c r="L535">
        <v>123680</v>
      </c>
      <c r="M535">
        <v>5.1999999999999998E-2</v>
      </c>
      <c r="N535">
        <v>123680</v>
      </c>
      <c r="O535">
        <v>6431.36</v>
      </c>
      <c r="P535">
        <v>117248.64</v>
      </c>
      <c r="Q535">
        <v>5</v>
      </c>
      <c r="R535">
        <v>198</v>
      </c>
      <c r="S535">
        <v>3.2</v>
      </c>
      <c r="T535">
        <v>10</v>
      </c>
      <c r="U535">
        <v>3</v>
      </c>
    </row>
    <row r="536" spans="1:21" x14ac:dyDescent="0.3">
      <c r="A536" t="s">
        <v>642</v>
      </c>
      <c r="B536" s="2">
        <v>45956</v>
      </c>
      <c r="C536" t="s">
        <v>39</v>
      </c>
      <c r="D536" t="s">
        <v>154</v>
      </c>
      <c r="E536" t="s">
        <v>62</v>
      </c>
      <c r="F536" t="s">
        <v>52</v>
      </c>
      <c r="G536" t="s">
        <v>34</v>
      </c>
      <c r="H536" t="s">
        <v>27</v>
      </c>
      <c r="I536" t="s">
        <v>63</v>
      </c>
      <c r="J536" t="s">
        <v>157</v>
      </c>
      <c r="K536">
        <v>1</v>
      </c>
      <c r="L536">
        <v>182231</v>
      </c>
      <c r="M536">
        <v>0.111</v>
      </c>
      <c r="N536">
        <v>182231</v>
      </c>
      <c r="O536">
        <v>20227.64</v>
      </c>
      <c r="P536">
        <v>162003.35999999999</v>
      </c>
      <c r="Q536">
        <v>4</v>
      </c>
      <c r="R536">
        <v>184</v>
      </c>
      <c r="S536">
        <v>3.9</v>
      </c>
      <c r="T536">
        <v>13</v>
      </c>
      <c r="U536">
        <v>5</v>
      </c>
    </row>
    <row r="537" spans="1:21" x14ac:dyDescent="0.3">
      <c r="A537" t="s">
        <v>643</v>
      </c>
      <c r="B537" s="2">
        <v>45818</v>
      </c>
      <c r="C537" t="s">
        <v>99</v>
      </c>
      <c r="D537" t="s">
        <v>100</v>
      </c>
      <c r="E537" t="s">
        <v>62</v>
      </c>
      <c r="F537" t="s">
        <v>66</v>
      </c>
      <c r="G537" t="s">
        <v>34</v>
      </c>
      <c r="H537" t="s">
        <v>27</v>
      </c>
      <c r="I537" t="s">
        <v>48</v>
      </c>
      <c r="J537" t="s">
        <v>138</v>
      </c>
      <c r="K537">
        <v>1</v>
      </c>
      <c r="L537">
        <v>112578</v>
      </c>
      <c r="M537">
        <v>5.1999999999999998E-2</v>
      </c>
      <c r="N537">
        <v>112578</v>
      </c>
      <c r="O537">
        <v>5854.06</v>
      </c>
      <c r="P537">
        <v>106723.94</v>
      </c>
      <c r="Q537">
        <v>5</v>
      </c>
      <c r="R537">
        <v>196</v>
      </c>
      <c r="S537">
        <v>3.3</v>
      </c>
      <c r="T537">
        <v>7</v>
      </c>
      <c r="U537">
        <v>3</v>
      </c>
    </row>
    <row r="538" spans="1:21" x14ac:dyDescent="0.3">
      <c r="A538" t="s">
        <v>644</v>
      </c>
      <c r="B538" s="2">
        <v>45922</v>
      </c>
      <c r="C538" t="s">
        <v>76</v>
      </c>
      <c r="D538" t="s">
        <v>77</v>
      </c>
      <c r="E538" t="s">
        <v>62</v>
      </c>
      <c r="F538" t="s">
        <v>52</v>
      </c>
      <c r="G538" t="s">
        <v>34</v>
      </c>
      <c r="H538" t="s">
        <v>27</v>
      </c>
      <c r="I538" t="s">
        <v>28</v>
      </c>
      <c r="J538" t="s">
        <v>102</v>
      </c>
      <c r="K538">
        <v>5</v>
      </c>
      <c r="L538">
        <v>151245</v>
      </c>
      <c r="M538">
        <v>9.7000000000000003E-2</v>
      </c>
      <c r="N538">
        <v>756225</v>
      </c>
      <c r="O538">
        <v>73353.820000000007</v>
      </c>
      <c r="P538">
        <v>682871.18</v>
      </c>
      <c r="Q538">
        <v>4</v>
      </c>
      <c r="R538">
        <v>212</v>
      </c>
      <c r="S538">
        <v>3.6</v>
      </c>
      <c r="T538">
        <v>3</v>
      </c>
      <c r="U538">
        <v>2</v>
      </c>
    </row>
    <row r="539" spans="1:21" x14ac:dyDescent="0.3">
      <c r="A539" t="s">
        <v>645</v>
      </c>
      <c r="B539" s="2">
        <v>45945</v>
      </c>
      <c r="C539" t="s">
        <v>60</v>
      </c>
      <c r="D539" t="s">
        <v>69</v>
      </c>
      <c r="E539" t="s">
        <v>62</v>
      </c>
      <c r="F539" t="s">
        <v>80</v>
      </c>
      <c r="G539" t="s">
        <v>34</v>
      </c>
      <c r="H539" t="s">
        <v>53</v>
      </c>
      <c r="I539" t="s">
        <v>94</v>
      </c>
      <c r="J539" t="s">
        <v>81</v>
      </c>
      <c r="K539">
        <v>3</v>
      </c>
      <c r="L539">
        <v>100228</v>
      </c>
      <c r="M539">
        <v>0.11600000000000001</v>
      </c>
      <c r="N539">
        <v>300684</v>
      </c>
      <c r="O539">
        <v>34879.339999999997</v>
      </c>
      <c r="P539">
        <v>265804.65999999997</v>
      </c>
      <c r="Q539">
        <v>5</v>
      </c>
      <c r="R539">
        <v>209</v>
      </c>
      <c r="S539">
        <v>3.8</v>
      </c>
      <c r="T539">
        <v>12</v>
      </c>
      <c r="U539">
        <v>3</v>
      </c>
    </row>
    <row r="540" spans="1:21" x14ac:dyDescent="0.3">
      <c r="A540" t="s">
        <v>646</v>
      </c>
      <c r="B540" s="2">
        <v>45683</v>
      </c>
      <c r="C540" t="s">
        <v>99</v>
      </c>
      <c r="D540" t="s">
        <v>100</v>
      </c>
      <c r="E540" t="s">
        <v>46</v>
      </c>
      <c r="F540" t="s">
        <v>33</v>
      </c>
      <c r="G540" t="s">
        <v>56</v>
      </c>
      <c r="H540" t="s">
        <v>53</v>
      </c>
      <c r="I540" t="s">
        <v>63</v>
      </c>
      <c r="J540" t="s">
        <v>157</v>
      </c>
      <c r="K540">
        <v>4</v>
      </c>
      <c r="L540">
        <v>116143</v>
      </c>
      <c r="M540">
        <v>6.4000000000000001E-2</v>
      </c>
      <c r="N540">
        <v>464572</v>
      </c>
      <c r="O540">
        <v>29732.61</v>
      </c>
      <c r="P540">
        <v>434839.39</v>
      </c>
      <c r="Q540">
        <v>4</v>
      </c>
      <c r="R540">
        <v>170</v>
      </c>
      <c r="S540">
        <v>4.2</v>
      </c>
      <c r="T540">
        <v>13</v>
      </c>
      <c r="U540">
        <v>3</v>
      </c>
    </row>
    <row r="541" spans="1:21" x14ac:dyDescent="0.3">
      <c r="A541" t="s">
        <v>647</v>
      </c>
      <c r="B541" s="2">
        <v>45683</v>
      </c>
      <c r="C541" t="s">
        <v>39</v>
      </c>
      <c r="D541" t="s">
        <v>154</v>
      </c>
      <c r="E541" t="s">
        <v>46</v>
      </c>
      <c r="F541" t="s">
        <v>33</v>
      </c>
      <c r="G541" t="s">
        <v>56</v>
      </c>
      <c r="H541" t="s">
        <v>27</v>
      </c>
      <c r="I541" t="s">
        <v>57</v>
      </c>
      <c r="J541" t="s">
        <v>37</v>
      </c>
      <c r="K541">
        <v>5</v>
      </c>
      <c r="L541">
        <v>185645</v>
      </c>
      <c r="M541">
        <v>6.6000000000000003E-2</v>
      </c>
      <c r="N541">
        <v>928225</v>
      </c>
      <c r="O541">
        <v>61262.85</v>
      </c>
      <c r="P541">
        <v>866962.15</v>
      </c>
      <c r="Q541">
        <v>3</v>
      </c>
      <c r="R541">
        <v>159</v>
      </c>
      <c r="S541">
        <v>3.7</v>
      </c>
      <c r="T541">
        <v>5</v>
      </c>
      <c r="U541">
        <v>3</v>
      </c>
    </row>
    <row r="542" spans="1:21" x14ac:dyDescent="0.3">
      <c r="A542" t="s">
        <v>648</v>
      </c>
      <c r="B542" s="2">
        <v>45939</v>
      </c>
      <c r="C542" t="s">
        <v>76</v>
      </c>
      <c r="D542" t="s">
        <v>115</v>
      </c>
      <c r="E542" t="s">
        <v>46</v>
      </c>
      <c r="F542" t="s">
        <v>33</v>
      </c>
      <c r="G542" t="s">
        <v>56</v>
      </c>
      <c r="H542" t="s">
        <v>27</v>
      </c>
      <c r="I542" t="s">
        <v>48</v>
      </c>
      <c r="J542" t="s">
        <v>123</v>
      </c>
      <c r="K542">
        <v>4</v>
      </c>
      <c r="L542">
        <v>124257</v>
      </c>
      <c r="M542">
        <v>9.6000000000000002E-2</v>
      </c>
      <c r="N542">
        <v>497028</v>
      </c>
      <c r="O542">
        <v>47714.69</v>
      </c>
      <c r="P542">
        <v>449313.31</v>
      </c>
      <c r="Q542">
        <v>4</v>
      </c>
      <c r="R542">
        <v>183</v>
      </c>
      <c r="S542">
        <v>4.2</v>
      </c>
      <c r="T542">
        <v>5</v>
      </c>
      <c r="U542">
        <v>2</v>
      </c>
    </row>
    <row r="543" spans="1:21" x14ac:dyDescent="0.3">
      <c r="A543" t="s">
        <v>649</v>
      </c>
      <c r="B543" s="2">
        <v>46016</v>
      </c>
      <c r="C543" t="s">
        <v>31</v>
      </c>
      <c r="D543" t="s">
        <v>97</v>
      </c>
      <c r="E543" t="s">
        <v>62</v>
      </c>
      <c r="F543" t="s">
        <v>52</v>
      </c>
      <c r="G543" t="s">
        <v>26</v>
      </c>
      <c r="H543" t="s">
        <v>53</v>
      </c>
      <c r="I543" t="s">
        <v>94</v>
      </c>
      <c r="J543" t="s">
        <v>197</v>
      </c>
      <c r="K543">
        <v>2</v>
      </c>
      <c r="L543">
        <v>124249</v>
      </c>
      <c r="M543">
        <v>0.113</v>
      </c>
      <c r="N543">
        <v>248498</v>
      </c>
      <c r="O543">
        <v>28080.27</v>
      </c>
      <c r="P543">
        <v>220417.73</v>
      </c>
      <c r="Q543">
        <v>3</v>
      </c>
      <c r="R543">
        <v>157</v>
      </c>
      <c r="S543">
        <v>3.4</v>
      </c>
      <c r="T543">
        <v>5</v>
      </c>
      <c r="U543">
        <v>3</v>
      </c>
    </row>
    <row r="544" spans="1:21" x14ac:dyDescent="0.3">
      <c r="A544" t="s">
        <v>650</v>
      </c>
      <c r="B544" s="2">
        <v>45826</v>
      </c>
      <c r="C544" t="s">
        <v>87</v>
      </c>
      <c r="D544" t="s">
        <v>88</v>
      </c>
      <c r="E544" t="s">
        <v>24</v>
      </c>
      <c r="F544" t="s">
        <v>52</v>
      </c>
      <c r="G544" t="s">
        <v>67</v>
      </c>
      <c r="H544" t="s">
        <v>53</v>
      </c>
      <c r="I544" t="s">
        <v>48</v>
      </c>
      <c r="J544" t="s">
        <v>203</v>
      </c>
      <c r="K544">
        <v>2</v>
      </c>
      <c r="L544">
        <v>152880</v>
      </c>
      <c r="M544">
        <v>9.0999999999999998E-2</v>
      </c>
      <c r="N544">
        <v>305760</v>
      </c>
      <c r="O544">
        <v>27824.16</v>
      </c>
      <c r="P544">
        <v>277935.84000000003</v>
      </c>
      <c r="Q544">
        <v>5</v>
      </c>
      <c r="R544">
        <v>193</v>
      </c>
      <c r="S544">
        <v>3.9</v>
      </c>
      <c r="T544">
        <v>14</v>
      </c>
      <c r="U544">
        <v>3</v>
      </c>
    </row>
    <row r="545" spans="1:21" x14ac:dyDescent="0.3">
      <c r="A545" t="s">
        <v>651</v>
      </c>
      <c r="B545" s="2">
        <v>45931</v>
      </c>
      <c r="C545" t="s">
        <v>76</v>
      </c>
      <c r="D545" t="s">
        <v>115</v>
      </c>
      <c r="E545" t="s">
        <v>24</v>
      </c>
      <c r="F545" t="s">
        <v>66</v>
      </c>
      <c r="G545" t="s">
        <v>26</v>
      </c>
      <c r="H545" t="s">
        <v>27</v>
      </c>
      <c r="I545" t="s">
        <v>57</v>
      </c>
      <c r="J545" t="s">
        <v>143</v>
      </c>
      <c r="K545">
        <v>2</v>
      </c>
      <c r="L545">
        <v>123531</v>
      </c>
      <c r="M545">
        <v>9.6000000000000002E-2</v>
      </c>
      <c r="N545">
        <v>247062</v>
      </c>
      <c r="O545">
        <v>23717.95</v>
      </c>
      <c r="P545">
        <v>223344.05</v>
      </c>
      <c r="Q545">
        <v>3</v>
      </c>
      <c r="R545">
        <v>160</v>
      </c>
      <c r="S545">
        <v>4.5</v>
      </c>
      <c r="T545">
        <v>10</v>
      </c>
      <c r="U545">
        <v>5</v>
      </c>
    </row>
    <row r="546" spans="1:21" x14ac:dyDescent="0.3">
      <c r="A546" t="s">
        <v>652</v>
      </c>
      <c r="B546" s="2">
        <v>45977</v>
      </c>
      <c r="C546" t="s">
        <v>99</v>
      </c>
      <c r="D546" t="s">
        <v>100</v>
      </c>
      <c r="E546" t="s">
        <v>46</v>
      </c>
      <c r="F546" t="s">
        <v>70</v>
      </c>
      <c r="G546" t="s">
        <v>67</v>
      </c>
      <c r="H546" t="s">
        <v>35</v>
      </c>
      <c r="I546" t="s">
        <v>48</v>
      </c>
      <c r="J546" t="s">
        <v>118</v>
      </c>
      <c r="K546">
        <v>1</v>
      </c>
      <c r="L546">
        <v>117758</v>
      </c>
      <c r="M546">
        <v>0.09</v>
      </c>
      <c r="N546">
        <v>117758</v>
      </c>
      <c r="O546">
        <v>10598.22</v>
      </c>
      <c r="P546">
        <v>107159.78</v>
      </c>
      <c r="Q546">
        <v>4</v>
      </c>
      <c r="R546">
        <v>181</v>
      </c>
      <c r="S546">
        <v>3.8</v>
      </c>
      <c r="T546">
        <v>11</v>
      </c>
      <c r="U546">
        <v>2</v>
      </c>
    </row>
    <row r="547" spans="1:21" x14ac:dyDescent="0.3">
      <c r="A547" t="s">
        <v>653</v>
      </c>
      <c r="B547" s="2">
        <v>45731</v>
      </c>
      <c r="C547" t="s">
        <v>87</v>
      </c>
      <c r="D547" t="s">
        <v>130</v>
      </c>
      <c r="E547" t="s">
        <v>24</v>
      </c>
      <c r="F547" t="s">
        <v>52</v>
      </c>
      <c r="G547" t="s">
        <v>56</v>
      </c>
      <c r="H547" t="s">
        <v>27</v>
      </c>
      <c r="I547" t="s">
        <v>94</v>
      </c>
      <c r="J547" t="s">
        <v>143</v>
      </c>
      <c r="K547">
        <v>1</v>
      </c>
      <c r="L547">
        <v>107312</v>
      </c>
      <c r="M547">
        <v>0.11799999999999999</v>
      </c>
      <c r="N547">
        <v>107312</v>
      </c>
      <c r="O547">
        <v>12662.82</v>
      </c>
      <c r="P547">
        <v>94649.18</v>
      </c>
      <c r="Q547">
        <v>5</v>
      </c>
      <c r="R547">
        <v>211</v>
      </c>
      <c r="S547">
        <v>3.9</v>
      </c>
      <c r="T547">
        <v>7</v>
      </c>
      <c r="U547">
        <v>2</v>
      </c>
    </row>
    <row r="548" spans="1:21" x14ac:dyDescent="0.3">
      <c r="A548" t="s">
        <v>654</v>
      </c>
      <c r="B548" s="2">
        <v>45785</v>
      </c>
      <c r="C548" t="s">
        <v>39</v>
      </c>
      <c r="D548" t="s">
        <v>154</v>
      </c>
      <c r="E548" t="s">
        <v>24</v>
      </c>
      <c r="F548" t="s">
        <v>25</v>
      </c>
      <c r="G548" t="s">
        <v>34</v>
      </c>
      <c r="H548" t="s">
        <v>53</v>
      </c>
      <c r="I548" t="s">
        <v>57</v>
      </c>
      <c r="J548" t="s">
        <v>64</v>
      </c>
      <c r="K548">
        <v>1</v>
      </c>
      <c r="L548">
        <v>177281</v>
      </c>
      <c r="N548">
        <v>177281</v>
      </c>
      <c r="O548">
        <v>20564.599999999999</v>
      </c>
      <c r="P548">
        <v>156716.4</v>
      </c>
      <c r="Q548">
        <v>4</v>
      </c>
      <c r="R548">
        <v>181</v>
      </c>
      <c r="S548">
        <v>3.9</v>
      </c>
      <c r="T548">
        <v>3</v>
      </c>
      <c r="U548">
        <v>2</v>
      </c>
    </row>
    <row r="549" spans="1:21" x14ac:dyDescent="0.3">
      <c r="A549" t="s">
        <v>655</v>
      </c>
      <c r="B549" s="2">
        <v>45695</v>
      </c>
      <c r="C549" t="s">
        <v>22</v>
      </c>
      <c r="D549" t="s">
        <v>107</v>
      </c>
      <c r="E549" t="s">
        <v>62</v>
      </c>
      <c r="F549" t="s">
        <v>52</v>
      </c>
      <c r="G549" t="s">
        <v>67</v>
      </c>
      <c r="H549" t="s">
        <v>53</v>
      </c>
      <c r="I549" t="s">
        <v>28</v>
      </c>
      <c r="J549" t="s">
        <v>37</v>
      </c>
      <c r="K549">
        <v>1</v>
      </c>
      <c r="L549">
        <v>133649</v>
      </c>
      <c r="M549">
        <v>0.108</v>
      </c>
      <c r="N549">
        <v>133649</v>
      </c>
      <c r="O549">
        <v>14434.09</v>
      </c>
      <c r="P549">
        <v>119214.91</v>
      </c>
      <c r="Q549">
        <v>4</v>
      </c>
      <c r="R549">
        <v>185</v>
      </c>
      <c r="S549">
        <v>4.2</v>
      </c>
      <c r="T549">
        <v>9</v>
      </c>
      <c r="U549">
        <v>2</v>
      </c>
    </row>
    <row r="550" spans="1:21" x14ac:dyDescent="0.3">
      <c r="A550" t="s">
        <v>656</v>
      </c>
      <c r="B550" s="2">
        <v>45914</v>
      </c>
      <c r="C550" t="s">
        <v>76</v>
      </c>
      <c r="D550" t="s">
        <v>77</v>
      </c>
      <c r="E550" t="s">
        <v>24</v>
      </c>
      <c r="F550" t="s">
        <v>41</v>
      </c>
      <c r="G550" t="s">
        <v>67</v>
      </c>
      <c r="H550" t="s">
        <v>53</v>
      </c>
      <c r="I550" t="s">
        <v>57</v>
      </c>
      <c r="J550" t="s">
        <v>175</v>
      </c>
      <c r="K550">
        <v>1</v>
      </c>
      <c r="L550">
        <v>156158</v>
      </c>
      <c r="M550">
        <v>3.5999999999999997E-2</v>
      </c>
      <c r="N550">
        <v>156158</v>
      </c>
      <c r="O550">
        <v>5621.69</v>
      </c>
      <c r="P550">
        <v>150536.31</v>
      </c>
      <c r="Q550">
        <v>3</v>
      </c>
      <c r="R550">
        <v>180</v>
      </c>
      <c r="S550">
        <v>3.5</v>
      </c>
      <c r="T550">
        <v>9</v>
      </c>
      <c r="U550">
        <v>2</v>
      </c>
    </row>
    <row r="551" spans="1:21" x14ac:dyDescent="0.3">
      <c r="A551" t="s">
        <v>657</v>
      </c>
      <c r="B551" s="2">
        <v>45788</v>
      </c>
      <c r="C551" t="s">
        <v>44</v>
      </c>
      <c r="D551" t="s">
        <v>51</v>
      </c>
      <c r="E551" t="s">
        <v>24</v>
      </c>
      <c r="F551" t="s">
        <v>52</v>
      </c>
      <c r="G551" t="s">
        <v>67</v>
      </c>
      <c r="H551" t="s">
        <v>27</v>
      </c>
      <c r="I551" t="s">
        <v>28</v>
      </c>
      <c r="J551" t="s">
        <v>29</v>
      </c>
      <c r="K551">
        <v>2</v>
      </c>
      <c r="L551">
        <v>120864</v>
      </c>
      <c r="M551">
        <v>0.06</v>
      </c>
      <c r="N551">
        <v>241728</v>
      </c>
      <c r="O551">
        <v>14503.68</v>
      </c>
      <c r="P551">
        <v>227224.32000000001</v>
      </c>
      <c r="Q551">
        <v>3</v>
      </c>
      <c r="R551">
        <v>182</v>
      </c>
      <c r="S551">
        <v>4</v>
      </c>
      <c r="T551">
        <v>12</v>
      </c>
      <c r="U551">
        <v>5</v>
      </c>
    </row>
    <row r="552" spans="1:21" x14ac:dyDescent="0.3">
      <c r="A552" t="s">
        <v>658</v>
      </c>
      <c r="B552" s="2">
        <v>45871</v>
      </c>
      <c r="C552" t="s">
        <v>76</v>
      </c>
      <c r="D552" t="s">
        <v>77</v>
      </c>
      <c r="E552" t="s">
        <v>62</v>
      </c>
      <c r="F552" t="s">
        <v>70</v>
      </c>
      <c r="G552" t="s">
        <v>56</v>
      </c>
      <c r="H552" t="s">
        <v>53</v>
      </c>
      <c r="I552" t="s">
        <v>63</v>
      </c>
      <c r="J552" t="s">
        <v>95</v>
      </c>
      <c r="K552">
        <v>1</v>
      </c>
      <c r="L552">
        <v>148636</v>
      </c>
      <c r="M552">
        <v>0.06</v>
      </c>
      <c r="N552">
        <v>148636</v>
      </c>
      <c r="O552">
        <v>8918.16</v>
      </c>
      <c r="P552">
        <v>139717.84</v>
      </c>
      <c r="Q552">
        <v>3</v>
      </c>
      <c r="R552">
        <v>171</v>
      </c>
      <c r="S552">
        <v>4.4000000000000004</v>
      </c>
      <c r="T552">
        <v>14</v>
      </c>
      <c r="U552">
        <v>3</v>
      </c>
    </row>
    <row r="553" spans="1:21" x14ac:dyDescent="0.3">
      <c r="A553" t="s">
        <v>659</v>
      </c>
      <c r="B553" s="2">
        <v>45998</v>
      </c>
      <c r="C553" t="s">
        <v>60</v>
      </c>
      <c r="D553" t="s">
        <v>61</v>
      </c>
      <c r="E553" t="s">
        <v>24</v>
      </c>
      <c r="F553" t="s">
        <v>66</v>
      </c>
      <c r="G553" t="s">
        <v>56</v>
      </c>
      <c r="H553" t="s">
        <v>53</v>
      </c>
      <c r="I553" t="s">
        <v>94</v>
      </c>
      <c r="J553" t="s">
        <v>138</v>
      </c>
      <c r="K553">
        <v>1</v>
      </c>
      <c r="L553">
        <v>108901</v>
      </c>
      <c r="M553">
        <v>4.7E-2</v>
      </c>
      <c r="N553">
        <v>108901</v>
      </c>
      <c r="O553">
        <v>5118.3500000000004</v>
      </c>
      <c r="P553">
        <v>103782.65</v>
      </c>
      <c r="Q553">
        <v>4</v>
      </c>
      <c r="R553">
        <v>190</v>
      </c>
      <c r="S553">
        <v>4.0999999999999996</v>
      </c>
      <c r="T553">
        <v>5</v>
      </c>
      <c r="U553">
        <v>3</v>
      </c>
    </row>
    <row r="554" spans="1:21" x14ac:dyDescent="0.3">
      <c r="A554" t="s">
        <v>660</v>
      </c>
      <c r="B554" s="2">
        <v>46018</v>
      </c>
      <c r="C554" t="s">
        <v>87</v>
      </c>
      <c r="D554" t="s">
        <v>130</v>
      </c>
      <c r="E554" t="s">
        <v>24</v>
      </c>
      <c r="F554" t="s">
        <v>80</v>
      </c>
      <c r="G554" t="s">
        <v>56</v>
      </c>
      <c r="H554" t="s">
        <v>27</v>
      </c>
      <c r="I554" t="s">
        <v>36</v>
      </c>
      <c r="J554" t="s">
        <v>64</v>
      </c>
      <c r="K554">
        <v>2</v>
      </c>
      <c r="L554">
        <v>113803</v>
      </c>
      <c r="M554">
        <v>9.8000000000000004E-2</v>
      </c>
      <c r="N554">
        <v>227606</v>
      </c>
      <c r="O554">
        <v>22305.39</v>
      </c>
      <c r="P554">
        <v>205300.61</v>
      </c>
      <c r="Q554">
        <v>4</v>
      </c>
      <c r="R554">
        <v>184</v>
      </c>
      <c r="S554">
        <v>3.9</v>
      </c>
      <c r="T554">
        <v>2</v>
      </c>
      <c r="U554">
        <v>2</v>
      </c>
    </row>
    <row r="555" spans="1:21" x14ac:dyDescent="0.3">
      <c r="A555" t="s">
        <v>661</v>
      </c>
      <c r="B555" s="2">
        <v>45979</v>
      </c>
      <c r="C555" t="s">
        <v>44</v>
      </c>
      <c r="D555" t="s">
        <v>51</v>
      </c>
      <c r="E555" t="s">
        <v>24</v>
      </c>
      <c r="F555" t="s">
        <v>70</v>
      </c>
      <c r="G555" t="s">
        <v>67</v>
      </c>
      <c r="H555" t="s">
        <v>35</v>
      </c>
      <c r="I555" t="s">
        <v>63</v>
      </c>
      <c r="J555" t="s">
        <v>49</v>
      </c>
      <c r="K555">
        <v>1</v>
      </c>
      <c r="L555">
        <v>119069</v>
      </c>
      <c r="N555">
        <v>119069</v>
      </c>
      <c r="O555">
        <v>8215.76</v>
      </c>
      <c r="P555">
        <v>110853.24</v>
      </c>
      <c r="Q555">
        <v>4</v>
      </c>
      <c r="R555">
        <v>195</v>
      </c>
      <c r="S555">
        <v>4.7</v>
      </c>
      <c r="T555">
        <v>12</v>
      </c>
      <c r="U555">
        <v>3</v>
      </c>
    </row>
    <row r="556" spans="1:21" x14ac:dyDescent="0.3">
      <c r="A556" t="s">
        <v>662</v>
      </c>
      <c r="B556" s="2">
        <v>45932</v>
      </c>
      <c r="C556" t="s">
        <v>44</v>
      </c>
      <c r="D556" t="s">
        <v>45</v>
      </c>
      <c r="E556" t="s">
        <v>62</v>
      </c>
      <c r="F556" t="s">
        <v>74</v>
      </c>
      <c r="G556" t="s">
        <v>26</v>
      </c>
      <c r="H556" t="s">
        <v>35</v>
      </c>
      <c r="I556" t="s">
        <v>57</v>
      </c>
      <c r="J556" t="s">
        <v>49</v>
      </c>
      <c r="K556">
        <v>2</v>
      </c>
      <c r="L556">
        <v>155361</v>
      </c>
      <c r="M556">
        <v>7.0000000000000007E-2</v>
      </c>
      <c r="N556">
        <v>310722</v>
      </c>
      <c r="O556">
        <v>21750.54</v>
      </c>
      <c r="P556">
        <v>288971.46000000002</v>
      </c>
      <c r="Q556">
        <v>4</v>
      </c>
      <c r="R556">
        <v>185</v>
      </c>
      <c r="S556">
        <v>4.5999999999999996</v>
      </c>
      <c r="T556">
        <v>3</v>
      </c>
      <c r="U556">
        <v>5</v>
      </c>
    </row>
    <row r="557" spans="1:21" x14ac:dyDescent="0.3">
      <c r="A557" t="s">
        <v>663</v>
      </c>
      <c r="B557" s="2">
        <v>45944</v>
      </c>
      <c r="C557" t="s">
        <v>31</v>
      </c>
      <c r="D557" t="s">
        <v>97</v>
      </c>
      <c r="E557" t="s">
        <v>24</v>
      </c>
      <c r="F557" t="s">
        <v>74</v>
      </c>
      <c r="G557" t="s">
        <v>56</v>
      </c>
      <c r="H557" t="s">
        <v>35</v>
      </c>
      <c r="I557" t="s">
        <v>28</v>
      </c>
      <c r="J557" t="s">
        <v>109</v>
      </c>
      <c r="K557">
        <v>1</v>
      </c>
      <c r="L557">
        <v>136946</v>
      </c>
      <c r="M557">
        <v>7.3999999999999996E-2</v>
      </c>
      <c r="N557">
        <v>136946</v>
      </c>
      <c r="O557">
        <v>10134</v>
      </c>
      <c r="P557">
        <v>126812</v>
      </c>
      <c r="Q557">
        <v>3</v>
      </c>
      <c r="R557">
        <v>167</v>
      </c>
      <c r="S557">
        <v>4.4000000000000004</v>
      </c>
      <c r="T557">
        <v>2</v>
      </c>
      <c r="U557">
        <v>2</v>
      </c>
    </row>
    <row r="558" spans="1:21" x14ac:dyDescent="0.3">
      <c r="A558" t="s">
        <v>664</v>
      </c>
      <c r="B558" s="2">
        <v>45892</v>
      </c>
      <c r="C558" t="s">
        <v>87</v>
      </c>
      <c r="D558" t="s">
        <v>130</v>
      </c>
      <c r="E558" t="s">
        <v>46</v>
      </c>
      <c r="F558" t="s">
        <v>25</v>
      </c>
      <c r="G558" t="s">
        <v>56</v>
      </c>
      <c r="H558" t="s">
        <v>53</v>
      </c>
      <c r="I558" t="s">
        <v>36</v>
      </c>
      <c r="J558" t="s">
        <v>212</v>
      </c>
      <c r="K558">
        <v>1</v>
      </c>
      <c r="L558">
        <v>113712</v>
      </c>
      <c r="M558">
        <v>0.11700000000000001</v>
      </c>
      <c r="N558">
        <v>113712</v>
      </c>
      <c r="O558">
        <v>13304.3</v>
      </c>
      <c r="P558">
        <v>100407.7</v>
      </c>
      <c r="Q558">
        <v>3</v>
      </c>
      <c r="R558">
        <v>146</v>
      </c>
      <c r="S558">
        <v>4.9000000000000004</v>
      </c>
      <c r="T558">
        <v>8</v>
      </c>
      <c r="U558">
        <v>2</v>
      </c>
    </row>
    <row r="559" spans="1:21" x14ac:dyDescent="0.3">
      <c r="A559" t="s">
        <v>665</v>
      </c>
      <c r="B559" s="2">
        <v>45724</v>
      </c>
      <c r="C559" t="s">
        <v>39</v>
      </c>
      <c r="D559" t="s">
        <v>154</v>
      </c>
      <c r="E559" t="s">
        <v>46</v>
      </c>
      <c r="F559" t="s">
        <v>41</v>
      </c>
      <c r="G559" t="s">
        <v>56</v>
      </c>
      <c r="H559" t="s">
        <v>53</v>
      </c>
      <c r="I559" t="s">
        <v>36</v>
      </c>
      <c r="J559" t="s">
        <v>72</v>
      </c>
      <c r="K559">
        <v>1</v>
      </c>
      <c r="L559">
        <v>171364</v>
      </c>
      <c r="M559">
        <v>9.0999999999999998E-2</v>
      </c>
      <c r="N559">
        <v>171364</v>
      </c>
      <c r="O559">
        <v>15594.12</v>
      </c>
      <c r="P559">
        <v>155769.88</v>
      </c>
      <c r="Q559">
        <v>3</v>
      </c>
      <c r="R559">
        <v>153</v>
      </c>
      <c r="S559">
        <v>4.8</v>
      </c>
      <c r="T559">
        <v>6</v>
      </c>
      <c r="U559">
        <v>5</v>
      </c>
    </row>
    <row r="560" spans="1:21" x14ac:dyDescent="0.3">
      <c r="A560" t="s">
        <v>666</v>
      </c>
      <c r="B560" s="2">
        <v>45841</v>
      </c>
      <c r="C560" t="s">
        <v>99</v>
      </c>
      <c r="D560" t="s">
        <v>121</v>
      </c>
      <c r="E560" t="s">
        <v>62</v>
      </c>
      <c r="F560" t="s">
        <v>70</v>
      </c>
      <c r="G560" t="s">
        <v>67</v>
      </c>
      <c r="H560" t="s">
        <v>53</v>
      </c>
      <c r="I560" t="s">
        <v>94</v>
      </c>
      <c r="J560" t="s">
        <v>157</v>
      </c>
      <c r="K560">
        <v>2</v>
      </c>
      <c r="L560">
        <v>101877</v>
      </c>
      <c r="M560">
        <v>3.7999999999999999E-2</v>
      </c>
      <c r="N560">
        <v>203754</v>
      </c>
      <c r="O560">
        <v>7742.65</v>
      </c>
      <c r="P560">
        <v>196011.35</v>
      </c>
      <c r="Q560">
        <v>3</v>
      </c>
      <c r="R560">
        <v>168</v>
      </c>
      <c r="S560">
        <v>4.3</v>
      </c>
      <c r="T560">
        <v>4</v>
      </c>
      <c r="U560">
        <v>2</v>
      </c>
    </row>
    <row r="561" spans="1:21" x14ac:dyDescent="0.3">
      <c r="A561" t="s">
        <v>667</v>
      </c>
      <c r="B561" s="2">
        <v>45927</v>
      </c>
      <c r="C561" t="s">
        <v>99</v>
      </c>
      <c r="D561" t="s">
        <v>141</v>
      </c>
      <c r="E561" t="s">
        <v>62</v>
      </c>
      <c r="F561" t="s">
        <v>25</v>
      </c>
      <c r="G561" t="s">
        <v>26</v>
      </c>
      <c r="H561" t="s">
        <v>53</v>
      </c>
      <c r="I561" t="s">
        <v>48</v>
      </c>
      <c r="J561" t="s">
        <v>72</v>
      </c>
      <c r="K561">
        <v>3</v>
      </c>
      <c r="L561">
        <v>150330</v>
      </c>
      <c r="M561">
        <v>9.7000000000000003E-2</v>
      </c>
      <c r="N561">
        <v>450990</v>
      </c>
      <c r="O561">
        <v>43746.03</v>
      </c>
      <c r="P561">
        <v>407243.97</v>
      </c>
      <c r="Q561">
        <v>5</v>
      </c>
      <c r="R561">
        <v>192</v>
      </c>
      <c r="S561">
        <v>4.3</v>
      </c>
      <c r="T561">
        <v>6</v>
      </c>
      <c r="U561">
        <v>5</v>
      </c>
    </row>
    <row r="562" spans="1:21" x14ac:dyDescent="0.3">
      <c r="A562" t="s">
        <v>668</v>
      </c>
      <c r="B562" s="2">
        <v>45924</v>
      </c>
      <c r="C562" t="s">
        <v>87</v>
      </c>
      <c r="D562" t="s">
        <v>88</v>
      </c>
      <c r="E562" t="s">
        <v>24</v>
      </c>
      <c r="F562" t="s">
        <v>74</v>
      </c>
      <c r="G562" t="s">
        <v>67</v>
      </c>
      <c r="H562" t="s">
        <v>35</v>
      </c>
      <c r="I562" t="s">
        <v>28</v>
      </c>
      <c r="J562" t="s">
        <v>175</v>
      </c>
      <c r="K562">
        <v>4</v>
      </c>
      <c r="L562">
        <v>161976</v>
      </c>
      <c r="M562">
        <v>8.1000000000000003E-2</v>
      </c>
      <c r="N562">
        <v>647904</v>
      </c>
      <c r="O562">
        <v>52480.22</v>
      </c>
      <c r="P562">
        <v>595423.78</v>
      </c>
      <c r="Q562">
        <v>3</v>
      </c>
      <c r="R562">
        <v>155</v>
      </c>
      <c r="S562">
        <v>3.7</v>
      </c>
      <c r="T562">
        <v>2</v>
      </c>
      <c r="U562">
        <v>3</v>
      </c>
    </row>
    <row r="563" spans="1:21" x14ac:dyDescent="0.3">
      <c r="A563" t="s">
        <v>669</v>
      </c>
      <c r="B563" s="2">
        <v>45990</v>
      </c>
      <c r="C563" t="s">
        <v>31</v>
      </c>
      <c r="D563" t="s">
        <v>97</v>
      </c>
      <c r="E563" t="s">
        <v>46</v>
      </c>
      <c r="F563" t="s">
        <v>41</v>
      </c>
      <c r="G563" t="s">
        <v>26</v>
      </c>
      <c r="H563" t="s">
        <v>27</v>
      </c>
      <c r="I563" t="s">
        <v>57</v>
      </c>
      <c r="J563" t="s">
        <v>102</v>
      </c>
      <c r="K563">
        <v>4</v>
      </c>
      <c r="L563">
        <v>137386</v>
      </c>
      <c r="M563">
        <v>0.10299999999999999</v>
      </c>
      <c r="N563">
        <v>549544</v>
      </c>
      <c r="O563">
        <v>56603.03</v>
      </c>
      <c r="P563">
        <v>492940.97</v>
      </c>
      <c r="Q563">
        <v>4</v>
      </c>
      <c r="R563">
        <v>170</v>
      </c>
      <c r="S563">
        <v>3.5</v>
      </c>
      <c r="T563">
        <v>10</v>
      </c>
      <c r="U563">
        <v>3</v>
      </c>
    </row>
    <row r="564" spans="1:21" x14ac:dyDescent="0.3">
      <c r="A564" t="s">
        <v>670</v>
      </c>
      <c r="B564" s="2">
        <v>45709</v>
      </c>
      <c r="C564" t="s">
        <v>39</v>
      </c>
      <c r="D564" t="s">
        <v>40</v>
      </c>
      <c r="E564" t="s">
        <v>46</v>
      </c>
      <c r="F564" t="s">
        <v>66</v>
      </c>
      <c r="G564" t="s">
        <v>34</v>
      </c>
      <c r="H564" t="s">
        <v>35</v>
      </c>
      <c r="I564" t="s">
        <v>28</v>
      </c>
      <c r="J564" t="s">
        <v>102</v>
      </c>
      <c r="K564">
        <v>1</v>
      </c>
      <c r="L564">
        <v>125190</v>
      </c>
      <c r="M564">
        <v>7.0000000000000007E-2</v>
      </c>
      <c r="N564">
        <v>125190</v>
      </c>
      <c r="O564">
        <v>8763.2999999999993</v>
      </c>
      <c r="P564">
        <v>116426.7</v>
      </c>
      <c r="Q564">
        <v>3</v>
      </c>
      <c r="R564">
        <v>154</v>
      </c>
      <c r="S564">
        <v>4.9000000000000004</v>
      </c>
      <c r="T564">
        <v>6</v>
      </c>
      <c r="U564">
        <v>5</v>
      </c>
    </row>
    <row r="565" spans="1:21" x14ac:dyDescent="0.3">
      <c r="A565" t="s">
        <v>671</v>
      </c>
      <c r="B565" s="2">
        <v>45943</v>
      </c>
      <c r="C565" t="s">
        <v>60</v>
      </c>
      <c r="D565" t="s">
        <v>69</v>
      </c>
      <c r="E565" t="s">
        <v>46</v>
      </c>
      <c r="F565" t="s">
        <v>25</v>
      </c>
      <c r="G565" t="s">
        <v>26</v>
      </c>
      <c r="H565" t="s">
        <v>27</v>
      </c>
      <c r="I565" t="s">
        <v>48</v>
      </c>
      <c r="J565" t="s">
        <v>157</v>
      </c>
      <c r="K565">
        <v>1</v>
      </c>
      <c r="L565">
        <v>101827</v>
      </c>
      <c r="M565">
        <v>0.08</v>
      </c>
      <c r="N565">
        <v>101827</v>
      </c>
      <c r="O565">
        <v>8146.16</v>
      </c>
      <c r="P565">
        <v>93680.84</v>
      </c>
      <c r="Q565">
        <v>4</v>
      </c>
      <c r="R565">
        <v>184</v>
      </c>
      <c r="S565">
        <v>3</v>
      </c>
      <c r="T565">
        <v>6</v>
      </c>
      <c r="U565">
        <v>2</v>
      </c>
    </row>
    <row r="566" spans="1:21" x14ac:dyDescent="0.3">
      <c r="A566" t="s">
        <v>672</v>
      </c>
      <c r="B566" s="2">
        <v>45711</v>
      </c>
      <c r="C566" t="s">
        <v>76</v>
      </c>
      <c r="D566" t="s">
        <v>117</v>
      </c>
      <c r="E566" t="s">
        <v>24</v>
      </c>
      <c r="F566" t="s">
        <v>41</v>
      </c>
      <c r="G566" t="s">
        <v>26</v>
      </c>
      <c r="H566" t="s">
        <v>53</v>
      </c>
      <c r="I566" t="s">
        <v>48</v>
      </c>
      <c r="J566" t="s">
        <v>148</v>
      </c>
      <c r="K566">
        <v>4</v>
      </c>
      <c r="L566">
        <v>137511</v>
      </c>
      <c r="M566">
        <v>3.9E-2</v>
      </c>
      <c r="N566">
        <v>550044</v>
      </c>
      <c r="O566">
        <v>21451.72</v>
      </c>
      <c r="P566">
        <v>528592.28</v>
      </c>
      <c r="Q566">
        <v>3</v>
      </c>
      <c r="R566">
        <v>170</v>
      </c>
      <c r="S566">
        <v>4.0999999999999996</v>
      </c>
      <c r="T566">
        <v>11</v>
      </c>
      <c r="U566">
        <v>5</v>
      </c>
    </row>
    <row r="567" spans="1:21" x14ac:dyDescent="0.3">
      <c r="A567" t="s">
        <v>673</v>
      </c>
      <c r="B567" s="2">
        <v>45772</v>
      </c>
      <c r="C567" t="s">
        <v>39</v>
      </c>
      <c r="D567" t="s">
        <v>154</v>
      </c>
      <c r="E567" t="s">
        <v>46</v>
      </c>
      <c r="F567" t="s">
        <v>47</v>
      </c>
      <c r="G567" t="s">
        <v>56</v>
      </c>
      <c r="H567" t="s">
        <v>35</v>
      </c>
      <c r="I567" t="s">
        <v>94</v>
      </c>
      <c r="J567" t="s">
        <v>123</v>
      </c>
      <c r="K567">
        <v>2</v>
      </c>
      <c r="L567">
        <v>185776</v>
      </c>
      <c r="M567">
        <v>0.11600000000000001</v>
      </c>
      <c r="N567">
        <v>371552</v>
      </c>
      <c r="O567">
        <v>43100.03</v>
      </c>
      <c r="P567">
        <v>328451.96999999997</v>
      </c>
      <c r="Q567">
        <v>5</v>
      </c>
      <c r="R567">
        <v>208</v>
      </c>
      <c r="S567">
        <v>4.5</v>
      </c>
      <c r="T567">
        <v>3</v>
      </c>
      <c r="U567">
        <v>2</v>
      </c>
    </row>
    <row r="568" spans="1:21" x14ac:dyDescent="0.3">
      <c r="A568" t="s">
        <v>674</v>
      </c>
      <c r="B568" s="2">
        <v>45860</v>
      </c>
      <c r="C568" t="s">
        <v>76</v>
      </c>
      <c r="D568" t="s">
        <v>117</v>
      </c>
      <c r="E568" t="s">
        <v>46</v>
      </c>
      <c r="F568" t="s">
        <v>47</v>
      </c>
      <c r="G568" t="s">
        <v>56</v>
      </c>
      <c r="H568" t="s">
        <v>27</v>
      </c>
      <c r="I568" t="s">
        <v>36</v>
      </c>
      <c r="J568" t="s">
        <v>83</v>
      </c>
      <c r="K568">
        <v>1</v>
      </c>
      <c r="L568">
        <v>136205</v>
      </c>
      <c r="M568">
        <v>2.4E-2</v>
      </c>
      <c r="N568">
        <v>136205</v>
      </c>
      <c r="O568">
        <v>3268.92</v>
      </c>
      <c r="P568">
        <v>132936.07999999999</v>
      </c>
      <c r="Q568">
        <v>3</v>
      </c>
      <c r="R568">
        <v>168</v>
      </c>
      <c r="S568">
        <v>4.3</v>
      </c>
      <c r="T568">
        <v>10</v>
      </c>
      <c r="U568">
        <v>2</v>
      </c>
    </row>
    <row r="569" spans="1:21" x14ac:dyDescent="0.3">
      <c r="A569" t="s">
        <v>675</v>
      </c>
      <c r="B569" s="2">
        <v>45878</v>
      </c>
      <c r="C569" t="s">
        <v>76</v>
      </c>
      <c r="D569" t="s">
        <v>115</v>
      </c>
      <c r="E569" t="s">
        <v>62</v>
      </c>
      <c r="F569" t="s">
        <v>25</v>
      </c>
      <c r="G569" t="s">
        <v>67</v>
      </c>
      <c r="H569" t="s">
        <v>53</v>
      </c>
      <c r="I569" t="s">
        <v>57</v>
      </c>
      <c r="J569" t="s">
        <v>58</v>
      </c>
      <c r="K569">
        <v>1</v>
      </c>
      <c r="L569">
        <v>136387</v>
      </c>
      <c r="M569">
        <v>4.4999999999999998E-2</v>
      </c>
      <c r="N569">
        <v>136387</v>
      </c>
      <c r="O569">
        <v>6137.41</v>
      </c>
      <c r="P569">
        <v>130249.59</v>
      </c>
      <c r="Q569">
        <v>4</v>
      </c>
      <c r="R569">
        <v>185</v>
      </c>
      <c r="S569">
        <v>4.2</v>
      </c>
      <c r="T569">
        <v>11</v>
      </c>
      <c r="U569">
        <v>2</v>
      </c>
    </row>
    <row r="570" spans="1:21" x14ac:dyDescent="0.3">
      <c r="A570" t="s">
        <v>676</v>
      </c>
      <c r="B570" s="2">
        <v>45999</v>
      </c>
      <c r="C570" t="s">
        <v>60</v>
      </c>
      <c r="D570" t="s">
        <v>61</v>
      </c>
      <c r="E570" t="s">
        <v>46</v>
      </c>
      <c r="F570" t="s">
        <v>80</v>
      </c>
      <c r="G570" t="s">
        <v>34</v>
      </c>
      <c r="H570" t="s">
        <v>27</v>
      </c>
      <c r="I570" t="s">
        <v>48</v>
      </c>
      <c r="J570" t="s">
        <v>123</v>
      </c>
      <c r="K570">
        <v>2</v>
      </c>
      <c r="L570">
        <v>121326</v>
      </c>
      <c r="M570">
        <v>2.3E-2</v>
      </c>
      <c r="N570">
        <v>242652</v>
      </c>
      <c r="O570">
        <v>5581</v>
      </c>
      <c r="P570">
        <v>237071</v>
      </c>
      <c r="Q570">
        <v>4</v>
      </c>
      <c r="R570">
        <v>166</v>
      </c>
      <c r="S570">
        <v>3.7</v>
      </c>
      <c r="T570">
        <v>14</v>
      </c>
      <c r="U570">
        <v>5</v>
      </c>
    </row>
    <row r="571" spans="1:21" x14ac:dyDescent="0.3">
      <c r="A571" t="s">
        <v>677</v>
      </c>
      <c r="B571" s="2">
        <v>45841</v>
      </c>
      <c r="C571" t="s">
        <v>44</v>
      </c>
      <c r="D571" t="s">
        <v>51</v>
      </c>
      <c r="E571" t="s">
        <v>62</v>
      </c>
      <c r="F571" t="s">
        <v>25</v>
      </c>
      <c r="G571" t="s">
        <v>26</v>
      </c>
      <c r="H571" t="s">
        <v>53</v>
      </c>
      <c r="I571" t="s">
        <v>57</v>
      </c>
      <c r="J571" t="s">
        <v>148</v>
      </c>
      <c r="K571">
        <v>1</v>
      </c>
      <c r="L571">
        <v>125338</v>
      </c>
      <c r="M571">
        <v>2.1000000000000001E-2</v>
      </c>
      <c r="N571">
        <v>125338</v>
      </c>
      <c r="O571">
        <v>2632.1</v>
      </c>
      <c r="P571">
        <v>122705.9</v>
      </c>
      <c r="Q571">
        <v>3</v>
      </c>
      <c r="R571">
        <v>183</v>
      </c>
      <c r="S571">
        <v>4.4000000000000004</v>
      </c>
      <c r="T571">
        <v>12</v>
      </c>
      <c r="U571">
        <v>2</v>
      </c>
    </row>
    <row r="572" spans="1:21" x14ac:dyDescent="0.3">
      <c r="A572" t="s">
        <v>678</v>
      </c>
      <c r="B572" s="2">
        <v>45958</v>
      </c>
      <c r="C572" t="s">
        <v>39</v>
      </c>
      <c r="D572" t="s">
        <v>40</v>
      </c>
      <c r="E572" t="s">
        <v>46</v>
      </c>
      <c r="F572" t="s">
        <v>47</v>
      </c>
      <c r="G572" t="s">
        <v>67</v>
      </c>
      <c r="H572" t="s">
        <v>35</v>
      </c>
      <c r="I572" t="s">
        <v>28</v>
      </c>
      <c r="J572" t="s">
        <v>104</v>
      </c>
      <c r="K572">
        <v>1</v>
      </c>
      <c r="L572">
        <v>130286</v>
      </c>
      <c r="M572">
        <v>7.1999999999999995E-2</v>
      </c>
      <c r="N572">
        <v>130286</v>
      </c>
      <c r="O572">
        <v>9380.59</v>
      </c>
      <c r="P572">
        <v>120905.41</v>
      </c>
      <c r="Q572">
        <v>2</v>
      </c>
      <c r="R572">
        <v>151</v>
      </c>
      <c r="S572">
        <v>3.9</v>
      </c>
      <c r="T572">
        <v>12</v>
      </c>
      <c r="U572">
        <v>3</v>
      </c>
    </row>
    <row r="573" spans="1:21" x14ac:dyDescent="0.3">
      <c r="A573" t="s">
        <v>679</v>
      </c>
      <c r="B573" s="2">
        <v>45682</v>
      </c>
      <c r="C573" t="s">
        <v>31</v>
      </c>
      <c r="D573" t="s">
        <v>97</v>
      </c>
      <c r="E573" t="s">
        <v>62</v>
      </c>
      <c r="F573" t="s">
        <v>80</v>
      </c>
      <c r="G573" t="s">
        <v>67</v>
      </c>
      <c r="H573" t="s">
        <v>35</v>
      </c>
      <c r="I573" t="s">
        <v>28</v>
      </c>
      <c r="J573" t="s">
        <v>138</v>
      </c>
      <c r="K573">
        <v>2</v>
      </c>
      <c r="L573">
        <v>127743</v>
      </c>
      <c r="M573">
        <v>3.7999999999999999E-2</v>
      </c>
      <c r="N573">
        <v>255486</v>
      </c>
      <c r="O573">
        <v>9708.4699999999993</v>
      </c>
      <c r="P573">
        <v>245777.53</v>
      </c>
      <c r="Q573">
        <v>4</v>
      </c>
      <c r="R573">
        <v>188</v>
      </c>
      <c r="S573">
        <v>4</v>
      </c>
      <c r="T573">
        <v>14</v>
      </c>
      <c r="U573">
        <v>2</v>
      </c>
    </row>
    <row r="574" spans="1:21" x14ac:dyDescent="0.3">
      <c r="A574" t="s">
        <v>680</v>
      </c>
      <c r="B574" s="2">
        <v>46002</v>
      </c>
      <c r="C574" t="s">
        <v>60</v>
      </c>
      <c r="D574" t="s">
        <v>69</v>
      </c>
      <c r="E574" t="s">
        <v>46</v>
      </c>
      <c r="F574" t="s">
        <v>70</v>
      </c>
      <c r="G574" t="s">
        <v>26</v>
      </c>
      <c r="H574" t="s">
        <v>27</v>
      </c>
      <c r="I574" t="s">
        <v>36</v>
      </c>
      <c r="J574" t="s">
        <v>148</v>
      </c>
      <c r="K574">
        <v>3</v>
      </c>
      <c r="L574">
        <v>105651</v>
      </c>
      <c r="M574">
        <v>2.4E-2</v>
      </c>
      <c r="N574">
        <v>316953</v>
      </c>
      <c r="O574">
        <v>7606.87</v>
      </c>
      <c r="P574">
        <v>309346.13</v>
      </c>
      <c r="Q574">
        <v>4</v>
      </c>
      <c r="R574">
        <v>174</v>
      </c>
      <c r="S574">
        <v>4.2</v>
      </c>
      <c r="T574">
        <v>4</v>
      </c>
      <c r="U574">
        <v>5</v>
      </c>
    </row>
    <row r="575" spans="1:21" x14ac:dyDescent="0.3">
      <c r="A575" t="s">
        <v>681</v>
      </c>
      <c r="B575" s="2">
        <v>45686</v>
      </c>
      <c r="C575" t="s">
        <v>76</v>
      </c>
      <c r="D575" t="s">
        <v>115</v>
      </c>
      <c r="E575" t="s">
        <v>62</v>
      </c>
      <c r="F575" t="s">
        <v>80</v>
      </c>
      <c r="G575" t="s">
        <v>26</v>
      </c>
      <c r="H575" t="s">
        <v>53</v>
      </c>
      <c r="I575" t="s">
        <v>94</v>
      </c>
      <c r="J575" t="s">
        <v>89</v>
      </c>
      <c r="K575">
        <v>3</v>
      </c>
      <c r="L575">
        <v>131092</v>
      </c>
      <c r="M575">
        <v>0.08</v>
      </c>
      <c r="N575">
        <v>393276</v>
      </c>
      <c r="O575">
        <v>31462.080000000002</v>
      </c>
      <c r="P575">
        <v>361813.92</v>
      </c>
      <c r="Q575">
        <v>3</v>
      </c>
      <c r="R575">
        <v>162</v>
      </c>
      <c r="S575">
        <v>4</v>
      </c>
      <c r="T575">
        <v>14</v>
      </c>
      <c r="U575">
        <v>2</v>
      </c>
    </row>
    <row r="576" spans="1:21" x14ac:dyDescent="0.3">
      <c r="A576" t="s">
        <v>682</v>
      </c>
      <c r="B576" s="2">
        <v>45840</v>
      </c>
      <c r="C576" t="s">
        <v>76</v>
      </c>
      <c r="D576" t="s">
        <v>115</v>
      </c>
      <c r="E576" t="s">
        <v>46</v>
      </c>
      <c r="F576" t="s">
        <v>80</v>
      </c>
      <c r="G576" t="s">
        <v>56</v>
      </c>
      <c r="H576" t="s">
        <v>53</v>
      </c>
      <c r="I576" t="s">
        <v>63</v>
      </c>
      <c r="J576" t="s">
        <v>64</v>
      </c>
      <c r="K576">
        <v>1</v>
      </c>
      <c r="L576">
        <v>125197</v>
      </c>
      <c r="M576">
        <v>8.8999999999999996E-2</v>
      </c>
      <c r="N576">
        <v>125197</v>
      </c>
      <c r="O576">
        <v>11142.53</v>
      </c>
      <c r="P576">
        <v>114054.47</v>
      </c>
      <c r="Q576">
        <v>4</v>
      </c>
      <c r="R576">
        <v>174</v>
      </c>
      <c r="S576">
        <v>3.6</v>
      </c>
      <c r="T576">
        <v>3</v>
      </c>
      <c r="U576">
        <v>3</v>
      </c>
    </row>
    <row r="577" spans="1:21" x14ac:dyDescent="0.3">
      <c r="A577" t="s">
        <v>683</v>
      </c>
      <c r="B577" s="2">
        <v>45752</v>
      </c>
      <c r="C577" t="s">
        <v>76</v>
      </c>
      <c r="D577" t="s">
        <v>77</v>
      </c>
      <c r="E577" t="s">
        <v>46</v>
      </c>
      <c r="F577" t="s">
        <v>33</v>
      </c>
      <c r="G577" t="s">
        <v>34</v>
      </c>
      <c r="H577" t="s">
        <v>53</v>
      </c>
      <c r="I577" t="s">
        <v>48</v>
      </c>
      <c r="J577" t="s">
        <v>83</v>
      </c>
      <c r="K577">
        <v>1</v>
      </c>
      <c r="L577">
        <v>149338</v>
      </c>
      <c r="M577">
        <v>2.4E-2</v>
      </c>
      <c r="N577">
        <v>149338</v>
      </c>
      <c r="O577">
        <v>3584.11</v>
      </c>
      <c r="P577">
        <v>145753.89000000001</v>
      </c>
      <c r="Q577">
        <v>4</v>
      </c>
      <c r="R577">
        <v>182</v>
      </c>
      <c r="S577">
        <v>4.8</v>
      </c>
      <c r="T577">
        <v>10</v>
      </c>
      <c r="U577">
        <v>3</v>
      </c>
    </row>
    <row r="578" spans="1:21" x14ac:dyDescent="0.3">
      <c r="A578" t="s">
        <v>684</v>
      </c>
      <c r="B578" s="2">
        <v>45864</v>
      </c>
      <c r="C578" t="s">
        <v>31</v>
      </c>
      <c r="D578" t="s">
        <v>97</v>
      </c>
      <c r="E578" t="s">
        <v>46</v>
      </c>
      <c r="F578" t="s">
        <v>25</v>
      </c>
      <c r="G578" t="s">
        <v>67</v>
      </c>
      <c r="H578" t="s">
        <v>53</v>
      </c>
      <c r="I578" t="s">
        <v>63</v>
      </c>
      <c r="J578" t="s">
        <v>72</v>
      </c>
      <c r="K578">
        <v>3</v>
      </c>
      <c r="L578">
        <v>125377</v>
      </c>
      <c r="M578">
        <v>5.1999999999999998E-2</v>
      </c>
      <c r="N578">
        <v>376131</v>
      </c>
      <c r="O578">
        <v>19558.810000000001</v>
      </c>
      <c r="P578">
        <v>356572.19</v>
      </c>
      <c r="Q578">
        <v>5</v>
      </c>
      <c r="R578">
        <v>200</v>
      </c>
      <c r="S578">
        <v>4.2</v>
      </c>
      <c r="T578">
        <v>11</v>
      </c>
      <c r="U578">
        <v>5</v>
      </c>
    </row>
    <row r="579" spans="1:21" x14ac:dyDescent="0.3">
      <c r="A579" t="s">
        <v>685</v>
      </c>
      <c r="B579" s="2">
        <v>45820</v>
      </c>
      <c r="C579" t="s">
        <v>22</v>
      </c>
      <c r="D579" t="s">
        <v>23</v>
      </c>
      <c r="E579" t="s">
        <v>46</v>
      </c>
      <c r="F579" t="s">
        <v>101</v>
      </c>
      <c r="G579" t="s">
        <v>34</v>
      </c>
      <c r="H579" t="s">
        <v>53</v>
      </c>
      <c r="I579" t="s">
        <v>63</v>
      </c>
      <c r="J579" t="s">
        <v>72</v>
      </c>
      <c r="K579">
        <v>2</v>
      </c>
      <c r="L579">
        <v>125225</v>
      </c>
      <c r="M579">
        <v>7.0000000000000007E-2</v>
      </c>
      <c r="N579">
        <v>250450</v>
      </c>
      <c r="O579">
        <v>17531.5</v>
      </c>
      <c r="P579">
        <v>232918.5</v>
      </c>
      <c r="Q579">
        <v>3</v>
      </c>
      <c r="R579">
        <v>168</v>
      </c>
      <c r="S579">
        <v>3.6</v>
      </c>
      <c r="T579">
        <v>9</v>
      </c>
      <c r="U579">
        <v>2</v>
      </c>
    </row>
    <row r="580" spans="1:21" x14ac:dyDescent="0.3">
      <c r="A580" t="s">
        <v>686</v>
      </c>
      <c r="B580" s="2">
        <v>45800</v>
      </c>
      <c r="C580" t="s">
        <v>44</v>
      </c>
      <c r="D580" t="s">
        <v>45</v>
      </c>
      <c r="E580" t="s">
        <v>24</v>
      </c>
      <c r="F580" t="s">
        <v>66</v>
      </c>
      <c r="G580" t="s">
        <v>26</v>
      </c>
      <c r="H580" t="s">
        <v>35</v>
      </c>
      <c r="I580" t="s">
        <v>36</v>
      </c>
      <c r="J580" t="s">
        <v>123</v>
      </c>
      <c r="K580">
        <v>1</v>
      </c>
      <c r="L580">
        <v>150700</v>
      </c>
      <c r="M580">
        <v>0.104</v>
      </c>
      <c r="N580">
        <v>150700</v>
      </c>
      <c r="O580">
        <v>15672.8</v>
      </c>
      <c r="P580">
        <v>135027.20000000001</v>
      </c>
      <c r="Q580">
        <v>5</v>
      </c>
      <c r="R580">
        <v>210</v>
      </c>
      <c r="S580">
        <v>3.6</v>
      </c>
      <c r="T580">
        <v>6</v>
      </c>
      <c r="U580">
        <v>2</v>
      </c>
    </row>
    <row r="581" spans="1:21" x14ac:dyDescent="0.3">
      <c r="A581" t="s">
        <v>687</v>
      </c>
      <c r="B581" s="2">
        <v>45868</v>
      </c>
      <c r="C581" t="s">
        <v>22</v>
      </c>
      <c r="D581" t="s">
        <v>23</v>
      </c>
      <c r="E581" t="s">
        <v>62</v>
      </c>
      <c r="F581" t="s">
        <v>80</v>
      </c>
      <c r="G581" t="s">
        <v>26</v>
      </c>
      <c r="H581" t="s">
        <v>27</v>
      </c>
      <c r="I581" t="s">
        <v>94</v>
      </c>
      <c r="J581" t="s">
        <v>104</v>
      </c>
      <c r="K581">
        <v>1</v>
      </c>
      <c r="L581">
        <v>114345</v>
      </c>
      <c r="M581">
        <v>5.2999999999999999E-2</v>
      </c>
      <c r="N581">
        <v>114345</v>
      </c>
      <c r="O581">
        <v>6060.28</v>
      </c>
      <c r="P581">
        <v>108284.72</v>
      </c>
      <c r="Q581">
        <v>3</v>
      </c>
      <c r="R581">
        <v>171</v>
      </c>
      <c r="S581">
        <v>3.4</v>
      </c>
      <c r="T581">
        <v>6</v>
      </c>
      <c r="U581">
        <v>5</v>
      </c>
    </row>
    <row r="582" spans="1:21" x14ac:dyDescent="0.3">
      <c r="A582" t="s">
        <v>688</v>
      </c>
      <c r="B582" s="2">
        <v>45963</v>
      </c>
      <c r="C582" t="s">
        <v>60</v>
      </c>
      <c r="D582" t="s">
        <v>69</v>
      </c>
      <c r="E582" t="s">
        <v>24</v>
      </c>
      <c r="F582" t="s">
        <v>41</v>
      </c>
      <c r="G582" t="s">
        <v>56</v>
      </c>
      <c r="H582" t="s">
        <v>53</v>
      </c>
      <c r="I582" t="s">
        <v>48</v>
      </c>
      <c r="J582" t="s">
        <v>29</v>
      </c>
      <c r="K582">
        <v>1</v>
      </c>
      <c r="L582">
        <v>101307</v>
      </c>
      <c r="M582">
        <v>3.1E-2</v>
      </c>
      <c r="N582">
        <v>101307</v>
      </c>
      <c r="O582">
        <v>3140.52</v>
      </c>
      <c r="P582">
        <v>98166.48</v>
      </c>
      <c r="Q582">
        <v>4</v>
      </c>
      <c r="R582">
        <v>202</v>
      </c>
      <c r="S582">
        <v>3.8</v>
      </c>
      <c r="T582">
        <v>4</v>
      </c>
      <c r="U582">
        <v>5</v>
      </c>
    </row>
    <row r="583" spans="1:21" x14ac:dyDescent="0.3">
      <c r="A583" t="s">
        <v>689</v>
      </c>
      <c r="B583" s="2">
        <v>45983</v>
      </c>
      <c r="C583" t="s">
        <v>31</v>
      </c>
      <c r="D583" t="s">
        <v>97</v>
      </c>
      <c r="E583" t="s">
        <v>62</v>
      </c>
      <c r="F583" t="s">
        <v>52</v>
      </c>
      <c r="G583" t="s">
        <v>56</v>
      </c>
      <c r="H583" t="s">
        <v>27</v>
      </c>
      <c r="I583" t="s">
        <v>57</v>
      </c>
      <c r="J583" t="s">
        <v>29</v>
      </c>
      <c r="K583">
        <v>2</v>
      </c>
      <c r="L583">
        <v>131599</v>
      </c>
      <c r="M583">
        <v>9.2999999999999999E-2</v>
      </c>
      <c r="N583">
        <v>263198</v>
      </c>
      <c r="O583">
        <v>24477.41</v>
      </c>
      <c r="P583">
        <v>238720.59</v>
      </c>
      <c r="Q583">
        <v>4</v>
      </c>
      <c r="R583">
        <v>187</v>
      </c>
      <c r="S583">
        <v>3.7</v>
      </c>
      <c r="T583">
        <v>9</v>
      </c>
      <c r="U583">
        <v>3</v>
      </c>
    </row>
    <row r="584" spans="1:21" x14ac:dyDescent="0.3">
      <c r="A584" t="s">
        <v>690</v>
      </c>
      <c r="B584" s="2">
        <v>45723</v>
      </c>
      <c r="C584" t="s">
        <v>76</v>
      </c>
      <c r="D584" t="s">
        <v>77</v>
      </c>
      <c r="E584" t="s">
        <v>24</v>
      </c>
      <c r="F584" t="s">
        <v>80</v>
      </c>
      <c r="G584" t="s">
        <v>67</v>
      </c>
      <c r="H584" t="s">
        <v>53</v>
      </c>
      <c r="I584" t="s">
        <v>48</v>
      </c>
      <c r="J584" t="s">
        <v>216</v>
      </c>
      <c r="K584">
        <v>4</v>
      </c>
      <c r="L584">
        <v>138911</v>
      </c>
      <c r="M584">
        <v>6.5000000000000002E-2</v>
      </c>
      <c r="N584">
        <v>555644</v>
      </c>
      <c r="O584">
        <v>36116.86</v>
      </c>
      <c r="P584">
        <v>519527.14</v>
      </c>
      <c r="Q584">
        <v>4</v>
      </c>
      <c r="R584">
        <v>182</v>
      </c>
      <c r="S584">
        <v>4.5</v>
      </c>
      <c r="T584">
        <v>11</v>
      </c>
      <c r="U584">
        <v>2</v>
      </c>
    </row>
    <row r="585" spans="1:21" x14ac:dyDescent="0.3">
      <c r="A585" t="s">
        <v>691</v>
      </c>
      <c r="B585" s="2">
        <v>45833</v>
      </c>
      <c r="C585" t="s">
        <v>99</v>
      </c>
      <c r="D585" t="s">
        <v>121</v>
      </c>
      <c r="E585" t="s">
        <v>46</v>
      </c>
      <c r="F585" t="s">
        <v>66</v>
      </c>
      <c r="G585" t="s">
        <v>26</v>
      </c>
      <c r="H585" t="s">
        <v>27</v>
      </c>
      <c r="I585" t="s">
        <v>94</v>
      </c>
      <c r="J585" t="s">
        <v>109</v>
      </c>
      <c r="K585">
        <v>1</v>
      </c>
      <c r="L585">
        <v>104455</v>
      </c>
      <c r="M585">
        <v>9.0999999999999998E-2</v>
      </c>
      <c r="N585">
        <v>104455</v>
      </c>
      <c r="O585">
        <v>9505.4</v>
      </c>
      <c r="P585">
        <v>94949.6</v>
      </c>
      <c r="Q585">
        <v>4</v>
      </c>
      <c r="R585">
        <v>164</v>
      </c>
      <c r="S585">
        <v>4.5</v>
      </c>
      <c r="T585">
        <v>8</v>
      </c>
      <c r="U585">
        <v>5</v>
      </c>
    </row>
    <row r="586" spans="1:21" x14ac:dyDescent="0.3">
      <c r="A586" t="s">
        <v>692</v>
      </c>
      <c r="B586" s="2">
        <v>45705</v>
      </c>
      <c r="C586" t="s">
        <v>76</v>
      </c>
      <c r="D586" t="s">
        <v>77</v>
      </c>
      <c r="E586" t="s">
        <v>24</v>
      </c>
      <c r="F586" t="s">
        <v>52</v>
      </c>
      <c r="G586" t="s">
        <v>34</v>
      </c>
      <c r="H586" t="s">
        <v>53</v>
      </c>
      <c r="I586" t="s">
        <v>36</v>
      </c>
      <c r="J586" t="s">
        <v>54</v>
      </c>
      <c r="K586">
        <v>4</v>
      </c>
      <c r="L586">
        <v>140965</v>
      </c>
      <c r="M586">
        <v>9.5000000000000001E-2</v>
      </c>
      <c r="N586">
        <v>563860</v>
      </c>
      <c r="O586">
        <v>53566.7</v>
      </c>
      <c r="P586">
        <v>510293.3</v>
      </c>
      <c r="Q586">
        <v>4</v>
      </c>
      <c r="R586">
        <v>177</v>
      </c>
      <c r="S586">
        <v>4.8</v>
      </c>
      <c r="T586">
        <v>11</v>
      </c>
      <c r="U586">
        <v>3</v>
      </c>
    </row>
    <row r="587" spans="1:21" x14ac:dyDescent="0.3">
      <c r="A587" t="s">
        <v>693</v>
      </c>
      <c r="B587" s="2">
        <v>45664</v>
      </c>
      <c r="C587" t="s">
        <v>22</v>
      </c>
      <c r="D587" t="s">
        <v>23</v>
      </c>
      <c r="E587" t="s">
        <v>24</v>
      </c>
      <c r="F587" t="s">
        <v>33</v>
      </c>
      <c r="G587" t="s">
        <v>56</v>
      </c>
      <c r="H587" t="s">
        <v>53</v>
      </c>
      <c r="I587" t="s">
        <v>63</v>
      </c>
      <c r="J587" t="s">
        <v>54</v>
      </c>
      <c r="K587">
        <v>1</v>
      </c>
      <c r="L587">
        <v>118544</v>
      </c>
      <c r="M587">
        <v>0.112</v>
      </c>
      <c r="N587">
        <v>118544</v>
      </c>
      <c r="O587">
        <v>13276.93</v>
      </c>
      <c r="P587">
        <v>105267.07</v>
      </c>
      <c r="Q587">
        <v>2</v>
      </c>
      <c r="R587">
        <v>161</v>
      </c>
      <c r="S587">
        <v>5</v>
      </c>
      <c r="T587">
        <v>13</v>
      </c>
      <c r="U587">
        <v>2</v>
      </c>
    </row>
    <row r="588" spans="1:21" x14ac:dyDescent="0.3">
      <c r="A588" t="s">
        <v>694</v>
      </c>
      <c r="B588" s="2">
        <v>45970</v>
      </c>
      <c r="C588" t="s">
        <v>87</v>
      </c>
      <c r="D588" t="s">
        <v>88</v>
      </c>
      <c r="E588" t="s">
        <v>62</v>
      </c>
      <c r="F588" t="s">
        <v>101</v>
      </c>
      <c r="G588" t="s">
        <v>67</v>
      </c>
      <c r="H588" t="s">
        <v>35</v>
      </c>
      <c r="I588" t="s">
        <v>57</v>
      </c>
      <c r="J588" t="s">
        <v>123</v>
      </c>
      <c r="K588">
        <v>1</v>
      </c>
      <c r="L588">
        <v>146532</v>
      </c>
      <c r="M588">
        <v>2.4E-2</v>
      </c>
      <c r="N588">
        <v>146532</v>
      </c>
      <c r="O588">
        <v>3516.77</v>
      </c>
      <c r="P588">
        <v>143015.23000000001</v>
      </c>
      <c r="Q588">
        <v>3</v>
      </c>
      <c r="R588">
        <v>172</v>
      </c>
      <c r="S588">
        <v>4.3</v>
      </c>
      <c r="T588">
        <v>13</v>
      </c>
      <c r="U588">
        <v>5</v>
      </c>
    </row>
    <row r="589" spans="1:21" x14ac:dyDescent="0.3">
      <c r="A589" t="s">
        <v>695</v>
      </c>
      <c r="B589" s="2">
        <v>45882</v>
      </c>
      <c r="C589" t="s">
        <v>44</v>
      </c>
      <c r="D589" t="s">
        <v>51</v>
      </c>
      <c r="E589" t="s">
        <v>24</v>
      </c>
      <c r="F589" t="s">
        <v>66</v>
      </c>
      <c r="G589" t="s">
        <v>56</v>
      </c>
      <c r="H589" t="s">
        <v>27</v>
      </c>
      <c r="I589" t="s">
        <v>28</v>
      </c>
      <c r="J589" t="s">
        <v>95</v>
      </c>
      <c r="K589">
        <v>1</v>
      </c>
      <c r="L589">
        <v>118890</v>
      </c>
      <c r="M589">
        <v>7.9000000000000001E-2</v>
      </c>
      <c r="N589">
        <v>118890</v>
      </c>
      <c r="O589">
        <v>9392.31</v>
      </c>
      <c r="P589">
        <v>109497.69</v>
      </c>
      <c r="Q589">
        <v>4</v>
      </c>
      <c r="R589">
        <v>175</v>
      </c>
      <c r="S589">
        <v>4.2</v>
      </c>
      <c r="T589">
        <v>3</v>
      </c>
      <c r="U589">
        <v>2</v>
      </c>
    </row>
    <row r="590" spans="1:21" x14ac:dyDescent="0.3">
      <c r="A590" t="s">
        <v>696</v>
      </c>
      <c r="B590" s="2">
        <v>45733</v>
      </c>
      <c r="C590" t="s">
        <v>39</v>
      </c>
      <c r="D590" t="s">
        <v>154</v>
      </c>
      <c r="E590" t="s">
        <v>24</v>
      </c>
      <c r="F590" t="s">
        <v>25</v>
      </c>
      <c r="G590" t="s">
        <v>56</v>
      </c>
      <c r="H590" t="s">
        <v>35</v>
      </c>
      <c r="I590" t="s">
        <v>57</v>
      </c>
      <c r="J590" t="s">
        <v>72</v>
      </c>
      <c r="K590">
        <v>5</v>
      </c>
      <c r="L590">
        <v>177665</v>
      </c>
      <c r="M590">
        <v>7.5999999999999998E-2</v>
      </c>
      <c r="N590">
        <v>888325</v>
      </c>
      <c r="O590">
        <v>67512.7</v>
      </c>
      <c r="P590">
        <v>820812.3</v>
      </c>
      <c r="Q590">
        <v>2</v>
      </c>
      <c r="R590">
        <v>141</v>
      </c>
      <c r="S590">
        <v>3.5</v>
      </c>
      <c r="T590">
        <v>5</v>
      </c>
      <c r="U590">
        <v>3</v>
      </c>
    </row>
    <row r="591" spans="1:21" x14ac:dyDescent="0.3">
      <c r="A591" t="s">
        <v>697</v>
      </c>
      <c r="B591" s="2">
        <v>45719</v>
      </c>
      <c r="C591" t="s">
        <v>60</v>
      </c>
      <c r="D591" t="s">
        <v>61</v>
      </c>
      <c r="E591" t="s">
        <v>46</v>
      </c>
      <c r="F591" t="s">
        <v>33</v>
      </c>
      <c r="G591" t="s">
        <v>26</v>
      </c>
      <c r="H591" t="s">
        <v>27</v>
      </c>
      <c r="I591" t="s">
        <v>94</v>
      </c>
      <c r="J591" t="s">
        <v>203</v>
      </c>
      <c r="K591">
        <v>3</v>
      </c>
      <c r="L591">
        <v>115684</v>
      </c>
      <c r="M591">
        <v>6.0999999999999999E-2</v>
      </c>
      <c r="N591">
        <v>347052</v>
      </c>
      <c r="O591">
        <v>21170.17</v>
      </c>
      <c r="P591">
        <v>325881.83</v>
      </c>
      <c r="Q591">
        <v>3</v>
      </c>
      <c r="R591">
        <v>156</v>
      </c>
      <c r="S591">
        <v>4.3</v>
      </c>
      <c r="T591">
        <v>9</v>
      </c>
      <c r="U591">
        <v>5</v>
      </c>
    </row>
    <row r="592" spans="1:21" x14ac:dyDescent="0.3">
      <c r="A592" t="s">
        <v>698</v>
      </c>
      <c r="B592" s="2">
        <v>45955</v>
      </c>
      <c r="C592" t="s">
        <v>76</v>
      </c>
      <c r="D592" t="s">
        <v>115</v>
      </c>
      <c r="E592" t="s">
        <v>62</v>
      </c>
      <c r="F592" t="s">
        <v>66</v>
      </c>
      <c r="G592" t="s">
        <v>26</v>
      </c>
      <c r="H592" t="s">
        <v>35</v>
      </c>
      <c r="I592" t="s">
        <v>48</v>
      </c>
      <c r="J592" t="s">
        <v>104</v>
      </c>
      <c r="K592">
        <v>2</v>
      </c>
      <c r="L592">
        <v>136582</v>
      </c>
      <c r="M592">
        <v>0.05</v>
      </c>
      <c r="N592">
        <v>273164</v>
      </c>
      <c r="O592">
        <v>13658.2</v>
      </c>
      <c r="P592">
        <v>259505.8</v>
      </c>
      <c r="Q592">
        <v>3</v>
      </c>
      <c r="R592">
        <v>142</v>
      </c>
      <c r="S592">
        <v>3.4</v>
      </c>
      <c r="T592">
        <v>14</v>
      </c>
      <c r="U592">
        <v>2</v>
      </c>
    </row>
    <row r="593" spans="1:21" x14ac:dyDescent="0.3">
      <c r="A593" t="s">
        <v>699</v>
      </c>
      <c r="B593" s="2">
        <v>45842</v>
      </c>
      <c r="C593" t="s">
        <v>31</v>
      </c>
      <c r="D593" t="s">
        <v>32</v>
      </c>
      <c r="E593" t="s">
        <v>46</v>
      </c>
      <c r="F593" t="s">
        <v>41</v>
      </c>
      <c r="G593" t="s">
        <v>26</v>
      </c>
      <c r="H593" t="s">
        <v>27</v>
      </c>
      <c r="I593" t="s">
        <v>48</v>
      </c>
      <c r="J593" t="s">
        <v>138</v>
      </c>
      <c r="K593">
        <v>1</v>
      </c>
      <c r="L593">
        <v>118386</v>
      </c>
      <c r="M593">
        <v>3.9E-2</v>
      </c>
      <c r="N593">
        <v>118386</v>
      </c>
      <c r="O593">
        <v>4617.05</v>
      </c>
      <c r="P593">
        <v>113768.95</v>
      </c>
      <c r="Q593">
        <v>3</v>
      </c>
      <c r="R593">
        <v>191</v>
      </c>
      <c r="S593">
        <v>4.9000000000000004</v>
      </c>
      <c r="T593">
        <v>3</v>
      </c>
      <c r="U593">
        <v>3</v>
      </c>
    </row>
    <row r="594" spans="1:21" x14ac:dyDescent="0.3">
      <c r="A594" t="s">
        <v>700</v>
      </c>
      <c r="B594" s="2">
        <v>45873</v>
      </c>
      <c r="C594" t="s">
        <v>99</v>
      </c>
      <c r="D594" t="s">
        <v>141</v>
      </c>
      <c r="E594" t="s">
        <v>62</v>
      </c>
      <c r="F594" t="s">
        <v>66</v>
      </c>
      <c r="G594" t="s">
        <v>56</v>
      </c>
      <c r="H594" t="s">
        <v>53</v>
      </c>
      <c r="I594" t="s">
        <v>28</v>
      </c>
      <c r="J594" t="s">
        <v>72</v>
      </c>
      <c r="K594">
        <v>4</v>
      </c>
      <c r="L594">
        <v>133651</v>
      </c>
      <c r="M594">
        <v>0.10199999999999999</v>
      </c>
      <c r="N594">
        <v>534604</v>
      </c>
      <c r="O594">
        <v>54529.61</v>
      </c>
      <c r="P594">
        <v>480074.39</v>
      </c>
      <c r="Q594">
        <v>3</v>
      </c>
      <c r="R594">
        <v>144</v>
      </c>
      <c r="S594">
        <v>3.7</v>
      </c>
      <c r="T594">
        <v>2</v>
      </c>
      <c r="U594">
        <v>2</v>
      </c>
    </row>
    <row r="595" spans="1:21" x14ac:dyDescent="0.3">
      <c r="A595" t="s">
        <v>701</v>
      </c>
      <c r="B595" s="2">
        <v>46015</v>
      </c>
      <c r="C595" t="s">
        <v>44</v>
      </c>
      <c r="D595" t="s">
        <v>45</v>
      </c>
      <c r="E595" t="s">
        <v>46</v>
      </c>
      <c r="F595" t="s">
        <v>33</v>
      </c>
      <c r="G595" t="s">
        <v>67</v>
      </c>
      <c r="H595" t="s">
        <v>53</v>
      </c>
      <c r="I595" t="s">
        <v>36</v>
      </c>
      <c r="J595" t="s">
        <v>143</v>
      </c>
      <c r="K595">
        <v>1</v>
      </c>
      <c r="L595">
        <v>146411</v>
      </c>
      <c r="M595">
        <v>0.108</v>
      </c>
      <c r="N595">
        <v>146411</v>
      </c>
      <c r="O595">
        <v>15812.39</v>
      </c>
      <c r="P595">
        <v>130598.61</v>
      </c>
      <c r="Q595">
        <v>4</v>
      </c>
      <c r="R595">
        <v>173</v>
      </c>
      <c r="S595">
        <v>3.7</v>
      </c>
      <c r="T595">
        <v>14</v>
      </c>
      <c r="U595">
        <v>5</v>
      </c>
    </row>
    <row r="596" spans="1:21" x14ac:dyDescent="0.3">
      <c r="A596" t="s">
        <v>702</v>
      </c>
      <c r="B596" s="2">
        <v>45841</v>
      </c>
      <c r="C596" t="s">
        <v>31</v>
      </c>
      <c r="D596" t="s">
        <v>97</v>
      </c>
      <c r="E596" t="s">
        <v>62</v>
      </c>
      <c r="F596" t="s">
        <v>41</v>
      </c>
      <c r="G596" t="s">
        <v>26</v>
      </c>
      <c r="H596" t="s">
        <v>235</v>
      </c>
      <c r="I596" t="s">
        <v>36</v>
      </c>
      <c r="J596" t="s">
        <v>109</v>
      </c>
      <c r="K596">
        <v>1</v>
      </c>
      <c r="L596">
        <v>131982</v>
      </c>
      <c r="M596">
        <v>2.5000000000000001E-2</v>
      </c>
      <c r="N596">
        <v>131982</v>
      </c>
      <c r="O596">
        <v>3299.55</v>
      </c>
      <c r="P596">
        <v>128682.45</v>
      </c>
      <c r="Q596">
        <v>2</v>
      </c>
      <c r="R596">
        <v>155</v>
      </c>
      <c r="S596">
        <v>3.6</v>
      </c>
      <c r="T596">
        <v>8</v>
      </c>
      <c r="U596">
        <v>2</v>
      </c>
    </row>
    <row r="597" spans="1:21" x14ac:dyDescent="0.3">
      <c r="A597" t="s">
        <v>703</v>
      </c>
      <c r="B597" s="2">
        <v>45708</v>
      </c>
      <c r="C597" t="s">
        <v>44</v>
      </c>
      <c r="D597" t="s">
        <v>45</v>
      </c>
      <c r="E597" t="s">
        <v>24</v>
      </c>
      <c r="F597" t="s">
        <v>74</v>
      </c>
      <c r="G597" t="s">
        <v>56</v>
      </c>
      <c r="H597" t="s">
        <v>35</v>
      </c>
      <c r="I597" t="s">
        <v>94</v>
      </c>
      <c r="J597" t="s">
        <v>104</v>
      </c>
      <c r="K597">
        <v>1</v>
      </c>
      <c r="L597">
        <v>154302</v>
      </c>
      <c r="M597">
        <v>3.1E-2</v>
      </c>
      <c r="N597">
        <v>154302</v>
      </c>
      <c r="O597">
        <v>4783.3599999999997</v>
      </c>
      <c r="P597">
        <v>149518.64000000001</v>
      </c>
      <c r="Q597">
        <v>4</v>
      </c>
      <c r="R597">
        <v>171</v>
      </c>
      <c r="S597">
        <v>4.5999999999999996</v>
      </c>
      <c r="T597">
        <v>13</v>
      </c>
      <c r="U597">
        <v>5</v>
      </c>
    </row>
    <row r="598" spans="1:21" x14ac:dyDescent="0.3">
      <c r="A598" t="s">
        <v>704</v>
      </c>
      <c r="B598" s="2">
        <v>45864</v>
      </c>
      <c r="C598" t="s">
        <v>60</v>
      </c>
      <c r="D598" t="s">
        <v>61</v>
      </c>
      <c r="E598" t="s">
        <v>24</v>
      </c>
      <c r="F598" t="s">
        <v>101</v>
      </c>
      <c r="G598" t="s">
        <v>56</v>
      </c>
      <c r="H598" t="s">
        <v>35</v>
      </c>
      <c r="I598" t="s">
        <v>94</v>
      </c>
      <c r="J598" t="s">
        <v>29</v>
      </c>
      <c r="K598">
        <v>1</v>
      </c>
      <c r="L598">
        <v>113952</v>
      </c>
      <c r="M598">
        <v>8.4000000000000005E-2</v>
      </c>
      <c r="N598">
        <v>113952</v>
      </c>
      <c r="O598">
        <v>9571.9699999999993</v>
      </c>
      <c r="P598">
        <v>104380.03</v>
      </c>
      <c r="Q598">
        <v>5</v>
      </c>
      <c r="R598">
        <v>195</v>
      </c>
      <c r="S598">
        <v>3.6</v>
      </c>
      <c r="T598">
        <v>13</v>
      </c>
      <c r="U598">
        <v>2</v>
      </c>
    </row>
    <row r="599" spans="1:21" x14ac:dyDescent="0.3">
      <c r="A599" t="s">
        <v>705</v>
      </c>
      <c r="B599" s="2">
        <v>45811</v>
      </c>
      <c r="C599" t="s">
        <v>44</v>
      </c>
      <c r="D599" t="s">
        <v>45</v>
      </c>
      <c r="E599" t="s">
        <v>24</v>
      </c>
      <c r="F599" t="s">
        <v>66</v>
      </c>
      <c r="G599" t="s">
        <v>34</v>
      </c>
      <c r="H599" t="s">
        <v>53</v>
      </c>
      <c r="I599" t="s">
        <v>36</v>
      </c>
      <c r="J599" t="s">
        <v>42</v>
      </c>
      <c r="K599">
        <v>2</v>
      </c>
      <c r="L599">
        <v>142199</v>
      </c>
      <c r="M599">
        <v>0.109</v>
      </c>
      <c r="N599">
        <v>284398</v>
      </c>
      <c r="O599">
        <v>30999.38</v>
      </c>
      <c r="P599">
        <v>253398.62</v>
      </c>
      <c r="Q599">
        <v>4</v>
      </c>
      <c r="R599">
        <v>193</v>
      </c>
      <c r="S599">
        <v>4.3</v>
      </c>
      <c r="T599">
        <v>12</v>
      </c>
      <c r="U599">
        <v>3</v>
      </c>
    </row>
    <row r="600" spans="1:21" x14ac:dyDescent="0.3">
      <c r="A600" t="s">
        <v>706</v>
      </c>
      <c r="B600" s="2">
        <v>45750</v>
      </c>
      <c r="C600" t="s">
        <v>44</v>
      </c>
      <c r="D600" t="s">
        <v>51</v>
      </c>
      <c r="E600" t="s">
        <v>24</v>
      </c>
      <c r="F600" t="s">
        <v>66</v>
      </c>
      <c r="G600" t="s">
        <v>67</v>
      </c>
      <c r="H600" t="s">
        <v>53</v>
      </c>
      <c r="I600" t="s">
        <v>57</v>
      </c>
      <c r="J600" t="s">
        <v>148</v>
      </c>
      <c r="K600">
        <v>1</v>
      </c>
      <c r="L600">
        <v>113239</v>
      </c>
      <c r="M600">
        <v>8.8999999999999996E-2</v>
      </c>
      <c r="N600">
        <v>113239</v>
      </c>
      <c r="O600">
        <v>10078.27</v>
      </c>
      <c r="P600">
        <v>103160.73</v>
      </c>
      <c r="Q600">
        <v>4</v>
      </c>
      <c r="R600">
        <v>179</v>
      </c>
      <c r="S600">
        <v>3.9</v>
      </c>
      <c r="T600">
        <v>4</v>
      </c>
      <c r="U600">
        <v>5</v>
      </c>
    </row>
    <row r="601" spans="1:21" x14ac:dyDescent="0.3">
      <c r="A601" t="s">
        <v>707</v>
      </c>
      <c r="B601" s="2">
        <v>46019</v>
      </c>
      <c r="C601" t="s">
        <v>60</v>
      </c>
      <c r="D601" t="s">
        <v>69</v>
      </c>
      <c r="E601" t="s">
        <v>62</v>
      </c>
      <c r="F601" t="s">
        <v>33</v>
      </c>
      <c r="G601" t="s">
        <v>67</v>
      </c>
      <c r="H601" t="s">
        <v>27</v>
      </c>
      <c r="I601" t="s">
        <v>94</v>
      </c>
      <c r="J601" t="s">
        <v>148</v>
      </c>
      <c r="K601">
        <v>1</v>
      </c>
      <c r="L601">
        <v>110529</v>
      </c>
      <c r="M601">
        <v>8.2000000000000003E-2</v>
      </c>
      <c r="N601">
        <v>110529</v>
      </c>
      <c r="O601">
        <v>9063.3799999999992</v>
      </c>
      <c r="P601">
        <v>101465.62</v>
      </c>
      <c r="Q601">
        <v>4</v>
      </c>
      <c r="R601">
        <v>159</v>
      </c>
      <c r="S601">
        <v>3.9</v>
      </c>
      <c r="T601">
        <v>11</v>
      </c>
      <c r="U601">
        <v>2</v>
      </c>
    </row>
    <row r="602" spans="1:21" x14ac:dyDescent="0.3">
      <c r="A602" t="s">
        <v>708</v>
      </c>
      <c r="B602" s="2">
        <v>45806</v>
      </c>
      <c r="C602" t="s">
        <v>87</v>
      </c>
      <c r="D602" t="s">
        <v>88</v>
      </c>
      <c r="E602" t="s">
        <v>46</v>
      </c>
      <c r="F602" t="s">
        <v>47</v>
      </c>
      <c r="G602" t="s">
        <v>26</v>
      </c>
      <c r="H602" t="s">
        <v>35</v>
      </c>
      <c r="I602" t="s">
        <v>94</v>
      </c>
      <c r="J602" t="s">
        <v>92</v>
      </c>
      <c r="K602">
        <v>1</v>
      </c>
      <c r="L602">
        <v>147611</v>
      </c>
      <c r="M602">
        <v>3.2000000000000001E-2</v>
      </c>
      <c r="N602">
        <v>147611</v>
      </c>
      <c r="O602">
        <v>4723.55</v>
      </c>
      <c r="P602">
        <v>142887.45000000001</v>
      </c>
      <c r="Q602">
        <v>3</v>
      </c>
      <c r="R602">
        <v>161</v>
      </c>
      <c r="S602">
        <v>3.5</v>
      </c>
      <c r="T602">
        <v>10</v>
      </c>
      <c r="U602">
        <v>3</v>
      </c>
    </row>
    <row r="603" spans="1:21" x14ac:dyDescent="0.3">
      <c r="A603" t="s">
        <v>709</v>
      </c>
      <c r="B603" s="2">
        <v>45936</v>
      </c>
      <c r="C603" t="s">
        <v>99</v>
      </c>
      <c r="D603" t="s">
        <v>141</v>
      </c>
      <c r="E603" t="s">
        <v>62</v>
      </c>
      <c r="F603" t="s">
        <v>52</v>
      </c>
      <c r="G603" t="s">
        <v>26</v>
      </c>
      <c r="H603" t="s">
        <v>27</v>
      </c>
      <c r="I603" t="s">
        <v>28</v>
      </c>
      <c r="J603" t="s">
        <v>83</v>
      </c>
      <c r="K603">
        <v>1</v>
      </c>
      <c r="L603">
        <v>146428</v>
      </c>
      <c r="M603">
        <v>4.5999999999999999E-2</v>
      </c>
      <c r="N603">
        <v>146428</v>
      </c>
      <c r="O603">
        <v>6735.69</v>
      </c>
      <c r="P603">
        <v>139692.31</v>
      </c>
      <c r="Q603">
        <v>4</v>
      </c>
      <c r="R603">
        <v>206</v>
      </c>
      <c r="S603">
        <v>3.7</v>
      </c>
      <c r="T603">
        <v>4</v>
      </c>
      <c r="U603">
        <v>3</v>
      </c>
    </row>
    <row r="604" spans="1:21" x14ac:dyDescent="0.3">
      <c r="A604" t="s">
        <v>710</v>
      </c>
      <c r="B604" s="2">
        <v>45891</v>
      </c>
      <c r="C604" t="s">
        <v>44</v>
      </c>
      <c r="D604" t="s">
        <v>45</v>
      </c>
      <c r="E604" t="s">
        <v>46</v>
      </c>
      <c r="F604" t="s">
        <v>52</v>
      </c>
      <c r="G604" t="s">
        <v>56</v>
      </c>
      <c r="H604" t="s">
        <v>27</v>
      </c>
      <c r="I604" t="s">
        <v>63</v>
      </c>
      <c r="J604" t="s">
        <v>175</v>
      </c>
      <c r="K604">
        <v>1</v>
      </c>
      <c r="L604">
        <v>158677</v>
      </c>
      <c r="M604">
        <v>0.1</v>
      </c>
      <c r="N604">
        <v>158677</v>
      </c>
      <c r="O604">
        <v>15867.7</v>
      </c>
      <c r="P604">
        <v>142809.29999999999</v>
      </c>
      <c r="Q604">
        <v>3</v>
      </c>
      <c r="R604">
        <v>158</v>
      </c>
      <c r="S604">
        <v>3.5</v>
      </c>
      <c r="T604">
        <v>6</v>
      </c>
      <c r="U604">
        <v>2</v>
      </c>
    </row>
    <row r="605" spans="1:21" x14ac:dyDescent="0.3">
      <c r="A605" t="s">
        <v>711</v>
      </c>
      <c r="B605" s="2">
        <v>45906</v>
      </c>
      <c r="C605" t="s">
        <v>99</v>
      </c>
      <c r="D605" t="s">
        <v>121</v>
      </c>
      <c r="E605" t="s">
        <v>46</v>
      </c>
      <c r="F605" t="s">
        <v>74</v>
      </c>
      <c r="G605" t="s">
        <v>34</v>
      </c>
      <c r="H605" t="s">
        <v>27</v>
      </c>
      <c r="I605" t="s">
        <v>48</v>
      </c>
      <c r="J605" t="s">
        <v>157</v>
      </c>
      <c r="K605">
        <v>1</v>
      </c>
      <c r="L605">
        <v>110377</v>
      </c>
      <c r="M605">
        <v>0.03</v>
      </c>
      <c r="N605">
        <v>110377</v>
      </c>
      <c r="O605">
        <v>3311.31</v>
      </c>
      <c r="P605">
        <v>107065.69</v>
      </c>
      <c r="Q605">
        <v>3</v>
      </c>
      <c r="R605">
        <v>159</v>
      </c>
      <c r="S605">
        <v>4.5</v>
      </c>
      <c r="T605">
        <v>13</v>
      </c>
      <c r="U605">
        <v>5</v>
      </c>
    </row>
    <row r="606" spans="1:21" x14ac:dyDescent="0.3">
      <c r="A606" t="s">
        <v>712</v>
      </c>
      <c r="B606" s="2">
        <v>45690</v>
      </c>
      <c r="C606" t="s">
        <v>22</v>
      </c>
      <c r="D606" t="s">
        <v>107</v>
      </c>
      <c r="E606" t="s">
        <v>24</v>
      </c>
      <c r="F606" t="s">
        <v>52</v>
      </c>
      <c r="G606" t="s">
        <v>34</v>
      </c>
      <c r="H606" t="s">
        <v>53</v>
      </c>
      <c r="I606" t="s">
        <v>57</v>
      </c>
      <c r="J606" t="s">
        <v>109</v>
      </c>
      <c r="K606">
        <v>1</v>
      </c>
      <c r="L606">
        <v>145467</v>
      </c>
      <c r="M606">
        <v>2.3E-2</v>
      </c>
      <c r="N606">
        <v>145467</v>
      </c>
      <c r="O606">
        <v>3345.74</v>
      </c>
      <c r="P606">
        <v>142121.26</v>
      </c>
      <c r="Q606">
        <v>5</v>
      </c>
      <c r="R606">
        <v>211</v>
      </c>
      <c r="S606">
        <v>4.4000000000000004</v>
      </c>
      <c r="T606">
        <v>2</v>
      </c>
      <c r="U606">
        <v>5</v>
      </c>
    </row>
    <row r="607" spans="1:21" x14ac:dyDescent="0.3">
      <c r="A607" t="s">
        <v>713</v>
      </c>
      <c r="B607" s="2">
        <v>45936</v>
      </c>
      <c r="C607" t="s">
        <v>44</v>
      </c>
      <c r="D607" t="s">
        <v>45</v>
      </c>
      <c r="E607" t="s">
        <v>62</v>
      </c>
      <c r="F607" t="s">
        <v>47</v>
      </c>
      <c r="G607" t="s">
        <v>56</v>
      </c>
      <c r="H607" t="s">
        <v>27</v>
      </c>
      <c r="I607" t="s">
        <v>57</v>
      </c>
      <c r="J607" t="s">
        <v>157</v>
      </c>
      <c r="K607">
        <v>1</v>
      </c>
      <c r="L607">
        <v>150102</v>
      </c>
      <c r="M607">
        <v>0.06</v>
      </c>
      <c r="N607">
        <v>150102</v>
      </c>
      <c r="O607">
        <v>9006.1200000000008</v>
      </c>
      <c r="P607">
        <v>141095.88</v>
      </c>
      <c r="Q607">
        <v>5</v>
      </c>
      <c r="R607">
        <v>208</v>
      </c>
      <c r="S607">
        <v>3.9</v>
      </c>
      <c r="T607">
        <v>5</v>
      </c>
      <c r="U607">
        <v>3</v>
      </c>
    </row>
    <row r="608" spans="1:21" x14ac:dyDescent="0.3">
      <c r="A608" t="s">
        <v>714</v>
      </c>
      <c r="B608" s="2">
        <v>45976</v>
      </c>
      <c r="C608" t="s">
        <v>99</v>
      </c>
      <c r="D608" t="s">
        <v>141</v>
      </c>
      <c r="E608" t="s">
        <v>46</v>
      </c>
      <c r="F608" t="s">
        <v>70</v>
      </c>
      <c r="G608" t="s">
        <v>26</v>
      </c>
      <c r="H608" t="s">
        <v>53</v>
      </c>
      <c r="I608" t="s">
        <v>36</v>
      </c>
      <c r="J608" t="s">
        <v>89</v>
      </c>
      <c r="K608">
        <v>3</v>
      </c>
      <c r="L608">
        <v>136499</v>
      </c>
      <c r="M608">
        <v>8.1000000000000003E-2</v>
      </c>
      <c r="N608">
        <v>409497</v>
      </c>
      <c r="O608">
        <v>33169.26</v>
      </c>
      <c r="P608">
        <v>376327.74</v>
      </c>
      <c r="Q608">
        <v>4</v>
      </c>
      <c r="R608">
        <v>179</v>
      </c>
      <c r="S608">
        <v>3.1</v>
      </c>
      <c r="T608">
        <v>8</v>
      </c>
      <c r="U608">
        <v>5</v>
      </c>
    </row>
    <row r="609" spans="1:21" x14ac:dyDescent="0.3">
      <c r="A609" t="s">
        <v>715</v>
      </c>
      <c r="B609" s="2">
        <v>45752</v>
      </c>
      <c r="C609" t="s">
        <v>39</v>
      </c>
      <c r="D609" t="s">
        <v>40</v>
      </c>
      <c r="E609" t="s">
        <v>46</v>
      </c>
      <c r="F609" t="s">
        <v>33</v>
      </c>
      <c r="G609" t="s">
        <v>34</v>
      </c>
      <c r="H609" t="s">
        <v>27</v>
      </c>
      <c r="I609" t="s">
        <v>94</v>
      </c>
      <c r="J609" t="s">
        <v>54</v>
      </c>
      <c r="K609">
        <v>4</v>
      </c>
      <c r="L609">
        <v>121519</v>
      </c>
      <c r="M609">
        <v>4.3999999999999997E-2</v>
      </c>
      <c r="N609">
        <v>486076</v>
      </c>
      <c r="O609">
        <v>21387.34</v>
      </c>
      <c r="P609">
        <v>464688.66</v>
      </c>
      <c r="Q609">
        <v>3</v>
      </c>
      <c r="R609">
        <v>168</v>
      </c>
      <c r="S609">
        <v>3.4</v>
      </c>
      <c r="T609">
        <v>11</v>
      </c>
      <c r="U609">
        <v>5</v>
      </c>
    </row>
    <row r="610" spans="1:21" x14ac:dyDescent="0.3">
      <c r="A610" t="s">
        <v>716</v>
      </c>
      <c r="B610" s="2">
        <v>45978</v>
      </c>
      <c r="C610" t="s">
        <v>87</v>
      </c>
      <c r="D610" t="s">
        <v>130</v>
      </c>
      <c r="E610" t="s">
        <v>24</v>
      </c>
      <c r="F610" t="s">
        <v>25</v>
      </c>
      <c r="G610" t="s">
        <v>26</v>
      </c>
      <c r="H610" t="s">
        <v>27</v>
      </c>
      <c r="I610" t="s">
        <v>48</v>
      </c>
      <c r="J610" t="s">
        <v>89</v>
      </c>
      <c r="K610">
        <v>1</v>
      </c>
      <c r="L610">
        <v>115833</v>
      </c>
      <c r="M610">
        <v>9.6000000000000002E-2</v>
      </c>
      <c r="N610">
        <v>115833</v>
      </c>
      <c r="O610">
        <v>11119.97</v>
      </c>
      <c r="P610">
        <v>104713.03</v>
      </c>
      <c r="Q610">
        <v>3</v>
      </c>
      <c r="R610">
        <v>163</v>
      </c>
      <c r="S610">
        <v>4.3</v>
      </c>
      <c r="T610">
        <v>5</v>
      </c>
      <c r="U610">
        <v>3</v>
      </c>
    </row>
    <row r="611" spans="1:21" x14ac:dyDescent="0.3">
      <c r="A611" t="s">
        <v>717</v>
      </c>
      <c r="B611" s="2">
        <v>45699</v>
      </c>
      <c r="C611" t="s">
        <v>87</v>
      </c>
      <c r="D611" t="s">
        <v>130</v>
      </c>
      <c r="E611" t="s">
        <v>62</v>
      </c>
      <c r="F611" t="s">
        <v>25</v>
      </c>
      <c r="G611" t="s">
        <v>67</v>
      </c>
      <c r="H611" t="s">
        <v>35</v>
      </c>
      <c r="I611" t="s">
        <v>57</v>
      </c>
      <c r="J611" t="s">
        <v>203</v>
      </c>
      <c r="K611">
        <v>2</v>
      </c>
      <c r="L611">
        <v>109686</v>
      </c>
      <c r="M611">
        <v>4.8000000000000001E-2</v>
      </c>
      <c r="N611">
        <v>219372</v>
      </c>
      <c r="O611">
        <v>10529.86</v>
      </c>
      <c r="P611">
        <v>208842.14</v>
      </c>
      <c r="Q611">
        <v>4</v>
      </c>
      <c r="R611">
        <v>173</v>
      </c>
      <c r="S611">
        <v>3.9</v>
      </c>
      <c r="T611">
        <v>-10</v>
      </c>
      <c r="U611">
        <v>3</v>
      </c>
    </row>
    <row r="612" spans="1:21" x14ac:dyDescent="0.3">
      <c r="A612" t="s">
        <v>718</v>
      </c>
      <c r="B612" s="2">
        <v>45780</v>
      </c>
      <c r="C612" t="s">
        <v>76</v>
      </c>
      <c r="D612" t="s">
        <v>117</v>
      </c>
      <c r="E612" t="s">
        <v>46</v>
      </c>
      <c r="F612" t="s">
        <v>41</v>
      </c>
      <c r="G612" t="s">
        <v>67</v>
      </c>
      <c r="H612" t="s">
        <v>53</v>
      </c>
      <c r="I612" t="s">
        <v>94</v>
      </c>
      <c r="J612" t="s">
        <v>109</v>
      </c>
      <c r="K612">
        <v>5</v>
      </c>
      <c r="L612">
        <v>143293</v>
      </c>
      <c r="M612">
        <v>4.2999999999999997E-2</v>
      </c>
      <c r="N612">
        <v>716465</v>
      </c>
      <c r="O612">
        <v>30807.99</v>
      </c>
      <c r="P612">
        <v>685657.01</v>
      </c>
      <c r="Q612">
        <v>4</v>
      </c>
      <c r="R612">
        <v>186</v>
      </c>
      <c r="S612">
        <v>4.0999999999999996</v>
      </c>
      <c r="T612">
        <v>6</v>
      </c>
      <c r="U612">
        <v>3</v>
      </c>
    </row>
    <row r="613" spans="1:21" x14ac:dyDescent="0.3">
      <c r="A613" t="s">
        <v>719</v>
      </c>
      <c r="B613" s="2">
        <v>45865</v>
      </c>
      <c r="C613" t="s">
        <v>39</v>
      </c>
      <c r="D613" t="s">
        <v>154</v>
      </c>
      <c r="E613" t="s">
        <v>62</v>
      </c>
      <c r="F613" t="s">
        <v>47</v>
      </c>
      <c r="G613" t="s">
        <v>67</v>
      </c>
      <c r="H613" t="s">
        <v>35</v>
      </c>
      <c r="I613" t="s">
        <v>63</v>
      </c>
      <c r="J613" t="s">
        <v>81</v>
      </c>
      <c r="K613">
        <v>1</v>
      </c>
      <c r="L613">
        <v>186928</v>
      </c>
      <c r="M613">
        <v>8.4000000000000005E-2</v>
      </c>
      <c r="N613">
        <v>186928</v>
      </c>
      <c r="O613">
        <v>15701.95</v>
      </c>
      <c r="P613">
        <v>171226.05</v>
      </c>
      <c r="Q613">
        <v>3</v>
      </c>
      <c r="R613">
        <v>169</v>
      </c>
      <c r="S613">
        <v>4</v>
      </c>
      <c r="T613">
        <v>10</v>
      </c>
      <c r="U613">
        <v>5</v>
      </c>
    </row>
    <row r="614" spans="1:21" x14ac:dyDescent="0.3">
      <c r="A614" t="s">
        <v>720</v>
      </c>
      <c r="B614" s="2">
        <v>45691</v>
      </c>
      <c r="C614" t="s">
        <v>39</v>
      </c>
      <c r="D614" t="s">
        <v>154</v>
      </c>
      <c r="E614" t="s">
        <v>62</v>
      </c>
      <c r="F614" t="s">
        <v>66</v>
      </c>
      <c r="G614" t="s">
        <v>26</v>
      </c>
      <c r="H614" t="s">
        <v>35</v>
      </c>
      <c r="I614" t="s">
        <v>63</v>
      </c>
      <c r="J614" t="s">
        <v>49</v>
      </c>
      <c r="K614">
        <v>1</v>
      </c>
      <c r="L614">
        <v>179337</v>
      </c>
      <c r="M614">
        <v>9.8000000000000004E-2</v>
      </c>
      <c r="N614">
        <v>179337</v>
      </c>
      <c r="O614">
        <v>17575.03</v>
      </c>
      <c r="P614">
        <v>161761.97</v>
      </c>
      <c r="Q614">
        <v>5</v>
      </c>
      <c r="R614">
        <v>197</v>
      </c>
      <c r="S614">
        <v>3.6</v>
      </c>
      <c r="T614">
        <v>10</v>
      </c>
      <c r="U614">
        <v>2</v>
      </c>
    </row>
    <row r="615" spans="1:21" x14ac:dyDescent="0.3">
      <c r="A615" t="s">
        <v>721</v>
      </c>
      <c r="B615" s="2">
        <v>45978</v>
      </c>
      <c r="C615" t="s">
        <v>39</v>
      </c>
      <c r="D615" t="s">
        <v>40</v>
      </c>
      <c r="E615" t="s">
        <v>62</v>
      </c>
      <c r="F615" t="s">
        <v>25</v>
      </c>
      <c r="G615" t="s">
        <v>34</v>
      </c>
      <c r="H615" t="s">
        <v>53</v>
      </c>
      <c r="I615" t="s">
        <v>57</v>
      </c>
      <c r="J615" t="s">
        <v>138</v>
      </c>
      <c r="K615">
        <v>3</v>
      </c>
      <c r="L615">
        <v>131544</v>
      </c>
      <c r="M615">
        <v>6.9000000000000006E-2</v>
      </c>
      <c r="N615">
        <v>394632</v>
      </c>
      <c r="O615">
        <v>27229.61</v>
      </c>
      <c r="P615">
        <v>367402.39</v>
      </c>
      <c r="Q615">
        <v>3</v>
      </c>
      <c r="R615">
        <v>147</v>
      </c>
      <c r="S615">
        <v>4.5</v>
      </c>
      <c r="T615">
        <v>9</v>
      </c>
      <c r="U615">
        <v>2</v>
      </c>
    </row>
    <row r="616" spans="1:21" x14ac:dyDescent="0.3">
      <c r="A616" t="s">
        <v>722</v>
      </c>
      <c r="B616" s="2">
        <v>45969</v>
      </c>
      <c r="C616" t="s">
        <v>39</v>
      </c>
      <c r="D616" t="s">
        <v>40</v>
      </c>
      <c r="E616" t="s">
        <v>24</v>
      </c>
      <c r="F616" t="s">
        <v>74</v>
      </c>
      <c r="G616" t="s">
        <v>26</v>
      </c>
      <c r="H616" t="s">
        <v>53</v>
      </c>
      <c r="I616" t="s">
        <v>94</v>
      </c>
      <c r="J616" t="s">
        <v>85</v>
      </c>
      <c r="K616">
        <v>5</v>
      </c>
      <c r="L616">
        <v>126661</v>
      </c>
      <c r="M616">
        <v>0.04</v>
      </c>
      <c r="N616">
        <v>633305</v>
      </c>
      <c r="O616">
        <v>25332.2</v>
      </c>
      <c r="P616">
        <v>607972.80000000005</v>
      </c>
      <c r="Q616">
        <v>3</v>
      </c>
      <c r="R616">
        <v>168</v>
      </c>
      <c r="S616">
        <v>3.8</v>
      </c>
      <c r="T616">
        <v>3</v>
      </c>
      <c r="U616">
        <v>3</v>
      </c>
    </row>
    <row r="617" spans="1:21" x14ac:dyDescent="0.3">
      <c r="A617" t="s">
        <v>723</v>
      </c>
      <c r="B617" s="2">
        <v>45692</v>
      </c>
      <c r="C617" t="s">
        <v>31</v>
      </c>
      <c r="D617" t="s">
        <v>97</v>
      </c>
      <c r="E617" t="s">
        <v>62</v>
      </c>
      <c r="F617" t="s">
        <v>101</v>
      </c>
      <c r="G617" t="s">
        <v>34</v>
      </c>
      <c r="H617" t="s">
        <v>35</v>
      </c>
      <c r="I617" t="s">
        <v>94</v>
      </c>
      <c r="J617" t="s">
        <v>104</v>
      </c>
      <c r="K617">
        <v>5</v>
      </c>
      <c r="L617">
        <v>124218</v>
      </c>
      <c r="M617">
        <v>6.0999999999999999E-2</v>
      </c>
      <c r="N617">
        <v>621090</v>
      </c>
      <c r="O617">
        <v>37886.49</v>
      </c>
      <c r="P617">
        <v>583203.51</v>
      </c>
      <c r="Q617">
        <v>4</v>
      </c>
      <c r="R617">
        <v>189</v>
      </c>
      <c r="S617">
        <v>4.0999999999999996</v>
      </c>
      <c r="T617">
        <v>10</v>
      </c>
      <c r="U617">
        <v>3</v>
      </c>
    </row>
    <row r="618" spans="1:21" x14ac:dyDescent="0.3">
      <c r="A618" t="s">
        <v>724</v>
      </c>
      <c r="B618" s="2">
        <v>45961</v>
      </c>
      <c r="C618" t="s">
        <v>44</v>
      </c>
      <c r="D618" t="s">
        <v>51</v>
      </c>
      <c r="E618" t="s">
        <v>62</v>
      </c>
      <c r="F618" t="s">
        <v>33</v>
      </c>
      <c r="G618" t="s">
        <v>56</v>
      </c>
      <c r="H618" t="s">
        <v>53</v>
      </c>
      <c r="I618" t="s">
        <v>48</v>
      </c>
      <c r="J618" t="s">
        <v>72</v>
      </c>
      <c r="K618">
        <v>1</v>
      </c>
      <c r="L618">
        <v>122255</v>
      </c>
      <c r="M618">
        <v>5.0999999999999997E-2</v>
      </c>
      <c r="N618">
        <v>122255</v>
      </c>
      <c r="O618">
        <v>6235</v>
      </c>
      <c r="P618">
        <v>116020</v>
      </c>
      <c r="Q618">
        <v>3</v>
      </c>
      <c r="R618">
        <v>171</v>
      </c>
      <c r="S618">
        <v>4.3</v>
      </c>
      <c r="T618">
        <v>7</v>
      </c>
      <c r="U618">
        <v>3</v>
      </c>
    </row>
    <row r="619" spans="1:21" x14ac:dyDescent="0.3">
      <c r="A619" t="s">
        <v>725</v>
      </c>
      <c r="B619" s="2">
        <v>45716</v>
      </c>
      <c r="C619" t="s">
        <v>76</v>
      </c>
      <c r="D619" t="s">
        <v>115</v>
      </c>
      <c r="E619" t="s">
        <v>46</v>
      </c>
      <c r="G619" t="s">
        <v>26</v>
      </c>
      <c r="H619" t="s">
        <v>27</v>
      </c>
      <c r="I619" t="s">
        <v>48</v>
      </c>
      <c r="J619" t="s">
        <v>72</v>
      </c>
      <c r="K619">
        <v>1</v>
      </c>
      <c r="L619">
        <v>132925</v>
      </c>
      <c r="M619">
        <v>7.2999999999999995E-2</v>
      </c>
      <c r="N619">
        <v>132925</v>
      </c>
      <c r="O619">
        <v>9703.52</v>
      </c>
      <c r="P619">
        <v>123221.48</v>
      </c>
      <c r="Q619">
        <v>3</v>
      </c>
      <c r="R619">
        <v>180</v>
      </c>
      <c r="S619">
        <v>4</v>
      </c>
      <c r="T619">
        <v>14</v>
      </c>
      <c r="U619">
        <v>3</v>
      </c>
    </row>
    <row r="620" spans="1:21" x14ac:dyDescent="0.3">
      <c r="A620" t="s">
        <v>726</v>
      </c>
      <c r="B620" s="2">
        <v>45771</v>
      </c>
      <c r="C620" t="s">
        <v>76</v>
      </c>
      <c r="D620" t="s">
        <v>115</v>
      </c>
      <c r="E620" t="s">
        <v>62</v>
      </c>
      <c r="F620" t="s">
        <v>41</v>
      </c>
      <c r="G620" t="s">
        <v>56</v>
      </c>
      <c r="H620" t="s">
        <v>27</v>
      </c>
      <c r="I620" t="s">
        <v>48</v>
      </c>
      <c r="J620" t="s">
        <v>157</v>
      </c>
      <c r="K620">
        <v>2</v>
      </c>
      <c r="L620">
        <v>135493</v>
      </c>
      <c r="M620">
        <v>6.5000000000000002E-2</v>
      </c>
      <c r="N620">
        <v>270986</v>
      </c>
      <c r="O620">
        <v>17614.09</v>
      </c>
      <c r="P620">
        <v>253371.91</v>
      </c>
      <c r="Q620">
        <v>4</v>
      </c>
      <c r="R620">
        <v>198</v>
      </c>
      <c r="S620">
        <v>3.6</v>
      </c>
      <c r="T620">
        <v>4</v>
      </c>
      <c r="U620">
        <v>5</v>
      </c>
    </row>
    <row r="621" spans="1:21" x14ac:dyDescent="0.3">
      <c r="A621" t="s">
        <v>727</v>
      </c>
      <c r="B621" s="2">
        <v>45811</v>
      </c>
      <c r="C621" t="s">
        <v>44</v>
      </c>
      <c r="D621" t="s">
        <v>51</v>
      </c>
      <c r="E621" t="s">
        <v>62</v>
      </c>
      <c r="F621" t="s">
        <v>33</v>
      </c>
      <c r="G621" t="s">
        <v>56</v>
      </c>
      <c r="H621" t="s">
        <v>27</v>
      </c>
      <c r="I621" t="s">
        <v>36</v>
      </c>
      <c r="J621" t="s">
        <v>81</v>
      </c>
      <c r="K621">
        <v>1</v>
      </c>
      <c r="L621">
        <v>115835</v>
      </c>
      <c r="M621">
        <v>3.3000000000000002E-2</v>
      </c>
      <c r="N621">
        <v>115835</v>
      </c>
      <c r="O621">
        <v>3822.56</v>
      </c>
      <c r="P621">
        <v>112012.44</v>
      </c>
      <c r="Q621">
        <v>3</v>
      </c>
      <c r="R621">
        <v>163</v>
      </c>
      <c r="S621">
        <v>3.4</v>
      </c>
      <c r="T621">
        <v>12</v>
      </c>
      <c r="U621">
        <v>3</v>
      </c>
    </row>
    <row r="622" spans="1:21" x14ac:dyDescent="0.3">
      <c r="A622" t="s">
        <v>728</v>
      </c>
      <c r="B622" s="2">
        <v>45890</v>
      </c>
      <c r="C622" t="s">
        <v>60</v>
      </c>
      <c r="D622" t="s">
        <v>61</v>
      </c>
      <c r="E622" t="s">
        <v>62</v>
      </c>
      <c r="F622" t="s">
        <v>74</v>
      </c>
      <c r="G622" t="s">
        <v>67</v>
      </c>
      <c r="H622" t="s">
        <v>53</v>
      </c>
      <c r="I622" t="s">
        <v>57</v>
      </c>
      <c r="J622" t="s">
        <v>29</v>
      </c>
      <c r="K622">
        <v>2</v>
      </c>
      <c r="L622">
        <v>113613</v>
      </c>
      <c r="M622">
        <v>3.1E-2</v>
      </c>
      <c r="N622">
        <v>227226</v>
      </c>
      <c r="O622">
        <v>7044.01</v>
      </c>
      <c r="P622">
        <v>220181.99</v>
      </c>
      <c r="Q622">
        <v>2</v>
      </c>
      <c r="R622">
        <v>153</v>
      </c>
      <c r="S622">
        <v>5</v>
      </c>
      <c r="T622">
        <v>11</v>
      </c>
      <c r="U622">
        <v>5</v>
      </c>
    </row>
    <row r="623" spans="1:21" x14ac:dyDescent="0.3">
      <c r="A623" t="s">
        <v>729</v>
      </c>
      <c r="B623" s="2">
        <v>45922</v>
      </c>
      <c r="C623" t="s">
        <v>60</v>
      </c>
      <c r="D623" t="s">
        <v>61</v>
      </c>
      <c r="E623" t="s">
        <v>24</v>
      </c>
      <c r="F623" t="s">
        <v>41</v>
      </c>
      <c r="G623" t="s">
        <v>34</v>
      </c>
      <c r="H623" t="s">
        <v>53</v>
      </c>
      <c r="I623" t="s">
        <v>94</v>
      </c>
      <c r="J623" t="s">
        <v>104</v>
      </c>
      <c r="K623">
        <v>1</v>
      </c>
      <c r="L623">
        <v>119739</v>
      </c>
      <c r="M623">
        <v>0.10100000000000001</v>
      </c>
      <c r="N623">
        <v>119739</v>
      </c>
      <c r="O623">
        <v>12093.64</v>
      </c>
      <c r="P623">
        <v>107645.36</v>
      </c>
      <c r="Q623">
        <v>4</v>
      </c>
      <c r="R623">
        <v>190</v>
      </c>
      <c r="S623">
        <v>4.2</v>
      </c>
      <c r="T623">
        <v>6</v>
      </c>
      <c r="U623">
        <v>3</v>
      </c>
    </row>
    <row r="624" spans="1:21" x14ac:dyDescent="0.3">
      <c r="A624" t="s">
        <v>730</v>
      </c>
      <c r="B624" s="2">
        <v>46012</v>
      </c>
      <c r="C624" t="s">
        <v>44</v>
      </c>
      <c r="D624" t="s">
        <v>51</v>
      </c>
      <c r="E624" t="s">
        <v>46</v>
      </c>
      <c r="F624" t="s">
        <v>74</v>
      </c>
      <c r="G624" t="s">
        <v>34</v>
      </c>
      <c r="H624" t="s">
        <v>27</v>
      </c>
      <c r="I624" t="s">
        <v>28</v>
      </c>
      <c r="J624" t="s">
        <v>123</v>
      </c>
      <c r="K624">
        <v>5</v>
      </c>
      <c r="L624">
        <v>124530</v>
      </c>
      <c r="M624">
        <v>4.1000000000000002E-2</v>
      </c>
      <c r="N624">
        <v>622650</v>
      </c>
      <c r="O624">
        <v>25528.65</v>
      </c>
      <c r="P624">
        <v>597121.35</v>
      </c>
      <c r="Q624">
        <v>2</v>
      </c>
      <c r="R624">
        <v>169</v>
      </c>
      <c r="S624">
        <v>3</v>
      </c>
      <c r="T624">
        <v>7</v>
      </c>
      <c r="U624">
        <v>5</v>
      </c>
    </row>
    <row r="625" spans="1:21" x14ac:dyDescent="0.3">
      <c r="A625" t="s">
        <v>731</v>
      </c>
      <c r="B625" s="2">
        <v>45772</v>
      </c>
      <c r="C625" t="s">
        <v>39</v>
      </c>
      <c r="D625" t="s">
        <v>154</v>
      </c>
      <c r="E625" t="s">
        <v>62</v>
      </c>
      <c r="F625" t="s">
        <v>70</v>
      </c>
      <c r="G625" t="s">
        <v>56</v>
      </c>
      <c r="H625" t="s">
        <v>27</v>
      </c>
      <c r="I625" t="s">
        <v>36</v>
      </c>
      <c r="J625" t="s">
        <v>58</v>
      </c>
      <c r="K625">
        <v>1</v>
      </c>
      <c r="L625">
        <v>181214</v>
      </c>
      <c r="M625">
        <v>4.7E-2</v>
      </c>
      <c r="N625">
        <v>181214</v>
      </c>
      <c r="O625">
        <v>8517.06</v>
      </c>
      <c r="P625">
        <v>172696.94</v>
      </c>
      <c r="Q625">
        <v>2</v>
      </c>
      <c r="R625">
        <v>127</v>
      </c>
      <c r="S625">
        <v>4.8</v>
      </c>
      <c r="T625">
        <v>8</v>
      </c>
      <c r="U625">
        <v>5</v>
      </c>
    </row>
    <row r="626" spans="1:21" x14ac:dyDescent="0.3">
      <c r="A626" t="s">
        <v>732</v>
      </c>
      <c r="B626" s="2">
        <v>45937</v>
      </c>
      <c r="C626" t="s">
        <v>44</v>
      </c>
      <c r="D626" t="s">
        <v>45</v>
      </c>
      <c r="E626" t="s">
        <v>24</v>
      </c>
      <c r="F626" t="s">
        <v>25</v>
      </c>
      <c r="G626" t="s">
        <v>67</v>
      </c>
      <c r="H626" t="s">
        <v>27</v>
      </c>
      <c r="I626" t="s">
        <v>48</v>
      </c>
      <c r="J626" t="s">
        <v>104</v>
      </c>
      <c r="K626">
        <v>1</v>
      </c>
      <c r="L626">
        <v>150265</v>
      </c>
      <c r="M626">
        <v>2.7E-2</v>
      </c>
      <c r="N626">
        <v>150265</v>
      </c>
      <c r="O626">
        <v>4057.15</v>
      </c>
      <c r="P626">
        <v>146207.85</v>
      </c>
      <c r="Q626">
        <v>4</v>
      </c>
      <c r="R626">
        <v>180</v>
      </c>
      <c r="S626">
        <v>4.5999999999999996</v>
      </c>
      <c r="T626">
        <v>7</v>
      </c>
      <c r="U626">
        <v>2</v>
      </c>
    </row>
    <row r="627" spans="1:21" x14ac:dyDescent="0.3">
      <c r="A627" t="s">
        <v>733</v>
      </c>
      <c r="B627" s="2">
        <v>45729</v>
      </c>
      <c r="C627" t="s">
        <v>22</v>
      </c>
      <c r="D627" t="s">
        <v>23</v>
      </c>
      <c r="E627" t="s">
        <v>24</v>
      </c>
      <c r="F627" t="s">
        <v>41</v>
      </c>
      <c r="G627" t="s">
        <v>67</v>
      </c>
      <c r="H627" t="s">
        <v>27</v>
      </c>
      <c r="I627" t="s">
        <v>57</v>
      </c>
      <c r="J627" t="s">
        <v>175</v>
      </c>
      <c r="K627">
        <v>1</v>
      </c>
      <c r="L627">
        <v>118433</v>
      </c>
      <c r="M627">
        <v>8.1000000000000003E-2</v>
      </c>
      <c r="N627">
        <v>118433</v>
      </c>
      <c r="O627">
        <v>9593.07</v>
      </c>
      <c r="P627">
        <v>108839.93</v>
      </c>
      <c r="Q627">
        <v>4</v>
      </c>
      <c r="R627">
        <v>189</v>
      </c>
      <c r="S627">
        <v>4.3</v>
      </c>
      <c r="T627">
        <v>3</v>
      </c>
      <c r="U627">
        <v>2</v>
      </c>
    </row>
    <row r="628" spans="1:21" x14ac:dyDescent="0.3">
      <c r="A628" t="s">
        <v>734</v>
      </c>
      <c r="B628" s="2">
        <v>45892</v>
      </c>
      <c r="C628" t="s">
        <v>31</v>
      </c>
      <c r="D628" t="s">
        <v>32</v>
      </c>
      <c r="E628" t="s">
        <v>46</v>
      </c>
      <c r="F628" t="s">
        <v>41</v>
      </c>
      <c r="G628" t="s">
        <v>26</v>
      </c>
      <c r="H628" t="s">
        <v>27</v>
      </c>
      <c r="I628" t="s">
        <v>57</v>
      </c>
      <c r="J628" t="s">
        <v>54</v>
      </c>
      <c r="K628">
        <v>4</v>
      </c>
      <c r="L628">
        <v>110645</v>
      </c>
      <c r="M628">
        <v>7.2999999999999995E-2</v>
      </c>
      <c r="N628">
        <v>442580</v>
      </c>
      <c r="O628">
        <v>32308.34</v>
      </c>
      <c r="P628">
        <v>410271.66</v>
      </c>
      <c r="Q628">
        <v>5</v>
      </c>
      <c r="R628">
        <v>195</v>
      </c>
      <c r="S628">
        <v>4.5999999999999996</v>
      </c>
      <c r="T628">
        <v>7</v>
      </c>
      <c r="U628">
        <v>2</v>
      </c>
    </row>
    <row r="629" spans="1:21" x14ac:dyDescent="0.3">
      <c r="A629" t="s">
        <v>735</v>
      </c>
      <c r="B629" s="2">
        <v>45728</v>
      </c>
      <c r="C629" t="s">
        <v>76</v>
      </c>
      <c r="D629" t="s">
        <v>115</v>
      </c>
      <c r="E629" t="s">
        <v>62</v>
      </c>
      <c r="F629" t="s">
        <v>52</v>
      </c>
      <c r="G629" t="s">
        <v>56</v>
      </c>
      <c r="H629" t="s">
        <v>35</v>
      </c>
      <c r="I629" t="s">
        <v>63</v>
      </c>
      <c r="J629" t="s">
        <v>212</v>
      </c>
      <c r="K629">
        <v>1</v>
      </c>
      <c r="L629">
        <v>125045</v>
      </c>
      <c r="M629">
        <v>6.4000000000000001E-2</v>
      </c>
      <c r="N629">
        <v>125045</v>
      </c>
      <c r="O629">
        <v>8002.88</v>
      </c>
      <c r="P629">
        <v>117042.12</v>
      </c>
      <c r="Q629">
        <v>3</v>
      </c>
      <c r="R629">
        <v>170</v>
      </c>
      <c r="S629">
        <v>4.8</v>
      </c>
      <c r="T629">
        <v>3</v>
      </c>
      <c r="U629">
        <v>3</v>
      </c>
    </row>
    <row r="630" spans="1:21" x14ac:dyDescent="0.3">
      <c r="A630" t="s">
        <v>736</v>
      </c>
      <c r="B630" s="2">
        <v>46000</v>
      </c>
      <c r="C630" t="s">
        <v>60</v>
      </c>
      <c r="D630" t="s">
        <v>69</v>
      </c>
      <c r="E630" t="s">
        <v>62</v>
      </c>
      <c r="F630" t="s">
        <v>80</v>
      </c>
      <c r="G630" t="s">
        <v>34</v>
      </c>
      <c r="H630" t="s">
        <v>35</v>
      </c>
      <c r="I630" t="s">
        <v>63</v>
      </c>
      <c r="J630" t="s">
        <v>203</v>
      </c>
      <c r="K630">
        <v>4</v>
      </c>
      <c r="L630">
        <v>102491</v>
      </c>
      <c r="M630">
        <v>6.9000000000000006E-2</v>
      </c>
      <c r="N630">
        <v>409964</v>
      </c>
      <c r="O630">
        <v>28287.52</v>
      </c>
      <c r="P630">
        <v>381676.48</v>
      </c>
      <c r="Q630">
        <v>5</v>
      </c>
      <c r="R630">
        <v>211</v>
      </c>
      <c r="S630">
        <v>3.3</v>
      </c>
      <c r="T630">
        <v>4</v>
      </c>
      <c r="U630">
        <v>3</v>
      </c>
    </row>
    <row r="631" spans="1:21" x14ac:dyDescent="0.3">
      <c r="A631" t="s">
        <v>737</v>
      </c>
      <c r="B631" s="2">
        <v>45769</v>
      </c>
      <c r="C631" t="s">
        <v>39</v>
      </c>
      <c r="D631" t="s">
        <v>40</v>
      </c>
      <c r="E631" t="s">
        <v>46</v>
      </c>
      <c r="F631" t="s">
        <v>101</v>
      </c>
      <c r="G631" t="s">
        <v>26</v>
      </c>
      <c r="H631" t="s">
        <v>35</v>
      </c>
      <c r="I631" t="s">
        <v>94</v>
      </c>
      <c r="J631" t="s">
        <v>81</v>
      </c>
      <c r="K631">
        <v>2</v>
      </c>
      <c r="L631">
        <v>127820</v>
      </c>
      <c r="M631">
        <v>6.5000000000000002E-2</v>
      </c>
      <c r="N631">
        <v>255640</v>
      </c>
      <c r="O631">
        <v>16616.599999999999</v>
      </c>
      <c r="P631">
        <v>239023.4</v>
      </c>
      <c r="Q631">
        <v>5</v>
      </c>
      <c r="R631">
        <v>199</v>
      </c>
      <c r="S631">
        <v>4.4000000000000004</v>
      </c>
      <c r="T631">
        <v>11</v>
      </c>
      <c r="U631">
        <v>5</v>
      </c>
    </row>
    <row r="632" spans="1:21" x14ac:dyDescent="0.3">
      <c r="A632" t="s">
        <v>738</v>
      </c>
      <c r="B632" s="2">
        <v>45694</v>
      </c>
      <c r="C632" t="s">
        <v>87</v>
      </c>
      <c r="D632" t="s">
        <v>130</v>
      </c>
      <c r="E632" t="s">
        <v>62</v>
      </c>
      <c r="F632" t="s">
        <v>70</v>
      </c>
      <c r="G632" t="s">
        <v>56</v>
      </c>
      <c r="H632" t="s">
        <v>53</v>
      </c>
      <c r="I632" t="s">
        <v>36</v>
      </c>
      <c r="J632" t="s">
        <v>118</v>
      </c>
      <c r="K632">
        <v>1</v>
      </c>
      <c r="L632">
        <v>111249</v>
      </c>
      <c r="M632">
        <v>5.8000000000000003E-2</v>
      </c>
      <c r="N632">
        <v>111249</v>
      </c>
      <c r="O632">
        <v>6452.44</v>
      </c>
      <c r="P632">
        <v>104796.56</v>
      </c>
      <c r="Q632">
        <v>3</v>
      </c>
      <c r="R632">
        <v>150</v>
      </c>
      <c r="S632">
        <v>4</v>
      </c>
      <c r="T632">
        <v>5</v>
      </c>
      <c r="U632">
        <v>5</v>
      </c>
    </row>
    <row r="633" spans="1:21" x14ac:dyDescent="0.3">
      <c r="A633" t="s">
        <v>739</v>
      </c>
      <c r="B633" s="2">
        <v>45683</v>
      </c>
      <c r="C633" t="s">
        <v>44</v>
      </c>
      <c r="D633" t="s">
        <v>51</v>
      </c>
      <c r="E633" t="s">
        <v>46</v>
      </c>
      <c r="F633" t="s">
        <v>52</v>
      </c>
      <c r="G633" t="s">
        <v>34</v>
      </c>
      <c r="H633" t="s">
        <v>27</v>
      </c>
      <c r="I633" t="s">
        <v>94</v>
      </c>
      <c r="J633" t="s">
        <v>72</v>
      </c>
      <c r="K633">
        <v>1</v>
      </c>
      <c r="L633">
        <v>114989</v>
      </c>
      <c r="M633">
        <v>5.0999999999999997E-2</v>
      </c>
      <c r="N633">
        <v>114989</v>
      </c>
      <c r="O633">
        <v>5864.44</v>
      </c>
      <c r="P633">
        <v>109124.56</v>
      </c>
      <c r="Q633">
        <v>2</v>
      </c>
      <c r="R633">
        <v>142</v>
      </c>
      <c r="S633">
        <v>3.9</v>
      </c>
      <c r="T633">
        <v>12</v>
      </c>
      <c r="U633">
        <v>2</v>
      </c>
    </row>
    <row r="634" spans="1:21" x14ac:dyDescent="0.3">
      <c r="A634" t="s">
        <v>740</v>
      </c>
      <c r="B634" s="2">
        <v>45912</v>
      </c>
      <c r="C634" t="s">
        <v>44</v>
      </c>
      <c r="D634" t="s">
        <v>51</v>
      </c>
      <c r="E634" t="s">
        <v>46</v>
      </c>
      <c r="F634" t="s">
        <v>52</v>
      </c>
      <c r="G634" t="s">
        <v>34</v>
      </c>
      <c r="H634" t="s">
        <v>27</v>
      </c>
      <c r="I634" t="s">
        <v>57</v>
      </c>
      <c r="J634" t="s">
        <v>89</v>
      </c>
      <c r="K634">
        <v>2</v>
      </c>
      <c r="L634">
        <v>119753</v>
      </c>
      <c r="M634">
        <v>4.7E-2</v>
      </c>
      <c r="N634">
        <v>239506</v>
      </c>
      <c r="O634">
        <v>11256.78</v>
      </c>
      <c r="P634">
        <v>228249.22</v>
      </c>
      <c r="Q634">
        <v>3</v>
      </c>
      <c r="R634">
        <v>152</v>
      </c>
      <c r="S634">
        <v>4.9000000000000004</v>
      </c>
      <c r="T634">
        <v>14</v>
      </c>
      <c r="U634">
        <v>3</v>
      </c>
    </row>
    <row r="635" spans="1:21" x14ac:dyDescent="0.3">
      <c r="A635" t="s">
        <v>741</v>
      </c>
      <c r="B635" s="2">
        <v>45864</v>
      </c>
      <c r="C635" t="s">
        <v>99</v>
      </c>
      <c r="D635" t="s">
        <v>121</v>
      </c>
      <c r="E635" t="s">
        <v>46</v>
      </c>
      <c r="F635" t="s">
        <v>66</v>
      </c>
      <c r="G635" t="s">
        <v>67</v>
      </c>
      <c r="H635" t="s">
        <v>35</v>
      </c>
      <c r="I635" t="s">
        <v>57</v>
      </c>
      <c r="J635" t="s">
        <v>109</v>
      </c>
      <c r="K635">
        <v>1</v>
      </c>
      <c r="L635">
        <v>108913</v>
      </c>
      <c r="M635">
        <v>6.4000000000000001E-2</v>
      </c>
      <c r="N635">
        <v>108913</v>
      </c>
      <c r="O635">
        <v>6970.43</v>
      </c>
      <c r="P635">
        <v>101942.57</v>
      </c>
      <c r="Q635">
        <v>5</v>
      </c>
      <c r="R635">
        <v>204</v>
      </c>
      <c r="S635">
        <v>3.7</v>
      </c>
      <c r="T635">
        <v>4</v>
      </c>
      <c r="U635">
        <v>2</v>
      </c>
    </row>
    <row r="636" spans="1:21" x14ac:dyDescent="0.3">
      <c r="A636" t="s">
        <v>742</v>
      </c>
      <c r="B636" s="2">
        <v>45844</v>
      </c>
      <c r="C636" t="s">
        <v>22</v>
      </c>
      <c r="D636" t="s">
        <v>23</v>
      </c>
      <c r="E636" t="s">
        <v>24</v>
      </c>
      <c r="F636" t="s">
        <v>25</v>
      </c>
      <c r="G636" t="s">
        <v>56</v>
      </c>
      <c r="H636" t="s">
        <v>35</v>
      </c>
      <c r="I636" t="s">
        <v>94</v>
      </c>
      <c r="J636" t="s">
        <v>109</v>
      </c>
      <c r="K636">
        <v>5</v>
      </c>
      <c r="L636">
        <v>114498</v>
      </c>
      <c r="M636">
        <v>5.0999999999999997E-2</v>
      </c>
      <c r="N636">
        <v>572490</v>
      </c>
      <c r="O636">
        <v>29196.99</v>
      </c>
      <c r="P636">
        <v>543293.01</v>
      </c>
      <c r="Q636">
        <v>4</v>
      </c>
      <c r="R636">
        <v>193</v>
      </c>
      <c r="S636">
        <v>4.5999999999999996</v>
      </c>
      <c r="T636">
        <v>7</v>
      </c>
      <c r="U636">
        <v>2</v>
      </c>
    </row>
    <row r="637" spans="1:21" x14ac:dyDescent="0.3">
      <c r="A637" t="s">
        <v>743</v>
      </c>
      <c r="B637" s="2">
        <v>45666</v>
      </c>
      <c r="C637" t="s">
        <v>60</v>
      </c>
      <c r="D637" t="s">
        <v>69</v>
      </c>
      <c r="E637" t="s">
        <v>24</v>
      </c>
      <c r="F637" t="s">
        <v>74</v>
      </c>
      <c r="G637" t="s">
        <v>34</v>
      </c>
      <c r="H637" t="s">
        <v>27</v>
      </c>
      <c r="I637" t="s">
        <v>36</v>
      </c>
      <c r="J637" t="s">
        <v>85</v>
      </c>
      <c r="K637">
        <v>1</v>
      </c>
      <c r="L637">
        <v>103352</v>
      </c>
      <c r="M637">
        <v>2.4E-2</v>
      </c>
      <c r="N637">
        <v>103352</v>
      </c>
      <c r="O637">
        <v>2480.4499999999998</v>
      </c>
      <c r="P637">
        <v>100871.55</v>
      </c>
      <c r="Q637">
        <v>3</v>
      </c>
      <c r="R637">
        <v>165</v>
      </c>
      <c r="S637">
        <v>4.0999999999999996</v>
      </c>
      <c r="T637">
        <v>6</v>
      </c>
      <c r="U637">
        <v>2</v>
      </c>
    </row>
    <row r="638" spans="1:21" x14ac:dyDescent="0.3">
      <c r="A638" t="s">
        <v>744</v>
      </c>
      <c r="B638" s="2">
        <v>45916</v>
      </c>
      <c r="C638" t="s">
        <v>60</v>
      </c>
      <c r="D638" t="s">
        <v>69</v>
      </c>
      <c r="E638" t="s">
        <v>46</v>
      </c>
      <c r="F638" t="s">
        <v>80</v>
      </c>
      <c r="G638" t="s">
        <v>34</v>
      </c>
      <c r="H638" t="s">
        <v>53</v>
      </c>
      <c r="I638" t="s">
        <v>57</v>
      </c>
      <c r="J638" t="s">
        <v>95</v>
      </c>
      <c r="K638">
        <v>1</v>
      </c>
      <c r="L638">
        <v>103247</v>
      </c>
      <c r="M638">
        <v>4.8000000000000001E-2</v>
      </c>
      <c r="N638">
        <v>103247</v>
      </c>
      <c r="O638">
        <v>4955.8599999999997</v>
      </c>
      <c r="P638">
        <v>98291.14</v>
      </c>
      <c r="Q638">
        <v>5</v>
      </c>
      <c r="R638">
        <v>205</v>
      </c>
      <c r="S638">
        <v>3.8</v>
      </c>
      <c r="T638">
        <v>14</v>
      </c>
      <c r="U638">
        <v>2</v>
      </c>
    </row>
    <row r="639" spans="1:21" x14ac:dyDescent="0.3">
      <c r="A639" t="s">
        <v>745</v>
      </c>
      <c r="B639" s="2">
        <v>45796</v>
      </c>
      <c r="C639" t="s">
        <v>39</v>
      </c>
      <c r="D639" t="s">
        <v>154</v>
      </c>
      <c r="E639" t="s">
        <v>62</v>
      </c>
      <c r="F639" t="s">
        <v>25</v>
      </c>
      <c r="G639" t="s">
        <v>67</v>
      </c>
      <c r="H639" t="s">
        <v>27</v>
      </c>
      <c r="I639" t="s">
        <v>48</v>
      </c>
      <c r="J639" t="s">
        <v>83</v>
      </c>
      <c r="K639">
        <v>2</v>
      </c>
      <c r="L639">
        <v>186538</v>
      </c>
      <c r="M639">
        <v>5.1999999999999998E-2</v>
      </c>
      <c r="N639">
        <v>373076</v>
      </c>
      <c r="O639">
        <v>19399.95</v>
      </c>
      <c r="P639">
        <v>353676.05</v>
      </c>
      <c r="Q639">
        <v>3</v>
      </c>
      <c r="R639">
        <v>178</v>
      </c>
      <c r="S639">
        <v>4</v>
      </c>
      <c r="T639">
        <v>4</v>
      </c>
      <c r="U639">
        <v>3</v>
      </c>
    </row>
    <row r="640" spans="1:21" x14ac:dyDescent="0.3">
      <c r="A640" t="s">
        <v>746</v>
      </c>
      <c r="B640" s="2">
        <v>45661</v>
      </c>
      <c r="C640" t="s">
        <v>31</v>
      </c>
      <c r="D640" t="s">
        <v>32</v>
      </c>
      <c r="E640" t="s">
        <v>24</v>
      </c>
      <c r="F640" t="s">
        <v>41</v>
      </c>
      <c r="G640" t="s">
        <v>67</v>
      </c>
      <c r="H640" t="s">
        <v>27</v>
      </c>
      <c r="I640" t="s">
        <v>36</v>
      </c>
      <c r="J640" t="s">
        <v>64</v>
      </c>
      <c r="K640">
        <v>1</v>
      </c>
      <c r="L640">
        <v>112977</v>
      </c>
      <c r="M640">
        <v>0.11700000000000001</v>
      </c>
      <c r="N640">
        <v>112977</v>
      </c>
      <c r="O640">
        <v>13218.31</v>
      </c>
      <c r="P640">
        <v>99758.69</v>
      </c>
      <c r="Q640">
        <v>2</v>
      </c>
      <c r="R640">
        <v>128</v>
      </c>
      <c r="S640">
        <v>3.3</v>
      </c>
      <c r="T640">
        <v>6</v>
      </c>
      <c r="U640">
        <v>2</v>
      </c>
    </row>
    <row r="641" spans="1:21" x14ac:dyDescent="0.3">
      <c r="A641" t="s">
        <v>747</v>
      </c>
      <c r="B641" s="2">
        <v>45854</v>
      </c>
      <c r="C641" t="s">
        <v>31</v>
      </c>
      <c r="D641" t="s">
        <v>32</v>
      </c>
      <c r="E641" t="s">
        <v>62</v>
      </c>
      <c r="F641" t="s">
        <v>74</v>
      </c>
      <c r="G641" t="s">
        <v>67</v>
      </c>
      <c r="H641" t="s">
        <v>35</v>
      </c>
      <c r="I641" t="s">
        <v>28</v>
      </c>
      <c r="J641" t="s">
        <v>83</v>
      </c>
      <c r="K641">
        <v>1</v>
      </c>
      <c r="L641">
        <v>116633</v>
      </c>
      <c r="M641">
        <v>7.9000000000000001E-2</v>
      </c>
      <c r="N641">
        <v>116633</v>
      </c>
      <c r="O641">
        <v>9214.01</v>
      </c>
      <c r="P641">
        <v>107418.99</v>
      </c>
      <c r="Q641">
        <v>3</v>
      </c>
      <c r="R641">
        <v>170</v>
      </c>
      <c r="S641">
        <v>4.3</v>
      </c>
      <c r="T641">
        <v>8</v>
      </c>
      <c r="U641">
        <v>2</v>
      </c>
    </row>
    <row r="642" spans="1:21" x14ac:dyDescent="0.3">
      <c r="A642" t="s">
        <v>748</v>
      </c>
      <c r="B642" s="2">
        <v>45672</v>
      </c>
      <c r="C642" t="s">
        <v>44</v>
      </c>
      <c r="D642" t="s">
        <v>51</v>
      </c>
      <c r="E642" t="s">
        <v>62</v>
      </c>
      <c r="F642" t="s">
        <v>66</v>
      </c>
      <c r="G642" t="s">
        <v>67</v>
      </c>
      <c r="H642" t="s">
        <v>27</v>
      </c>
      <c r="I642" t="s">
        <v>36</v>
      </c>
      <c r="J642" t="s">
        <v>131</v>
      </c>
      <c r="K642">
        <v>1</v>
      </c>
      <c r="L642">
        <v>117641</v>
      </c>
      <c r="M642">
        <v>4.5999999999999999E-2</v>
      </c>
      <c r="N642">
        <v>117641</v>
      </c>
      <c r="O642">
        <v>5411.49</v>
      </c>
      <c r="P642">
        <v>112229.51</v>
      </c>
      <c r="Q642">
        <v>4</v>
      </c>
      <c r="R642">
        <v>187</v>
      </c>
      <c r="S642">
        <v>4.0999999999999996</v>
      </c>
      <c r="T642">
        <v>10</v>
      </c>
      <c r="U642">
        <v>5</v>
      </c>
    </row>
    <row r="643" spans="1:21" x14ac:dyDescent="0.3">
      <c r="A643" t="s">
        <v>749</v>
      </c>
      <c r="B643" s="2">
        <v>45912</v>
      </c>
      <c r="C643" t="s">
        <v>60</v>
      </c>
      <c r="D643" t="s">
        <v>69</v>
      </c>
      <c r="E643" t="s">
        <v>62</v>
      </c>
      <c r="F643" t="s">
        <v>25</v>
      </c>
      <c r="G643" t="s">
        <v>26</v>
      </c>
      <c r="H643" t="s">
        <v>53</v>
      </c>
      <c r="I643" t="s">
        <v>57</v>
      </c>
      <c r="J643" t="s">
        <v>81</v>
      </c>
      <c r="K643">
        <v>1</v>
      </c>
      <c r="L643">
        <v>104479</v>
      </c>
      <c r="M643">
        <v>5.8999999999999997E-2</v>
      </c>
      <c r="N643">
        <v>104479</v>
      </c>
      <c r="O643">
        <v>6164.26</v>
      </c>
      <c r="P643">
        <v>98314.74</v>
      </c>
      <c r="Q643">
        <v>3</v>
      </c>
      <c r="R643">
        <v>171</v>
      </c>
      <c r="S643">
        <v>3.9</v>
      </c>
      <c r="T643">
        <v>6</v>
      </c>
      <c r="U643">
        <v>3</v>
      </c>
    </row>
    <row r="644" spans="1:21" x14ac:dyDescent="0.3">
      <c r="A644" t="s">
        <v>750</v>
      </c>
      <c r="B644" s="2">
        <v>45739</v>
      </c>
      <c r="C644" t="s">
        <v>44</v>
      </c>
      <c r="D644" t="s">
        <v>51</v>
      </c>
      <c r="E644" t="s">
        <v>46</v>
      </c>
      <c r="F644" t="s">
        <v>33</v>
      </c>
      <c r="G644" t="s">
        <v>56</v>
      </c>
      <c r="H644" t="s">
        <v>35</v>
      </c>
      <c r="I644" t="s">
        <v>28</v>
      </c>
      <c r="J644" t="s">
        <v>203</v>
      </c>
      <c r="K644">
        <v>3</v>
      </c>
      <c r="L644">
        <v>127668</v>
      </c>
      <c r="M644">
        <v>4.2000000000000003E-2</v>
      </c>
      <c r="N644">
        <v>383004</v>
      </c>
      <c r="O644">
        <v>16086.17</v>
      </c>
      <c r="P644">
        <v>366917.83</v>
      </c>
      <c r="Q644">
        <v>3</v>
      </c>
      <c r="R644">
        <v>176</v>
      </c>
      <c r="S644">
        <v>4.0999999999999996</v>
      </c>
      <c r="T644">
        <v>10</v>
      </c>
      <c r="U644">
        <v>2</v>
      </c>
    </row>
    <row r="645" spans="1:21" x14ac:dyDescent="0.3">
      <c r="A645" t="s">
        <v>751</v>
      </c>
      <c r="B645" s="2">
        <v>45702</v>
      </c>
      <c r="C645" t="s">
        <v>31</v>
      </c>
      <c r="D645" t="s">
        <v>97</v>
      </c>
      <c r="E645" t="s">
        <v>62</v>
      </c>
      <c r="F645" t="s">
        <v>101</v>
      </c>
      <c r="G645" t="s">
        <v>56</v>
      </c>
      <c r="H645" t="s">
        <v>27</v>
      </c>
      <c r="I645" t="s">
        <v>48</v>
      </c>
      <c r="J645" t="s">
        <v>197</v>
      </c>
      <c r="K645">
        <v>2</v>
      </c>
      <c r="L645">
        <v>132079</v>
      </c>
      <c r="M645">
        <v>7.2999999999999995E-2</v>
      </c>
      <c r="N645">
        <v>264158</v>
      </c>
      <c r="O645">
        <v>19283.53</v>
      </c>
      <c r="P645">
        <v>244874.47</v>
      </c>
      <c r="Q645">
        <v>3</v>
      </c>
      <c r="R645">
        <v>189</v>
      </c>
      <c r="S645">
        <v>4.2</v>
      </c>
      <c r="T645">
        <v>11</v>
      </c>
      <c r="U645">
        <v>2</v>
      </c>
    </row>
    <row r="646" spans="1:21" x14ac:dyDescent="0.3">
      <c r="A646" t="s">
        <v>752</v>
      </c>
      <c r="B646" s="2">
        <v>45977</v>
      </c>
      <c r="C646" t="s">
        <v>44</v>
      </c>
      <c r="D646" t="s">
        <v>45</v>
      </c>
      <c r="E646" t="s">
        <v>24</v>
      </c>
      <c r="F646" t="s">
        <v>101</v>
      </c>
      <c r="G646" t="s">
        <v>56</v>
      </c>
      <c r="H646" t="s">
        <v>27</v>
      </c>
      <c r="I646" t="s">
        <v>28</v>
      </c>
      <c r="J646" t="s">
        <v>197</v>
      </c>
      <c r="K646">
        <v>2</v>
      </c>
      <c r="L646">
        <v>142669</v>
      </c>
      <c r="M646">
        <v>6.9000000000000006E-2</v>
      </c>
      <c r="N646">
        <v>285338</v>
      </c>
      <c r="O646">
        <v>19688.32</v>
      </c>
      <c r="P646">
        <v>265649.68</v>
      </c>
      <c r="Q646">
        <v>3</v>
      </c>
      <c r="R646">
        <v>146</v>
      </c>
      <c r="S646">
        <v>3.6</v>
      </c>
      <c r="T646">
        <v>6</v>
      </c>
      <c r="U646">
        <v>2</v>
      </c>
    </row>
    <row r="647" spans="1:21" x14ac:dyDescent="0.3">
      <c r="A647" t="s">
        <v>753</v>
      </c>
      <c r="B647" s="2">
        <v>45684</v>
      </c>
      <c r="C647" t="s">
        <v>754</v>
      </c>
      <c r="D647" t="s">
        <v>88</v>
      </c>
      <c r="E647" t="s">
        <v>46</v>
      </c>
      <c r="F647" t="s">
        <v>70</v>
      </c>
      <c r="G647" t="s">
        <v>34</v>
      </c>
      <c r="H647" t="s">
        <v>27</v>
      </c>
      <c r="I647" t="s">
        <v>63</v>
      </c>
      <c r="J647" t="s">
        <v>109</v>
      </c>
      <c r="K647">
        <v>2</v>
      </c>
      <c r="L647">
        <v>154524</v>
      </c>
      <c r="M647">
        <v>0.03</v>
      </c>
      <c r="N647">
        <v>309048</v>
      </c>
      <c r="O647">
        <v>9271.44</v>
      </c>
      <c r="P647">
        <v>299776.56</v>
      </c>
      <c r="Q647">
        <v>5</v>
      </c>
      <c r="R647">
        <v>202</v>
      </c>
      <c r="S647">
        <v>4.0999999999999996</v>
      </c>
      <c r="T647">
        <v>3</v>
      </c>
      <c r="U647">
        <v>3</v>
      </c>
    </row>
    <row r="648" spans="1:21" x14ac:dyDescent="0.3">
      <c r="A648" t="s">
        <v>755</v>
      </c>
      <c r="B648" s="2">
        <v>45935</v>
      </c>
      <c r="C648" t="s">
        <v>22</v>
      </c>
      <c r="D648" t="s">
        <v>23</v>
      </c>
      <c r="E648" t="s">
        <v>62</v>
      </c>
      <c r="F648" t="s">
        <v>101</v>
      </c>
      <c r="G648" t="s">
        <v>56</v>
      </c>
      <c r="H648" t="s">
        <v>53</v>
      </c>
      <c r="I648" t="s">
        <v>94</v>
      </c>
      <c r="J648" t="s">
        <v>203</v>
      </c>
      <c r="K648">
        <v>4</v>
      </c>
      <c r="L648">
        <v>121914</v>
      </c>
      <c r="M648">
        <v>0.11799999999999999</v>
      </c>
      <c r="N648">
        <v>487656</v>
      </c>
      <c r="O648">
        <v>57543.41</v>
      </c>
      <c r="P648">
        <v>430112.59</v>
      </c>
      <c r="Q648">
        <v>4</v>
      </c>
      <c r="R648">
        <v>189</v>
      </c>
      <c r="S648">
        <v>4.0999999999999996</v>
      </c>
      <c r="T648">
        <v>12</v>
      </c>
      <c r="U648">
        <v>5</v>
      </c>
    </row>
    <row r="649" spans="1:21" x14ac:dyDescent="0.3">
      <c r="A649" t="s">
        <v>756</v>
      </c>
      <c r="B649" s="2">
        <v>45755</v>
      </c>
      <c r="C649" t="s">
        <v>60</v>
      </c>
      <c r="D649" t="s">
        <v>69</v>
      </c>
      <c r="E649" t="s">
        <v>24</v>
      </c>
      <c r="G649" t="s">
        <v>67</v>
      </c>
      <c r="H649" t="s">
        <v>53</v>
      </c>
      <c r="I649" t="s">
        <v>36</v>
      </c>
      <c r="J649" t="s">
        <v>81</v>
      </c>
      <c r="K649">
        <v>1</v>
      </c>
      <c r="L649">
        <v>112329</v>
      </c>
      <c r="M649">
        <v>7.9000000000000001E-2</v>
      </c>
      <c r="N649">
        <v>112329</v>
      </c>
      <c r="O649">
        <v>8873.99</v>
      </c>
      <c r="P649">
        <v>103455.01</v>
      </c>
      <c r="Q649">
        <v>3</v>
      </c>
      <c r="R649">
        <v>178</v>
      </c>
      <c r="S649">
        <v>4.4000000000000004</v>
      </c>
      <c r="T649">
        <v>11</v>
      </c>
      <c r="U649">
        <v>3</v>
      </c>
    </row>
    <row r="650" spans="1:21" x14ac:dyDescent="0.3">
      <c r="A650" t="s">
        <v>757</v>
      </c>
      <c r="B650" s="2">
        <v>45801</v>
      </c>
      <c r="C650" t="s">
        <v>22</v>
      </c>
      <c r="D650" t="s">
        <v>23</v>
      </c>
      <c r="E650" t="s">
        <v>62</v>
      </c>
      <c r="F650" t="s">
        <v>101</v>
      </c>
      <c r="G650" t="s">
        <v>26</v>
      </c>
      <c r="H650" t="s">
        <v>35</v>
      </c>
      <c r="I650" t="s">
        <v>36</v>
      </c>
      <c r="J650" t="s">
        <v>78</v>
      </c>
      <c r="K650">
        <v>5</v>
      </c>
      <c r="L650">
        <v>120950</v>
      </c>
      <c r="M650">
        <v>0.11700000000000001</v>
      </c>
      <c r="N650">
        <v>604750</v>
      </c>
      <c r="O650">
        <v>70755.75</v>
      </c>
      <c r="P650">
        <v>533994.25</v>
      </c>
      <c r="Q650">
        <v>2</v>
      </c>
      <c r="R650">
        <v>151</v>
      </c>
      <c r="S650">
        <v>3.6</v>
      </c>
      <c r="T650">
        <v>3</v>
      </c>
      <c r="U650">
        <v>3</v>
      </c>
    </row>
    <row r="651" spans="1:21" x14ac:dyDescent="0.3">
      <c r="A651" t="s">
        <v>758</v>
      </c>
      <c r="B651" s="2">
        <v>45792</v>
      </c>
      <c r="C651" t="s">
        <v>99</v>
      </c>
      <c r="D651" t="s">
        <v>121</v>
      </c>
      <c r="E651" t="s">
        <v>62</v>
      </c>
      <c r="F651" t="s">
        <v>74</v>
      </c>
      <c r="G651" t="s">
        <v>26</v>
      </c>
      <c r="H651" t="s">
        <v>27</v>
      </c>
      <c r="I651" t="s">
        <v>36</v>
      </c>
      <c r="J651" t="s">
        <v>123</v>
      </c>
      <c r="K651">
        <v>1</v>
      </c>
      <c r="L651">
        <v>106045</v>
      </c>
      <c r="M651">
        <v>7.9000000000000001E-2</v>
      </c>
      <c r="N651">
        <v>106045</v>
      </c>
      <c r="O651">
        <v>8377.56</v>
      </c>
      <c r="P651">
        <v>97667.44</v>
      </c>
      <c r="Q651">
        <v>3</v>
      </c>
      <c r="R651">
        <v>173</v>
      </c>
      <c r="S651">
        <v>4</v>
      </c>
      <c r="T651">
        <v>14</v>
      </c>
      <c r="U651">
        <v>2</v>
      </c>
    </row>
    <row r="652" spans="1:21" x14ac:dyDescent="0.3">
      <c r="A652" t="s">
        <v>759</v>
      </c>
      <c r="B652" s="2">
        <v>45758</v>
      </c>
      <c r="C652" t="s">
        <v>44</v>
      </c>
      <c r="D652" t="s">
        <v>51</v>
      </c>
      <c r="E652" t="s">
        <v>24</v>
      </c>
      <c r="F652" t="s">
        <v>80</v>
      </c>
      <c r="G652" t="s">
        <v>67</v>
      </c>
      <c r="H652" t="s">
        <v>53</v>
      </c>
      <c r="I652" t="s">
        <v>28</v>
      </c>
      <c r="J652" t="s">
        <v>175</v>
      </c>
      <c r="K652">
        <v>2</v>
      </c>
      <c r="L652">
        <v>121599</v>
      </c>
      <c r="M652">
        <v>2.1999999999999999E-2</v>
      </c>
      <c r="N652">
        <v>243198</v>
      </c>
      <c r="O652">
        <v>5350.36</v>
      </c>
      <c r="P652">
        <v>237847.64</v>
      </c>
      <c r="Q652">
        <v>4</v>
      </c>
      <c r="R652">
        <v>168</v>
      </c>
      <c r="S652">
        <v>3</v>
      </c>
      <c r="T652">
        <v>10</v>
      </c>
      <c r="U652">
        <v>3</v>
      </c>
    </row>
    <row r="653" spans="1:21" x14ac:dyDescent="0.3">
      <c r="A653" t="s">
        <v>760</v>
      </c>
      <c r="B653" s="2">
        <v>45748</v>
      </c>
      <c r="C653" t="s">
        <v>60</v>
      </c>
      <c r="D653" t="s">
        <v>69</v>
      </c>
      <c r="E653" t="s">
        <v>24</v>
      </c>
      <c r="F653" t="s">
        <v>33</v>
      </c>
      <c r="G653" t="s">
        <v>34</v>
      </c>
      <c r="H653" t="s">
        <v>35</v>
      </c>
      <c r="I653" t="s">
        <v>57</v>
      </c>
      <c r="J653" t="s">
        <v>175</v>
      </c>
      <c r="K653">
        <v>4</v>
      </c>
      <c r="L653">
        <v>108608</v>
      </c>
      <c r="M653">
        <v>4.1000000000000002E-2</v>
      </c>
      <c r="N653">
        <v>434432</v>
      </c>
      <c r="O653">
        <v>17811.71</v>
      </c>
      <c r="P653">
        <v>416620.29</v>
      </c>
      <c r="Q653">
        <v>4</v>
      </c>
      <c r="R653">
        <v>203</v>
      </c>
      <c r="S653">
        <v>4.0999999999999996</v>
      </c>
      <c r="T653">
        <v>6</v>
      </c>
      <c r="U653">
        <v>5</v>
      </c>
    </row>
    <row r="654" spans="1:21" x14ac:dyDescent="0.3">
      <c r="A654" t="s">
        <v>761</v>
      </c>
      <c r="B654" s="2">
        <v>45822</v>
      </c>
      <c r="C654" t="s">
        <v>60</v>
      </c>
      <c r="D654" t="s">
        <v>61</v>
      </c>
      <c r="E654" t="s">
        <v>46</v>
      </c>
      <c r="F654" t="s">
        <v>74</v>
      </c>
      <c r="G654" t="s">
        <v>34</v>
      </c>
      <c r="H654" t="s">
        <v>27</v>
      </c>
      <c r="I654" t="s">
        <v>36</v>
      </c>
      <c r="J654" t="s">
        <v>138</v>
      </c>
      <c r="K654">
        <v>4</v>
      </c>
      <c r="L654">
        <v>121360</v>
      </c>
      <c r="M654">
        <v>8.7999999999999995E-2</v>
      </c>
      <c r="N654">
        <v>485440</v>
      </c>
      <c r="O654">
        <v>42718.720000000001</v>
      </c>
      <c r="P654">
        <v>442721.28000000003</v>
      </c>
      <c r="Q654">
        <v>4</v>
      </c>
      <c r="R654">
        <v>183</v>
      </c>
      <c r="S654">
        <v>4.0999999999999996</v>
      </c>
      <c r="T654">
        <v>13</v>
      </c>
      <c r="U654">
        <v>5</v>
      </c>
    </row>
    <row r="655" spans="1:21" x14ac:dyDescent="0.3">
      <c r="A655" t="s">
        <v>762</v>
      </c>
      <c r="B655" s="2">
        <v>45857</v>
      </c>
      <c r="C655" t="s">
        <v>60</v>
      </c>
      <c r="D655" t="s">
        <v>69</v>
      </c>
      <c r="E655" t="s">
        <v>46</v>
      </c>
      <c r="F655" t="s">
        <v>33</v>
      </c>
      <c r="G655" t="s">
        <v>56</v>
      </c>
      <c r="H655" t="s">
        <v>27</v>
      </c>
      <c r="I655" t="s">
        <v>28</v>
      </c>
      <c r="J655" t="s">
        <v>143</v>
      </c>
      <c r="K655">
        <v>3</v>
      </c>
      <c r="L655">
        <v>106200</v>
      </c>
      <c r="M655">
        <v>0.11799999999999999</v>
      </c>
      <c r="N655">
        <v>318600</v>
      </c>
      <c r="O655">
        <v>37594.800000000003</v>
      </c>
      <c r="P655">
        <v>281005.2</v>
      </c>
      <c r="Q655">
        <v>3</v>
      </c>
      <c r="R655">
        <v>130</v>
      </c>
      <c r="S655">
        <v>3.6</v>
      </c>
      <c r="T655">
        <v>12</v>
      </c>
      <c r="U655">
        <v>2</v>
      </c>
    </row>
    <row r="656" spans="1:21" x14ac:dyDescent="0.3">
      <c r="A656" t="s">
        <v>763</v>
      </c>
      <c r="B656" s="2">
        <v>45772</v>
      </c>
      <c r="C656" t="s">
        <v>99</v>
      </c>
      <c r="D656" t="s">
        <v>141</v>
      </c>
      <c r="E656" t="s">
        <v>24</v>
      </c>
      <c r="F656" t="s">
        <v>74</v>
      </c>
      <c r="G656" t="s">
        <v>26</v>
      </c>
      <c r="H656" t="s">
        <v>35</v>
      </c>
      <c r="I656" t="s">
        <v>28</v>
      </c>
      <c r="J656" t="s">
        <v>83</v>
      </c>
      <c r="K656">
        <v>1</v>
      </c>
      <c r="L656">
        <v>143702</v>
      </c>
      <c r="M656">
        <v>9.6000000000000002E-2</v>
      </c>
      <c r="N656">
        <v>143702</v>
      </c>
      <c r="O656">
        <v>13795.39</v>
      </c>
      <c r="P656">
        <v>129906.61</v>
      </c>
      <c r="Q656">
        <v>3</v>
      </c>
      <c r="R656">
        <v>166</v>
      </c>
      <c r="S656">
        <v>4.3</v>
      </c>
      <c r="T656">
        <v>13</v>
      </c>
      <c r="U656">
        <v>2</v>
      </c>
    </row>
    <row r="657" spans="1:21" x14ac:dyDescent="0.3">
      <c r="A657" t="s">
        <v>764</v>
      </c>
      <c r="B657" s="2">
        <v>45759</v>
      </c>
      <c r="C657" t="s">
        <v>39</v>
      </c>
      <c r="D657" t="s">
        <v>154</v>
      </c>
      <c r="E657" t="s">
        <v>62</v>
      </c>
      <c r="F657" t="s">
        <v>80</v>
      </c>
      <c r="G657" t="s">
        <v>67</v>
      </c>
      <c r="H657" t="s">
        <v>53</v>
      </c>
      <c r="I657" t="s">
        <v>94</v>
      </c>
      <c r="J657" t="s">
        <v>102</v>
      </c>
      <c r="K657">
        <v>1</v>
      </c>
      <c r="L657">
        <v>174489</v>
      </c>
      <c r="M657">
        <v>6.9000000000000006E-2</v>
      </c>
      <c r="N657">
        <v>174489</v>
      </c>
      <c r="O657">
        <v>12039.74</v>
      </c>
      <c r="P657">
        <v>162449.26</v>
      </c>
      <c r="Q657">
        <v>2</v>
      </c>
      <c r="R657">
        <v>149</v>
      </c>
      <c r="S657">
        <v>5</v>
      </c>
      <c r="T657">
        <v>10</v>
      </c>
      <c r="U657">
        <v>3</v>
      </c>
    </row>
    <row r="658" spans="1:21" x14ac:dyDescent="0.3">
      <c r="A658" t="s">
        <v>765</v>
      </c>
      <c r="B658" s="2">
        <v>45704</v>
      </c>
      <c r="C658" t="s">
        <v>60</v>
      </c>
      <c r="D658" t="s">
        <v>61</v>
      </c>
      <c r="E658" t="s">
        <v>24</v>
      </c>
      <c r="F658" t="s">
        <v>25</v>
      </c>
      <c r="G658" t="s">
        <v>67</v>
      </c>
      <c r="H658" t="s">
        <v>53</v>
      </c>
      <c r="I658" t="s">
        <v>63</v>
      </c>
      <c r="J658" t="s">
        <v>143</v>
      </c>
      <c r="K658">
        <v>1</v>
      </c>
      <c r="L658">
        <v>112338</v>
      </c>
      <c r="M658">
        <v>7.5999999999999998E-2</v>
      </c>
      <c r="N658">
        <v>112338</v>
      </c>
      <c r="O658">
        <v>8537.69</v>
      </c>
      <c r="P658">
        <v>103800.31</v>
      </c>
      <c r="Q658">
        <v>3</v>
      </c>
      <c r="R658">
        <v>155</v>
      </c>
      <c r="S658">
        <v>4.5999999999999996</v>
      </c>
      <c r="T658">
        <v>11</v>
      </c>
      <c r="U658">
        <v>3</v>
      </c>
    </row>
    <row r="659" spans="1:21" x14ac:dyDescent="0.3">
      <c r="A659" t="s">
        <v>766</v>
      </c>
      <c r="B659" s="2">
        <v>45774</v>
      </c>
      <c r="C659" t="s">
        <v>31</v>
      </c>
      <c r="D659" t="s">
        <v>97</v>
      </c>
      <c r="E659" t="s">
        <v>62</v>
      </c>
      <c r="F659" t="s">
        <v>47</v>
      </c>
      <c r="G659" t="s">
        <v>67</v>
      </c>
      <c r="H659" t="s">
        <v>27</v>
      </c>
      <c r="I659" t="s">
        <v>94</v>
      </c>
      <c r="J659" t="s">
        <v>104</v>
      </c>
      <c r="K659">
        <v>1</v>
      </c>
      <c r="L659">
        <v>125565</v>
      </c>
      <c r="M659">
        <v>3.1E-2</v>
      </c>
      <c r="N659">
        <v>125565</v>
      </c>
      <c r="O659">
        <v>3892.51</v>
      </c>
      <c r="P659">
        <v>121672.49</v>
      </c>
      <c r="Q659">
        <v>3</v>
      </c>
      <c r="R659">
        <v>164</v>
      </c>
      <c r="S659">
        <v>4.3</v>
      </c>
      <c r="T659">
        <v>11</v>
      </c>
      <c r="U659">
        <v>3</v>
      </c>
    </row>
    <row r="660" spans="1:21" x14ac:dyDescent="0.3">
      <c r="A660" t="s">
        <v>767</v>
      </c>
      <c r="B660" s="2">
        <v>45889</v>
      </c>
      <c r="C660" t="s">
        <v>39</v>
      </c>
      <c r="D660" t="s">
        <v>154</v>
      </c>
      <c r="E660" t="s">
        <v>46</v>
      </c>
      <c r="F660" t="s">
        <v>66</v>
      </c>
      <c r="G660" t="s">
        <v>34</v>
      </c>
      <c r="H660" t="s">
        <v>235</v>
      </c>
      <c r="I660" t="s">
        <v>63</v>
      </c>
      <c r="J660" t="s">
        <v>118</v>
      </c>
      <c r="K660">
        <v>1</v>
      </c>
      <c r="L660">
        <v>172902</v>
      </c>
      <c r="M660">
        <v>7.4999999999999997E-2</v>
      </c>
      <c r="N660">
        <v>172902</v>
      </c>
      <c r="O660">
        <v>12967.65</v>
      </c>
      <c r="P660">
        <v>159934.35</v>
      </c>
      <c r="Q660">
        <v>4</v>
      </c>
      <c r="R660">
        <v>170</v>
      </c>
      <c r="S660">
        <v>3.8</v>
      </c>
      <c r="T660">
        <v>10</v>
      </c>
      <c r="U660">
        <v>3</v>
      </c>
    </row>
    <row r="661" spans="1:21" x14ac:dyDescent="0.3">
      <c r="A661" t="s">
        <v>768</v>
      </c>
      <c r="B661" s="2">
        <v>45946</v>
      </c>
      <c r="C661" t="s">
        <v>87</v>
      </c>
      <c r="D661" t="s">
        <v>88</v>
      </c>
      <c r="E661" t="s">
        <v>24</v>
      </c>
      <c r="F661" t="s">
        <v>52</v>
      </c>
      <c r="G661" t="s">
        <v>34</v>
      </c>
      <c r="H661" t="s">
        <v>35</v>
      </c>
      <c r="I661" t="s">
        <v>28</v>
      </c>
      <c r="J661" t="s">
        <v>216</v>
      </c>
      <c r="K661">
        <v>1</v>
      </c>
      <c r="L661">
        <v>142815</v>
      </c>
      <c r="M661">
        <v>9.6000000000000002E-2</v>
      </c>
      <c r="N661">
        <v>142815</v>
      </c>
      <c r="O661">
        <v>13710.24</v>
      </c>
      <c r="P661">
        <v>129104.76</v>
      </c>
      <c r="Q661">
        <v>3</v>
      </c>
      <c r="R661">
        <v>145</v>
      </c>
      <c r="S661">
        <v>4</v>
      </c>
      <c r="T661">
        <v>9</v>
      </c>
      <c r="U661">
        <v>3</v>
      </c>
    </row>
    <row r="662" spans="1:21" x14ac:dyDescent="0.3">
      <c r="A662" t="s">
        <v>769</v>
      </c>
      <c r="B662" s="2">
        <v>45945</v>
      </c>
      <c r="C662" t="s">
        <v>99</v>
      </c>
      <c r="D662" t="s">
        <v>121</v>
      </c>
      <c r="E662" t="s">
        <v>46</v>
      </c>
      <c r="F662" t="s">
        <v>66</v>
      </c>
      <c r="G662" t="s">
        <v>34</v>
      </c>
      <c r="H662" t="s">
        <v>35</v>
      </c>
      <c r="I662" t="s">
        <v>94</v>
      </c>
      <c r="J662" t="s">
        <v>95</v>
      </c>
      <c r="K662">
        <v>1</v>
      </c>
      <c r="L662">
        <v>104454</v>
      </c>
      <c r="M662">
        <v>4.5999999999999999E-2</v>
      </c>
      <c r="N662">
        <v>104454</v>
      </c>
      <c r="O662">
        <v>4804.88</v>
      </c>
      <c r="P662">
        <v>99649.12</v>
      </c>
      <c r="Q662">
        <v>3</v>
      </c>
      <c r="R662">
        <v>183</v>
      </c>
      <c r="S662">
        <v>3.8</v>
      </c>
      <c r="T662">
        <v>3</v>
      </c>
      <c r="U662">
        <v>5</v>
      </c>
    </row>
    <row r="663" spans="1:21" x14ac:dyDescent="0.3">
      <c r="A663" t="s">
        <v>770</v>
      </c>
      <c r="B663" s="2">
        <v>45902</v>
      </c>
      <c r="C663" t="s">
        <v>31</v>
      </c>
      <c r="D663" t="s">
        <v>32</v>
      </c>
      <c r="E663" t="s">
        <v>46</v>
      </c>
      <c r="F663" t="s">
        <v>25</v>
      </c>
      <c r="G663" t="s">
        <v>26</v>
      </c>
      <c r="H663" t="s">
        <v>53</v>
      </c>
      <c r="I663" t="s">
        <v>57</v>
      </c>
      <c r="J663" t="s">
        <v>109</v>
      </c>
      <c r="K663">
        <v>1</v>
      </c>
      <c r="L663">
        <v>112231</v>
      </c>
      <c r="M663">
        <v>0.105</v>
      </c>
      <c r="N663">
        <v>112231</v>
      </c>
      <c r="O663">
        <v>11784.25</v>
      </c>
      <c r="P663">
        <v>100446.75</v>
      </c>
      <c r="Q663">
        <v>3</v>
      </c>
      <c r="R663">
        <v>166</v>
      </c>
      <c r="S663">
        <v>4.2</v>
      </c>
      <c r="T663">
        <v>3</v>
      </c>
      <c r="U663">
        <v>3</v>
      </c>
    </row>
    <row r="664" spans="1:21" x14ac:dyDescent="0.3">
      <c r="A664" t="s">
        <v>771</v>
      </c>
      <c r="B664" s="2">
        <v>45802</v>
      </c>
      <c r="C664" t="s">
        <v>60</v>
      </c>
      <c r="D664" t="s">
        <v>69</v>
      </c>
      <c r="E664" t="s">
        <v>62</v>
      </c>
      <c r="F664" t="s">
        <v>101</v>
      </c>
      <c r="G664" t="s">
        <v>26</v>
      </c>
      <c r="H664" t="s">
        <v>27</v>
      </c>
      <c r="I664" t="s">
        <v>28</v>
      </c>
      <c r="J664" t="s">
        <v>54</v>
      </c>
      <c r="K664">
        <v>2</v>
      </c>
      <c r="L664">
        <v>105783</v>
      </c>
      <c r="M664">
        <v>3.2000000000000001E-2</v>
      </c>
      <c r="N664">
        <v>211566</v>
      </c>
      <c r="O664">
        <v>6770.11</v>
      </c>
      <c r="P664">
        <v>204795.89</v>
      </c>
      <c r="Q664">
        <v>3</v>
      </c>
      <c r="R664">
        <v>165</v>
      </c>
      <c r="S664">
        <v>3.8</v>
      </c>
      <c r="T664">
        <v>10</v>
      </c>
      <c r="U664">
        <v>3</v>
      </c>
    </row>
    <row r="665" spans="1:21" x14ac:dyDescent="0.3">
      <c r="A665" t="s">
        <v>772</v>
      </c>
      <c r="B665" s="2">
        <v>45671</v>
      </c>
      <c r="C665" t="s">
        <v>87</v>
      </c>
      <c r="D665" t="s">
        <v>130</v>
      </c>
      <c r="E665" t="s">
        <v>24</v>
      </c>
      <c r="F665" t="s">
        <v>25</v>
      </c>
      <c r="G665" t="s">
        <v>56</v>
      </c>
      <c r="H665" t="s">
        <v>35</v>
      </c>
      <c r="I665" t="s">
        <v>48</v>
      </c>
      <c r="J665" t="s">
        <v>58</v>
      </c>
      <c r="K665">
        <v>3</v>
      </c>
      <c r="L665">
        <v>106492</v>
      </c>
      <c r="M665">
        <v>6.5000000000000002E-2</v>
      </c>
      <c r="N665">
        <v>319476</v>
      </c>
      <c r="O665">
        <v>20765.939999999999</v>
      </c>
      <c r="P665">
        <v>298710.06</v>
      </c>
      <c r="Q665">
        <v>4</v>
      </c>
      <c r="R665">
        <v>198</v>
      </c>
      <c r="S665">
        <v>4.5</v>
      </c>
      <c r="T665">
        <v>13</v>
      </c>
      <c r="U665">
        <v>5</v>
      </c>
    </row>
    <row r="666" spans="1:21" x14ac:dyDescent="0.3">
      <c r="A666" t="s">
        <v>773</v>
      </c>
      <c r="B666" s="2">
        <v>45896</v>
      </c>
      <c r="C666" t="s">
        <v>39</v>
      </c>
      <c r="D666" t="s">
        <v>40</v>
      </c>
      <c r="E666" t="s">
        <v>24</v>
      </c>
      <c r="F666" t="s">
        <v>80</v>
      </c>
      <c r="G666" t="s">
        <v>34</v>
      </c>
      <c r="H666" t="s">
        <v>53</v>
      </c>
      <c r="I666" t="s">
        <v>36</v>
      </c>
      <c r="J666" t="s">
        <v>85</v>
      </c>
      <c r="K666">
        <v>1</v>
      </c>
      <c r="L666">
        <v>124037</v>
      </c>
      <c r="M666">
        <v>4.1000000000000002E-2</v>
      </c>
      <c r="N666">
        <v>124037</v>
      </c>
      <c r="O666">
        <v>5085.5200000000004</v>
      </c>
      <c r="P666">
        <v>118951.48</v>
      </c>
      <c r="Q666">
        <v>4</v>
      </c>
      <c r="R666">
        <v>176</v>
      </c>
      <c r="S666">
        <v>4.0999999999999996</v>
      </c>
      <c r="T666">
        <v>13</v>
      </c>
      <c r="U666">
        <v>3</v>
      </c>
    </row>
    <row r="667" spans="1:21" x14ac:dyDescent="0.3">
      <c r="A667" t="s">
        <v>774</v>
      </c>
      <c r="B667" s="2">
        <v>45752</v>
      </c>
      <c r="C667" t="s">
        <v>31</v>
      </c>
      <c r="D667" t="s">
        <v>32</v>
      </c>
      <c r="E667" t="s">
        <v>24</v>
      </c>
      <c r="F667" t="s">
        <v>41</v>
      </c>
      <c r="G667" t="s">
        <v>34</v>
      </c>
      <c r="H667" t="s">
        <v>27</v>
      </c>
      <c r="I667" t="s">
        <v>63</v>
      </c>
      <c r="J667" t="s">
        <v>89</v>
      </c>
      <c r="K667">
        <v>3</v>
      </c>
      <c r="L667">
        <v>107992</v>
      </c>
      <c r="M667">
        <v>0.08</v>
      </c>
      <c r="N667">
        <v>323976</v>
      </c>
      <c r="O667">
        <v>25918.080000000002</v>
      </c>
      <c r="P667">
        <v>298057.92</v>
      </c>
      <c r="Q667">
        <v>4</v>
      </c>
      <c r="R667">
        <v>157</v>
      </c>
      <c r="S667">
        <v>4.2</v>
      </c>
      <c r="T667">
        <v>3</v>
      </c>
      <c r="U667">
        <v>2</v>
      </c>
    </row>
    <row r="668" spans="1:21" x14ac:dyDescent="0.3">
      <c r="A668" t="s">
        <v>775</v>
      </c>
      <c r="B668" s="2">
        <v>45687</v>
      </c>
      <c r="C668" t="s">
        <v>39</v>
      </c>
      <c r="D668" t="s">
        <v>154</v>
      </c>
      <c r="E668" t="s">
        <v>46</v>
      </c>
      <c r="F668" t="s">
        <v>33</v>
      </c>
      <c r="G668" t="s">
        <v>34</v>
      </c>
      <c r="H668" t="s">
        <v>53</v>
      </c>
      <c r="I668" t="s">
        <v>63</v>
      </c>
      <c r="J668" t="s">
        <v>131</v>
      </c>
      <c r="K668">
        <v>2</v>
      </c>
      <c r="L668">
        <v>172011</v>
      </c>
      <c r="M668">
        <v>3.5000000000000003E-2</v>
      </c>
      <c r="N668">
        <v>344022</v>
      </c>
      <c r="O668">
        <v>12040.77</v>
      </c>
      <c r="P668">
        <v>331981.23</v>
      </c>
      <c r="Q668">
        <v>3</v>
      </c>
      <c r="R668">
        <v>161</v>
      </c>
      <c r="S668">
        <v>4.2</v>
      </c>
      <c r="T668">
        <v>14</v>
      </c>
      <c r="U668">
        <v>2</v>
      </c>
    </row>
    <row r="669" spans="1:21" x14ac:dyDescent="0.3">
      <c r="A669" t="s">
        <v>776</v>
      </c>
      <c r="B669" s="2">
        <v>45823</v>
      </c>
      <c r="C669" t="s">
        <v>76</v>
      </c>
      <c r="D669" t="s">
        <v>77</v>
      </c>
      <c r="E669" t="s">
        <v>24</v>
      </c>
      <c r="F669" t="s">
        <v>80</v>
      </c>
      <c r="G669" t="s">
        <v>56</v>
      </c>
      <c r="H669" t="s">
        <v>27</v>
      </c>
      <c r="I669" t="s">
        <v>48</v>
      </c>
      <c r="J669" t="s">
        <v>49</v>
      </c>
      <c r="K669">
        <v>2</v>
      </c>
      <c r="L669">
        <v>136420</v>
      </c>
      <c r="M669">
        <v>7.9000000000000001E-2</v>
      </c>
      <c r="N669">
        <v>272840</v>
      </c>
      <c r="O669">
        <v>21554.36</v>
      </c>
      <c r="P669">
        <v>251285.64</v>
      </c>
      <c r="Q669">
        <v>5</v>
      </c>
      <c r="R669">
        <v>190</v>
      </c>
      <c r="S669">
        <v>4</v>
      </c>
      <c r="T669">
        <v>14</v>
      </c>
      <c r="U669">
        <v>5</v>
      </c>
    </row>
    <row r="670" spans="1:21" x14ac:dyDescent="0.3">
      <c r="A670" t="s">
        <v>777</v>
      </c>
      <c r="B670" s="2">
        <v>45921</v>
      </c>
      <c r="C670" t="s">
        <v>44</v>
      </c>
      <c r="D670" t="s">
        <v>51</v>
      </c>
      <c r="E670" t="s">
        <v>46</v>
      </c>
      <c r="F670" t="s">
        <v>66</v>
      </c>
      <c r="G670" t="s">
        <v>56</v>
      </c>
      <c r="H670" t="s">
        <v>27</v>
      </c>
      <c r="I670" t="s">
        <v>94</v>
      </c>
      <c r="J670" t="s">
        <v>102</v>
      </c>
      <c r="K670">
        <v>4</v>
      </c>
      <c r="L670">
        <v>119339</v>
      </c>
      <c r="M670">
        <v>5.0999999999999997E-2</v>
      </c>
      <c r="N670">
        <v>477356</v>
      </c>
      <c r="O670">
        <v>24345.16</v>
      </c>
      <c r="P670">
        <v>453010.84</v>
      </c>
      <c r="Q670">
        <v>3</v>
      </c>
      <c r="R670">
        <v>176</v>
      </c>
      <c r="S670">
        <v>4</v>
      </c>
      <c r="T670">
        <v>7</v>
      </c>
      <c r="U670">
        <v>5</v>
      </c>
    </row>
    <row r="671" spans="1:21" x14ac:dyDescent="0.3">
      <c r="A671" t="s">
        <v>778</v>
      </c>
      <c r="B671" s="2">
        <v>45741</v>
      </c>
      <c r="C671" t="s">
        <v>44</v>
      </c>
      <c r="D671" t="s">
        <v>51</v>
      </c>
      <c r="E671" t="s">
        <v>24</v>
      </c>
      <c r="F671" t="s">
        <v>25</v>
      </c>
      <c r="G671" t="s">
        <v>34</v>
      </c>
      <c r="H671" t="s">
        <v>27</v>
      </c>
      <c r="I671" t="s">
        <v>48</v>
      </c>
      <c r="J671" t="s">
        <v>78</v>
      </c>
      <c r="K671">
        <v>1</v>
      </c>
      <c r="L671">
        <v>119495</v>
      </c>
      <c r="M671">
        <v>3.6999999999999998E-2</v>
      </c>
      <c r="N671">
        <v>119495</v>
      </c>
      <c r="O671">
        <v>4421.3100000000004</v>
      </c>
      <c r="P671">
        <v>115073.69</v>
      </c>
      <c r="Q671">
        <v>4</v>
      </c>
      <c r="R671">
        <v>187</v>
      </c>
      <c r="T671">
        <v>3</v>
      </c>
      <c r="U671">
        <v>3</v>
      </c>
    </row>
    <row r="672" spans="1:21" x14ac:dyDescent="0.3">
      <c r="A672" t="s">
        <v>779</v>
      </c>
      <c r="B672" s="2">
        <v>45672</v>
      </c>
      <c r="C672" t="s">
        <v>87</v>
      </c>
      <c r="D672" t="s">
        <v>88</v>
      </c>
      <c r="E672" t="s">
        <v>24</v>
      </c>
      <c r="F672" t="s">
        <v>66</v>
      </c>
      <c r="G672" t="s">
        <v>67</v>
      </c>
      <c r="H672" t="s">
        <v>53</v>
      </c>
      <c r="I672" t="s">
        <v>57</v>
      </c>
      <c r="J672" t="s">
        <v>109</v>
      </c>
      <c r="K672">
        <v>2</v>
      </c>
      <c r="L672">
        <v>150461</v>
      </c>
      <c r="M672">
        <v>2.1000000000000001E-2</v>
      </c>
      <c r="N672">
        <v>300922</v>
      </c>
      <c r="O672">
        <v>6319.36</v>
      </c>
      <c r="P672">
        <v>294602.64</v>
      </c>
      <c r="Q672">
        <v>4</v>
      </c>
      <c r="R672">
        <v>193</v>
      </c>
      <c r="S672">
        <v>4.9000000000000004</v>
      </c>
      <c r="T672">
        <v>8</v>
      </c>
      <c r="U672">
        <v>3</v>
      </c>
    </row>
    <row r="673" spans="1:21" x14ac:dyDescent="0.3">
      <c r="A673" t="s">
        <v>780</v>
      </c>
      <c r="B673" s="2">
        <v>45677</v>
      </c>
      <c r="C673" t="s">
        <v>87</v>
      </c>
      <c r="D673" t="s">
        <v>130</v>
      </c>
      <c r="E673" t="s">
        <v>24</v>
      </c>
      <c r="F673" t="s">
        <v>33</v>
      </c>
      <c r="G673" t="s">
        <v>34</v>
      </c>
      <c r="H673" t="s">
        <v>27</v>
      </c>
      <c r="I673" t="s">
        <v>94</v>
      </c>
      <c r="J673" t="s">
        <v>92</v>
      </c>
      <c r="K673">
        <v>1</v>
      </c>
      <c r="L673">
        <v>114085</v>
      </c>
      <c r="M673">
        <v>8.5000000000000006E-2</v>
      </c>
      <c r="N673">
        <v>114085</v>
      </c>
      <c r="O673">
        <v>9697.23</v>
      </c>
      <c r="P673">
        <v>104387.77</v>
      </c>
      <c r="Q673">
        <v>4</v>
      </c>
      <c r="R673">
        <v>165</v>
      </c>
      <c r="S673">
        <v>3.8</v>
      </c>
      <c r="T673">
        <v>10</v>
      </c>
      <c r="U673">
        <v>2</v>
      </c>
    </row>
    <row r="674" spans="1:21" x14ac:dyDescent="0.3">
      <c r="A674" t="s">
        <v>781</v>
      </c>
      <c r="B674" s="2">
        <v>45836</v>
      </c>
      <c r="C674" t="s">
        <v>39</v>
      </c>
      <c r="D674" t="s">
        <v>40</v>
      </c>
      <c r="E674" t="s">
        <v>62</v>
      </c>
      <c r="F674" t="s">
        <v>74</v>
      </c>
      <c r="G674" t="s">
        <v>67</v>
      </c>
      <c r="H674" t="s">
        <v>35</v>
      </c>
      <c r="I674" t="s">
        <v>48</v>
      </c>
      <c r="J674" t="s">
        <v>216</v>
      </c>
      <c r="K674">
        <v>2</v>
      </c>
      <c r="L674">
        <v>127277</v>
      </c>
      <c r="M674">
        <v>8.2000000000000003E-2</v>
      </c>
      <c r="N674">
        <v>254554</v>
      </c>
      <c r="O674">
        <v>20873.43</v>
      </c>
      <c r="P674">
        <v>233680.57</v>
      </c>
      <c r="Q674">
        <v>2</v>
      </c>
      <c r="R674">
        <v>158</v>
      </c>
      <c r="S674">
        <v>3.2</v>
      </c>
      <c r="T674">
        <v>6</v>
      </c>
      <c r="U674">
        <v>3</v>
      </c>
    </row>
    <row r="675" spans="1:21" x14ac:dyDescent="0.3">
      <c r="A675" t="s">
        <v>782</v>
      </c>
      <c r="B675" s="2">
        <v>45677</v>
      </c>
      <c r="C675" t="s">
        <v>76</v>
      </c>
      <c r="D675" t="s">
        <v>77</v>
      </c>
      <c r="E675" t="s">
        <v>24</v>
      </c>
      <c r="F675" t="s">
        <v>80</v>
      </c>
      <c r="G675" t="s">
        <v>56</v>
      </c>
      <c r="H675" t="s">
        <v>27</v>
      </c>
      <c r="I675" t="s">
        <v>57</v>
      </c>
      <c r="J675" t="s">
        <v>49</v>
      </c>
      <c r="K675">
        <v>1</v>
      </c>
      <c r="L675">
        <v>138702</v>
      </c>
      <c r="M675">
        <v>9.6000000000000002E-2</v>
      </c>
      <c r="N675">
        <v>138702</v>
      </c>
      <c r="O675">
        <v>13315.39</v>
      </c>
      <c r="P675">
        <v>125386.61</v>
      </c>
      <c r="Q675">
        <v>5</v>
      </c>
      <c r="R675">
        <v>224</v>
      </c>
      <c r="S675">
        <v>3.9</v>
      </c>
      <c r="T675">
        <v>2</v>
      </c>
      <c r="U675">
        <v>2</v>
      </c>
    </row>
    <row r="676" spans="1:21" x14ac:dyDescent="0.3">
      <c r="A676" t="s">
        <v>783</v>
      </c>
      <c r="B676" s="2">
        <v>45795</v>
      </c>
      <c r="C676" t="s">
        <v>87</v>
      </c>
      <c r="D676" t="s">
        <v>130</v>
      </c>
      <c r="E676" t="s">
        <v>24</v>
      </c>
      <c r="F676" t="s">
        <v>66</v>
      </c>
      <c r="G676" t="s">
        <v>34</v>
      </c>
      <c r="H676" t="s">
        <v>53</v>
      </c>
      <c r="I676" t="s">
        <v>48</v>
      </c>
      <c r="J676" t="s">
        <v>81</v>
      </c>
      <c r="K676">
        <v>1</v>
      </c>
      <c r="L676">
        <v>116821</v>
      </c>
      <c r="M676">
        <v>6.8000000000000005E-2</v>
      </c>
      <c r="N676">
        <v>116821</v>
      </c>
      <c r="O676">
        <v>7943.83</v>
      </c>
      <c r="P676">
        <v>108877.17</v>
      </c>
      <c r="Q676">
        <v>3</v>
      </c>
      <c r="R676">
        <v>135</v>
      </c>
      <c r="S676">
        <v>4.3</v>
      </c>
      <c r="T676">
        <v>5</v>
      </c>
      <c r="U676">
        <v>3</v>
      </c>
    </row>
    <row r="677" spans="1:21" x14ac:dyDescent="0.3">
      <c r="A677" t="s">
        <v>784</v>
      </c>
      <c r="B677" s="2">
        <v>45903</v>
      </c>
      <c r="C677" t="s">
        <v>99</v>
      </c>
      <c r="D677" t="s">
        <v>100</v>
      </c>
      <c r="E677" t="s">
        <v>46</v>
      </c>
      <c r="F677" t="s">
        <v>52</v>
      </c>
      <c r="G677" t="s">
        <v>67</v>
      </c>
      <c r="H677" t="s">
        <v>27</v>
      </c>
      <c r="I677" t="s">
        <v>48</v>
      </c>
      <c r="J677" t="s">
        <v>29</v>
      </c>
      <c r="K677">
        <v>2</v>
      </c>
      <c r="L677">
        <v>108449</v>
      </c>
      <c r="M677">
        <v>7.1999999999999995E-2</v>
      </c>
      <c r="N677">
        <v>216898</v>
      </c>
      <c r="O677">
        <v>15616.66</v>
      </c>
      <c r="P677">
        <v>201281.34</v>
      </c>
      <c r="Q677">
        <v>3</v>
      </c>
      <c r="R677">
        <v>184</v>
      </c>
      <c r="S677">
        <v>4.4000000000000004</v>
      </c>
      <c r="T677">
        <v>13</v>
      </c>
      <c r="U677">
        <v>3</v>
      </c>
    </row>
    <row r="678" spans="1:21" x14ac:dyDescent="0.3">
      <c r="A678" t="s">
        <v>785</v>
      </c>
      <c r="B678" s="2">
        <v>45922</v>
      </c>
      <c r="C678" t="s">
        <v>31</v>
      </c>
      <c r="D678" t="s">
        <v>32</v>
      </c>
      <c r="E678" t="s">
        <v>24</v>
      </c>
      <c r="F678" t="s">
        <v>80</v>
      </c>
      <c r="G678" t="s">
        <v>26</v>
      </c>
      <c r="H678" t="s">
        <v>35</v>
      </c>
      <c r="I678" t="s">
        <v>57</v>
      </c>
      <c r="J678" t="s">
        <v>95</v>
      </c>
      <c r="K678">
        <v>1</v>
      </c>
      <c r="L678">
        <v>109517</v>
      </c>
      <c r="M678">
        <v>7.6999999999999999E-2</v>
      </c>
      <c r="N678">
        <v>109517</v>
      </c>
      <c r="O678">
        <v>8432.81</v>
      </c>
      <c r="P678">
        <v>101084.19</v>
      </c>
      <c r="Q678">
        <v>5</v>
      </c>
      <c r="R678">
        <v>216</v>
      </c>
      <c r="S678">
        <v>4.0999999999999996</v>
      </c>
      <c r="T678">
        <v>8</v>
      </c>
      <c r="U678">
        <v>5</v>
      </c>
    </row>
    <row r="679" spans="1:21" x14ac:dyDescent="0.3">
      <c r="A679" t="s">
        <v>786</v>
      </c>
      <c r="B679" s="2">
        <v>45719</v>
      </c>
      <c r="C679" t="s">
        <v>99</v>
      </c>
      <c r="D679" t="s">
        <v>100</v>
      </c>
      <c r="E679" t="s">
        <v>24</v>
      </c>
      <c r="F679" t="s">
        <v>47</v>
      </c>
      <c r="G679" t="s">
        <v>26</v>
      </c>
      <c r="H679" t="s">
        <v>53</v>
      </c>
      <c r="I679" t="s">
        <v>36</v>
      </c>
      <c r="J679" t="s">
        <v>143</v>
      </c>
      <c r="K679">
        <v>1</v>
      </c>
      <c r="L679">
        <v>117454</v>
      </c>
      <c r="M679">
        <v>0.114</v>
      </c>
      <c r="N679">
        <v>117454</v>
      </c>
      <c r="O679">
        <v>13389.76</v>
      </c>
      <c r="P679">
        <v>104064.24</v>
      </c>
      <c r="Q679">
        <v>4</v>
      </c>
      <c r="R679">
        <v>192</v>
      </c>
      <c r="S679">
        <v>4.5</v>
      </c>
      <c r="T679">
        <v>9</v>
      </c>
      <c r="U679">
        <v>5</v>
      </c>
    </row>
    <row r="680" spans="1:21" x14ac:dyDescent="0.3">
      <c r="A680" t="s">
        <v>787</v>
      </c>
      <c r="B680" s="2">
        <v>45947</v>
      </c>
      <c r="C680" t="s">
        <v>39</v>
      </c>
      <c r="D680" t="s">
        <v>40</v>
      </c>
      <c r="E680" t="s">
        <v>62</v>
      </c>
      <c r="F680" t="s">
        <v>74</v>
      </c>
      <c r="G680" t="s">
        <v>67</v>
      </c>
      <c r="H680" t="s">
        <v>53</v>
      </c>
      <c r="I680" t="s">
        <v>28</v>
      </c>
      <c r="J680" t="s">
        <v>102</v>
      </c>
      <c r="K680">
        <v>1</v>
      </c>
      <c r="L680">
        <v>126504</v>
      </c>
      <c r="M680">
        <v>3.1E-2</v>
      </c>
      <c r="N680">
        <v>126504</v>
      </c>
      <c r="O680">
        <v>3921.62</v>
      </c>
      <c r="P680">
        <v>122582.38</v>
      </c>
      <c r="Q680">
        <v>4</v>
      </c>
      <c r="R680">
        <v>188</v>
      </c>
      <c r="S680">
        <v>4.5</v>
      </c>
      <c r="T680">
        <v>13</v>
      </c>
      <c r="U680">
        <v>5</v>
      </c>
    </row>
    <row r="681" spans="1:21" x14ac:dyDescent="0.3">
      <c r="A681" t="s">
        <v>788</v>
      </c>
      <c r="B681" s="2">
        <v>45850</v>
      </c>
      <c r="C681" t="s">
        <v>99</v>
      </c>
      <c r="D681" t="s">
        <v>121</v>
      </c>
      <c r="E681" t="s">
        <v>24</v>
      </c>
      <c r="F681" t="s">
        <v>52</v>
      </c>
      <c r="G681" t="s">
        <v>34</v>
      </c>
      <c r="H681" t="s">
        <v>35</v>
      </c>
      <c r="I681" t="s">
        <v>94</v>
      </c>
      <c r="J681" t="s">
        <v>37</v>
      </c>
      <c r="K681">
        <v>1</v>
      </c>
      <c r="L681">
        <v>109484</v>
      </c>
      <c r="M681">
        <v>8.3000000000000004E-2</v>
      </c>
      <c r="N681">
        <v>109484</v>
      </c>
      <c r="O681">
        <v>9087.17</v>
      </c>
      <c r="P681">
        <v>100396.83</v>
      </c>
      <c r="Q681">
        <v>5</v>
      </c>
      <c r="R681">
        <v>195</v>
      </c>
      <c r="S681">
        <v>4.0999999999999996</v>
      </c>
      <c r="T681">
        <v>6</v>
      </c>
      <c r="U681">
        <v>3</v>
      </c>
    </row>
    <row r="682" spans="1:21" x14ac:dyDescent="0.3">
      <c r="A682" t="s">
        <v>789</v>
      </c>
      <c r="B682" s="2">
        <v>45714</v>
      </c>
      <c r="C682" t="s">
        <v>44</v>
      </c>
      <c r="D682" t="s">
        <v>51</v>
      </c>
      <c r="E682" t="s">
        <v>24</v>
      </c>
      <c r="F682" t="s">
        <v>47</v>
      </c>
      <c r="G682" t="s">
        <v>34</v>
      </c>
      <c r="H682" t="s">
        <v>53</v>
      </c>
      <c r="I682" t="s">
        <v>94</v>
      </c>
      <c r="J682" t="s">
        <v>64</v>
      </c>
      <c r="K682">
        <v>1</v>
      </c>
      <c r="L682">
        <v>128534</v>
      </c>
      <c r="M682">
        <v>5.8000000000000003E-2</v>
      </c>
      <c r="N682">
        <v>128534</v>
      </c>
      <c r="O682">
        <v>7454.97</v>
      </c>
      <c r="P682">
        <v>121079.03</v>
      </c>
      <c r="Q682">
        <v>4</v>
      </c>
      <c r="R682">
        <v>174</v>
      </c>
      <c r="S682">
        <v>4.5999999999999996</v>
      </c>
      <c r="T682">
        <v>11</v>
      </c>
      <c r="U682">
        <v>5</v>
      </c>
    </row>
    <row r="683" spans="1:21" x14ac:dyDescent="0.3">
      <c r="A683" t="s">
        <v>790</v>
      </c>
      <c r="B683" s="2">
        <v>45778</v>
      </c>
      <c r="C683" t="s">
        <v>87</v>
      </c>
      <c r="D683" t="s">
        <v>130</v>
      </c>
      <c r="E683" t="s">
        <v>62</v>
      </c>
      <c r="F683" t="s">
        <v>52</v>
      </c>
      <c r="G683" t="s">
        <v>56</v>
      </c>
      <c r="H683" t="s">
        <v>35</v>
      </c>
      <c r="I683" t="s">
        <v>48</v>
      </c>
      <c r="J683" t="s">
        <v>104</v>
      </c>
      <c r="K683">
        <v>2</v>
      </c>
      <c r="L683">
        <v>117926</v>
      </c>
      <c r="M683">
        <v>7.2999999999999995E-2</v>
      </c>
      <c r="N683">
        <v>235852</v>
      </c>
      <c r="O683">
        <v>17217.2</v>
      </c>
      <c r="P683">
        <v>218634.8</v>
      </c>
      <c r="Q683">
        <v>4</v>
      </c>
      <c r="R683">
        <v>158</v>
      </c>
      <c r="S683">
        <v>3.9</v>
      </c>
      <c r="T683">
        <v>9</v>
      </c>
      <c r="U683">
        <v>3</v>
      </c>
    </row>
    <row r="684" spans="1:21" x14ac:dyDescent="0.3">
      <c r="A684" t="s">
        <v>791</v>
      </c>
      <c r="B684" s="2">
        <v>45824</v>
      </c>
      <c r="C684" t="s">
        <v>87</v>
      </c>
      <c r="D684" t="s">
        <v>88</v>
      </c>
      <c r="E684" t="s">
        <v>46</v>
      </c>
      <c r="F684" t="s">
        <v>41</v>
      </c>
      <c r="G684" t="s">
        <v>67</v>
      </c>
      <c r="H684" t="s">
        <v>35</v>
      </c>
      <c r="I684" t="s">
        <v>28</v>
      </c>
      <c r="J684" t="s">
        <v>81</v>
      </c>
      <c r="K684">
        <v>4</v>
      </c>
      <c r="L684">
        <v>149251</v>
      </c>
      <c r="M684">
        <v>0.11600000000000001</v>
      </c>
      <c r="N684">
        <v>597004</v>
      </c>
      <c r="O684">
        <v>69252.460000000006</v>
      </c>
      <c r="P684">
        <v>527751.54</v>
      </c>
      <c r="Q684">
        <v>3</v>
      </c>
      <c r="R684">
        <v>182</v>
      </c>
      <c r="S684">
        <v>4.4000000000000004</v>
      </c>
      <c r="T684">
        <v>5</v>
      </c>
      <c r="U684">
        <v>2</v>
      </c>
    </row>
    <row r="685" spans="1:21" x14ac:dyDescent="0.3">
      <c r="A685" t="s">
        <v>792</v>
      </c>
      <c r="B685" s="2">
        <v>45754</v>
      </c>
      <c r="C685" t="s">
        <v>99</v>
      </c>
      <c r="D685" t="s">
        <v>100</v>
      </c>
      <c r="E685" t="s">
        <v>24</v>
      </c>
      <c r="F685" t="s">
        <v>47</v>
      </c>
      <c r="G685" t="s">
        <v>67</v>
      </c>
      <c r="H685" t="s">
        <v>27</v>
      </c>
      <c r="I685" t="s">
        <v>63</v>
      </c>
      <c r="J685" t="s">
        <v>197</v>
      </c>
      <c r="K685">
        <v>3</v>
      </c>
      <c r="L685">
        <v>115748</v>
      </c>
      <c r="M685">
        <v>9.9000000000000005E-2</v>
      </c>
      <c r="N685">
        <v>347244</v>
      </c>
      <c r="O685">
        <v>34377.160000000003</v>
      </c>
      <c r="P685">
        <v>312866.84000000003</v>
      </c>
      <c r="Q685">
        <v>3</v>
      </c>
      <c r="R685">
        <v>164</v>
      </c>
      <c r="S685">
        <v>4.4000000000000004</v>
      </c>
      <c r="T685">
        <v>11</v>
      </c>
      <c r="U685">
        <v>2</v>
      </c>
    </row>
    <row r="686" spans="1:21" x14ac:dyDescent="0.3">
      <c r="A686" t="s">
        <v>793</v>
      </c>
      <c r="B686" s="2">
        <v>46018</v>
      </c>
      <c r="C686" t="s">
        <v>22</v>
      </c>
      <c r="D686" t="s">
        <v>23</v>
      </c>
      <c r="E686" t="s">
        <v>62</v>
      </c>
      <c r="F686" t="s">
        <v>101</v>
      </c>
      <c r="G686" t="s">
        <v>56</v>
      </c>
      <c r="H686" t="s">
        <v>53</v>
      </c>
      <c r="I686" t="s">
        <v>57</v>
      </c>
      <c r="J686" t="s">
        <v>92</v>
      </c>
      <c r="K686">
        <v>1</v>
      </c>
      <c r="L686">
        <v>126813</v>
      </c>
      <c r="M686">
        <v>9.8000000000000004E-2</v>
      </c>
      <c r="N686">
        <v>126813</v>
      </c>
      <c r="O686">
        <v>12427.67</v>
      </c>
      <c r="P686">
        <v>114385.33</v>
      </c>
      <c r="Q686">
        <v>3</v>
      </c>
      <c r="R686">
        <v>177</v>
      </c>
      <c r="S686">
        <v>4.3</v>
      </c>
      <c r="T686">
        <v>5</v>
      </c>
      <c r="U686">
        <v>2</v>
      </c>
    </row>
    <row r="687" spans="1:21" x14ac:dyDescent="0.3">
      <c r="A687" t="s">
        <v>794</v>
      </c>
      <c r="B687" s="2">
        <v>45819</v>
      </c>
      <c r="C687" t="s">
        <v>44</v>
      </c>
      <c r="D687" t="s">
        <v>45</v>
      </c>
      <c r="E687" t="s">
        <v>46</v>
      </c>
      <c r="F687" t="s">
        <v>41</v>
      </c>
      <c r="G687" t="s">
        <v>56</v>
      </c>
      <c r="H687" t="s">
        <v>27</v>
      </c>
      <c r="I687" t="s">
        <v>94</v>
      </c>
      <c r="J687" t="s">
        <v>85</v>
      </c>
      <c r="K687">
        <v>4</v>
      </c>
      <c r="L687">
        <v>154396</v>
      </c>
      <c r="M687">
        <v>9.7000000000000003E-2</v>
      </c>
      <c r="N687">
        <v>617584</v>
      </c>
      <c r="O687">
        <v>59905.65</v>
      </c>
      <c r="P687">
        <v>557678.35</v>
      </c>
      <c r="Q687">
        <v>3</v>
      </c>
      <c r="R687">
        <v>160</v>
      </c>
      <c r="S687">
        <v>4.2</v>
      </c>
      <c r="T687">
        <v>2</v>
      </c>
      <c r="U687">
        <v>2</v>
      </c>
    </row>
    <row r="688" spans="1:21" x14ac:dyDescent="0.3">
      <c r="A688" t="s">
        <v>795</v>
      </c>
      <c r="B688" s="2">
        <v>45930</v>
      </c>
      <c r="C688" t="s">
        <v>44</v>
      </c>
      <c r="D688" t="s">
        <v>51</v>
      </c>
      <c r="E688" t="s">
        <v>62</v>
      </c>
      <c r="G688" t="s">
        <v>26</v>
      </c>
      <c r="H688" t="s">
        <v>27</v>
      </c>
      <c r="I688" t="s">
        <v>57</v>
      </c>
      <c r="J688" t="s">
        <v>85</v>
      </c>
      <c r="K688">
        <v>1</v>
      </c>
      <c r="L688">
        <v>116157</v>
      </c>
      <c r="M688">
        <v>4.2999999999999997E-2</v>
      </c>
      <c r="N688">
        <v>116157</v>
      </c>
      <c r="O688">
        <v>4994.75</v>
      </c>
      <c r="P688">
        <v>111162.25</v>
      </c>
      <c r="Q688">
        <v>4</v>
      </c>
      <c r="R688">
        <v>180</v>
      </c>
      <c r="S688">
        <v>4.0999999999999996</v>
      </c>
      <c r="T688">
        <v>2</v>
      </c>
      <c r="U688">
        <v>2</v>
      </c>
    </row>
    <row r="689" spans="1:21" x14ac:dyDescent="0.3">
      <c r="A689" t="s">
        <v>796</v>
      </c>
      <c r="B689" s="2">
        <v>45975</v>
      </c>
      <c r="C689" t="s">
        <v>99</v>
      </c>
      <c r="D689" t="s">
        <v>141</v>
      </c>
      <c r="E689" t="s">
        <v>46</v>
      </c>
      <c r="F689" t="s">
        <v>80</v>
      </c>
      <c r="G689" t="s">
        <v>56</v>
      </c>
      <c r="H689" t="s">
        <v>27</v>
      </c>
      <c r="I689" t="s">
        <v>36</v>
      </c>
      <c r="J689" t="s">
        <v>89</v>
      </c>
      <c r="K689">
        <v>5</v>
      </c>
      <c r="L689">
        <v>136046</v>
      </c>
      <c r="M689">
        <v>5.0999999999999997E-2</v>
      </c>
      <c r="N689">
        <v>680230</v>
      </c>
      <c r="O689">
        <v>34691.730000000003</v>
      </c>
      <c r="P689">
        <v>645538.27</v>
      </c>
      <c r="Q689">
        <v>5</v>
      </c>
      <c r="R689">
        <v>198</v>
      </c>
      <c r="S689">
        <v>4.7</v>
      </c>
      <c r="T689">
        <v>5</v>
      </c>
      <c r="U689">
        <v>3</v>
      </c>
    </row>
    <row r="690" spans="1:21" x14ac:dyDescent="0.3">
      <c r="A690" t="s">
        <v>797</v>
      </c>
      <c r="B690" s="2">
        <v>45731</v>
      </c>
      <c r="C690" t="s">
        <v>39</v>
      </c>
      <c r="D690" t="s">
        <v>154</v>
      </c>
      <c r="E690" t="s">
        <v>24</v>
      </c>
      <c r="F690" t="s">
        <v>25</v>
      </c>
      <c r="G690" t="s">
        <v>26</v>
      </c>
      <c r="H690" t="s">
        <v>53</v>
      </c>
      <c r="I690" t="s">
        <v>57</v>
      </c>
      <c r="J690" t="s">
        <v>102</v>
      </c>
      <c r="K690">
        <v>5</v>
      </c>
      <c r="L690">
        <v>180362</v>
      </c>
      <c r="M690">
        <v>0.08</v>
      </c>
      <c r="N690">
        <v>901810</v>
      </c>
      <c r="O690">
        <v>72144.800000000003</v>
      </c>
      <c r="P690">
        <v>829665.2</v>
      </c>
      <c r="Q690">
        <v>3</v>
      </c>
      <c r="R690">
        <v>187</v>
      </c>
      <c r="S690">
        <v>4.0999999999999996</v>
      </c>
      <c r="T690">
        <v>4</v>
      </c>
      <c r="U690">
        <v>5</v>
      </c>
    </row>
    <row r="691" spans="1:21" x14ac:dyDescent="0.3">
      <c r="A691" t="s">
        <v>798</v>
      </c>
      <c r="B691" s="2">
        <v>45945</v>
      </c>
      <c r="C691" t="s">
        <v>31</v>
      </c>
      <c r="D691" t="s">
        <v>97</v>
      </c>
      <c r="E691" t="s">
        <v>46</v>
      </c>
      <c r="F691" t="s">
        <v>52</v>
      </c>
      <c r="G691" t="s">
        <v>34</v>
      </c>
      <c r="H691" t="s">
        <v>27</v>
      </c>
      <c r="I691" t="s">
        <v>63</v>
      </c>
      <c r="J691" t="s">
        <v>123</v>
      </c>
      <c r="K691">
        <v>2</v>
      </c>
      <c r="L691">
        <v>127990</v>
      </c>
      <c r="M691">
        <v>6.5000000000000002E-2</v>
      </c>
      <c r="N691">
        <v>255980</v>
      </c>
      <c r="O691">
        <v>16638.7</v>
      </c>
      <c r="P691">
        <v>239341.3</v>
      </c>
      <c r="Q691">
        <v>3</v>
      </c>
      <c r="R691">
        <v>170</v>
      </c>
      <c r="S691">
        <v>4.5999999999999996</v>
      </c>
      <c r="T691">
        <v>11</v>
      </c>
      <c r="U691">
        <v>5</v>
      </c>
    </row>
    <row r="692" spans="1:21" x14ac:dyDescent="0.3">
      <c r="A692" t="s">
        <v>799</v>
      </c>
      <c r="B692" s="2">
        <v>45668</v>
      </c>
      <c r="C692" t="s">
        <v>39</v>
      </c>
      <c r="D692" t="s">
        <v>154</v>
      </c>
      <c r="E692" t="s">
        <v>62</v>
      </c>
      <c r="F692" t="s">
        <v>25</v>
      </c>
      <c r="G692" t="s">
        <v>34</v>
      </c>
      <c r="H692" t="s">
        <v>27</v>
      </c>
      <c r="I692" t="s">
        <v>94</v>
      </c>
      <c r="J692" t="s">
        <v>109</v>
      </c>
      <c r="K692">
        <v>4</v>
      </c>
      <c r="L692">
        <v>178875</v>
      </c>
      <c r="M692">
        <v>9.4E-2</v>
      </c>
      <c r="N692">
        <v>715500</v>
      </c>
      <c r="O692">
        <v>67257</v>
      </c>
      <c r="P692">
        <v>648243</v>
      </c>
      <c r="Q692">
        <v>3</v>
      </c>
      <c r="R692">
        <v>184</v>
      </c>
      <c r="S692">
        <v>4</v>
      </c>
      <c r="T692">
        <v>12</v>
      </c>
      <c r="U692">
        <v>3</v>
      </c>
    </row>
    <row r="693" spans="1:21" x14ac:dyDescent="0.3">
      <c r="A693" t="s">
        <v>800</v>
      </c>
      <c r="B693" s="2">
        <v>45871</v>
      </c>
      <c r="C693" t="s">
        <v>39</v>
      </c>
      <c r="D693" t="s">
        <v>40</v>
      </c>
      <c r="E693" t="s">
        <v>62</v>
      </c>
      <c r="F693" t="s">
        <v>33</v>
      </c>
      <c r="G693" t="s">
        <v>26</v>
      </c>
      <c r="H693" t="s">
        <v>27</v>
      </c>
      <c r="I693" t="s">
        <v>63</v>
      </c>
      <c r="J693" t="s">
        <v>58</v>
      </c>
      <c r="K693">
        <v>1</v>
      </c>
      <c r="L693">
        <v>121647</v>
      </c>
      <c r="M693">
        <v>6.5000000000000002E-2</v>
      </c>
      <c r="N693">
        <v>121647</v>
      </c>
      <c r="O693">
        <v>7907.06</v>
      </c>
      <c r="P693">
        <v>113739.94</v>
      </c>
      <c r="Q693">
        <v>3</v>
      </c>
      <c r="R693">
        <v>167</v>
      </c>
      <c r="S693">
        <v>3.3</v>
      </c>
      <c r="T693">
        <v>12</v>
      </c>
      <c r="U693">
        <v>5</v>
      </c>
    </row>
    <row r="694" spans="1:21" x14ac:dyDescent="0.3">
      <c r="A694" t="s">
        <v>801</v>
      </c>
      <c r="B694" s="2">
        <v>45872</v>
      </c>
      <c r="C694" t="s">
        <v>76</v>
      </c>
      <c r="D694" t="s">
        <v>115</v>
      </c>
      <c r="E694" t="s">
        <v>24</v>
      </c>
      <c r="F694" t="s">
        <v>47</v>
      </c>
      <c r="G694" t="s">
        <v>26</v>
      </c>
      <c r="H694" t="s">
        <v>53</v>
      </c>
      <c r="I694" t="s">
        <v>28</v>
      </c>
      <c r="J694" t="s">
        <v>131</v>
      </c>
      <c r="K694">
        <v>3</v>
      </c>
      <c r="L694">
        <v>130110</v>
      </c>
      <c r="M694">
        <v>5.2999999999999999E-2</v>
      </c>
      <c r="N694">
        <v>390330</v>
      </c>
      <c r="O694">
        <v>20687.490000000002</v>
      </c>
      <c r="P694">
        <v>369642.51</v>
      </c>
      <c r="Q694">
        <v>3</v>
      </c>
      <c r="R694">
        <v>172</v>
      </c>
      <c r="S694">
        <v>4.4000000000000004</v>
      </c>
      <c r="T694">
        <v>6</v>
      </c>
      <c r="U694">
        <v>2</v>
      </c>
    </row>
    <row r="695" spans="1:21" x14ac:dyDescent="0.3">
      <c r="A695" t="s">
        <v>802</v>
      </c>
      <c r="B695" s="2">
        <v>45789</v>
      </c>
      <c r="C695" t="s">
        <v>31</v>
      </c>
      <c r="D695" t="s">
        <v>97</v>
      </c>
      <c r="E695" t="s">
        <v>46</v>
      </c>
      <c r="F695" t="s">
        <v>41</v>
      </c>
      <c r="G695" t="s">
        <v>67</v>
      </c>
      <c r="H695" t="s">
        <v>27</v>
      </c>
      <c r="I695" t="s">
        <v>36</v>
      </c>
      <c r="J695" t="s">
        <v>175</v>
      </c>
      <c r="K695">
        <v>1</v>
      </c>
      <c r="L695">
        <v>132049</v>
      </c>
      <c r="M695">
        <v>2.1999999999999999E-2</v>
      </c>
      <c r="N695">
        <v>132049</v>
      </c>
      <c r="O695">
        <v>2905.08</v>
      </c>
      <c r="P695">
        <v>129143.92</v>
      </c>
      <c r="Q695">
        <v>2</v>
      </c>
      <c r="R695">
        <v>153</v>
      </c>
      <c r="S695">
        <v>4</v>
      </c>
      <c r="T695">
        <v>10</v>
      </c>
      <c r="U695">
        <v>3</v>
      </c>
    </row>
    <row r="696" spans="1:21" x14ac:dyDescent="0.3">
      <c r="A696" t="s">
        <v>803</v>
      </c>
      <c r="B696" s="2">
        <v>45912</v>
      </c>
      <c r="C696" t="s">
        <v>31</v>
      </c>
      <c r="D696" t="s">
        <v>32</v>
      </c>
      <c r="E696" t="s">
        <v>46</v>
      </c>
      <c r="F696" t="s">
        <v>80</v>
      </c>
      <c r="G696" t="s">
        <v>26</v>
      </c>
      <c r="H696" t="s">
        <v>35</v>
      </c>
      <c r="I696" t="s">
        <v>36</v>
      </c>
      <c r="J696" t="s">
        <v>203</v>
      </c>
      <c r="K696">
        <v>1</v>
      </c>
      <c r="L696">
        <v>111285</v>
      </c>
      <c r="M696">
        <v>7.4999999999999997E-2</v>
      </c>
      <c r="N696">
        <v>111285</v>
      </c>
      <c r="O696">
        <v>8346.3799999999992</v>
      </c>
      <c r="P696">
        <v>102938.62</v>
      </c>
      <c r="Q696">
        <v>4</v>
      </c>
      <c r="R696">
        <v>189</v>
      </c>
      <c r="S696">
        <v>4.0999999999999996</v>
      </c>
      <c r="T696">
        <v>10</v>
      </c>
      <c r="U696">
        <v>2</v>
      </c>
    </row>
    <row r="697" spans="1:21" x14ac:dyDescent="0.3">
      <c r="A697" t="s">
        <v>804</v>
      </c>
      <c r="B697" s="2">
        <v>45816</v>
      </c>
      <c r="C697" t="s">
        <v>76</v>
      </c>
      <c r="D697" t="s">
        <v>77</v>
      </c>
      <c r="E697" t="s">
        <v>62</v>
      </c>
      <c r="F697" t="s">
        <v>41</v>
      </c>
      <c r="G697" t="s">
        <v>34</v>
      </c>
      <c r="H697" t="s">
        <v>53</v>
      </c>
      <c r="I697" t="s">
        <v>28</v>
      </c>
      <c r="J697" t="s">
        <v>138</v>
      </c>
      <c r="K697">
        <v>1</v>
      </c>
      <c r="L697">
        <v>143215</v>
      </c>
      <c r="M697">
        <v>2.5999999999999999E-2</v>
      </c>
      <c r="N697">
        <v>143215</v>
      </c>
      <c r="O697">
        <v>3723.59</v>
      </c>
      <c r="P697">
        <v>139491.41</v>
      </c>
      <c r="Q697">
        <v>3</v>
      </c>
      <c r="R697">
        <v>163</v>
      </c>
      <c r="S697">
        <v>4.8</v>
      </c>
      <c r="T697">
        <v>7</v>
      </c>
      <c r="U697">
        <v>2</v>
      </c>
    </row>
    <row r="698" spans="1:21" x14ac:dyDescent="0.3">
      <c r="A698" t="s">
        <v>805</v>
      </c>
      <c r="B698" s="2">
        <v>45955</v>
      </c>
      <c r="C698" t="s">
        <v>76</v>
      </c>
      <c r="D698" t="s">
        <v>77</v>
      </c>
      <c r="E698" t="s">
        <v>24</v>
      </c>
      <c r="F698" t="s">
        <v>47</v>
      </c>
      <c r="G698" t="s">
        <v>67</v>
      </c>
      <c r="H698" t="s">
        <v>27</v>
      </c>
      <c r="I698" t="s">
        <v>63</v>
      </c>
      <c r="J698" t="s">
        <v>58</v>
      </c>
      <c r="K698">
        <v>2</v>
      </c>
      <c r="L698">
        <v>138328</v>
      </c>
      <c r="M698">
        <v>0.10100000000000001</v>
      </c>
      <c r="N698">
        <v>276656</v>
      </c>
      <c r="O698">
        <v>27942.26</v>
      </c>
      <c r="P698">
        <v>248713.74</v>
      </c>
      <c r="Q698">
        <v>3</v>
      </c>
      <c r="R698">
        <v>179</v>
      </c>
      <c r="S698">
        <v>4.5</v>
      </c>
      <c r="T698">
        <v>3</v>
      </c>
      <c r="U698">
        <v>5</v>
      </c>
    </row>
    <row r="699" spans="1:21" x14ac:dyDescent="0.3">
      <c r="A699" t="s">
        <v>806</v>
      </c>
      <c r="B699" s="2">
        <v>45727</v>
      </c>
      <c r="C699" t="s">
        <v>87</v>
      </c>
      <c r="D699" t="s">
        <v>130</v>
      </c>
      <c r="E699" t="s">
        <v>46</v>
      </c>
      <c r="F699" t="s">
        <v>25</v>
      </c>
      <c r="G699" t="s">
        <v>67</v>
      </c>
      <c r="H699" t="s">
        <v>53</v>
      </c>
      <c r="I699" t="s">
        <v>36</v>
      </c>
      <c r="J699" t="s">
        <v>95</v>
      </c>
      <c r="K699">
        <v>3</v>
      </c>
      <c r="L699">
        <v>106145</v>
      </c>
      <c r="M699">
        <v>0.11</v>
      </c>
      <c r="N699">
        <v>318435</v>
      </c>
      <c r="O699">
        <v>35027.85</v>
      </c>
      <c r="P699">
        <v>283407.15000000002</v>
      </c>
      <c r="Q699">
        <v>3</v>
      </c>
      <c r="R699">
        <v>173</v>
      </c>
      <c r="S699">
        <v>4</v>
      </c>
      <c r="T699">
        <v>12</v>
      </c>
      <c r="U699">
        <v>2</v>
      </c>
    </row>
    <row r="700" spans="1:21" x14ac:dyDescent="0.3">
      <c r="A700" t="s">
        <v>807</v>
      </c>
      <c r="B700" s="2">
        <v>45727</v>
      </c>
      <c r="C700" t="s">
        <v>87</v>
      </c>
      <c r="D700" t="s">
        <v>88</v>
      </c>
      <c r="E700" t="s">
        <v>24</v>
      </c>
      <c r="F700" t="s">
        <v>52</v>
      </c>
      <c r="G700" t="s">
        <v>56</v>
      </c>
      <c r="H700" t="s">
        <v>35</v>
      </c>
      <c r="I700" t="s">
        <v>57</v>
      </c>
      <c r="J700" t="s">
        <v>157</v>
      </c>
      <c r="K700">
        <v>1</v>
      </c>
      <c r="L700">
        <v>155154</v>
      </c>
      <c r="M700">
        <v>7.3999999999999996E-2</v>
      </c>
      <c r="N700">
        <v>155154</v>
      </c>
      <c r="O700">
        <v>11481.4</v>
      </c>
      <c r="P700">
        <v>143672.6</v>
      </c>
      <c r="Q700">
        <v>5</v>
      </c>
      <c r="R700">
        <v>204</v>
      </c>
      <c r="S700">
        <v>4.5</v>
      </c>
      <c r="T700">
        <v>4</v>
      </c>
      <c r="U700">
        <v>5</v>
      </c>
    </row>
    <row r="701" spans="1:21" x14ac:dyDescent="0.3">
      <c r="A701" t="s">
        <v>808</v>
      </c>
      <c r="B701" s="2">
        <v>45986</v>
      </c>
      <c r="C701" t="s">
        <v>44</v>
      </c>
      <c r="D701" t="s">
        <v>45</v>
      </c>
      <c r="E701" t="s">
        <v>62</v>
      </c>
      <c r="F701" t="s">
        <v>47</v>
      </c>
      <c r="G701" t="s">
        <v>56</v>
      </c>
      <c r="H701" t="s">
        <v>27</v>
      </c>
      <c r="I701" t="s">
        <v>28</v>
      </c>
      <c r="J701" t="s">
        <v>95</v>
      </c>
      <c r="K701">
        <v>3</v>
      </c>
      <c r="L701">
        <v>144415</v>
      </c>
      <c r="M701">
        <v>0.105</v>
      </c>
      <c r="N701">
        <v>433245</v>
      </c>
      <c r="O701">
        <v>45490.720000000001</v>
      </c>
      <c r="P701">
        <v>387754.28</v>
      </c>
      <c r="Q701">
        <v>4</v>
      </c>
      <c r="R701">
        <v>197</v>
      </c>
      <c r="S701">
        <v>4.0999999999999996</v>
      </c>
      <c r="T701">
        <v>7</v>
      </c>
      <c r="U701">
        <v>2</v>
      </c>
    </row>
    <row r="702" spans="1:21" x14ac:dyDescent="0.3">
      <c r="A702" t="s">
        <v>73</v>
      </c>
      <c r="B702" s="2">
        <v>45794</v>
      </c>
      <c r="C702" t="s">
        <v>22</v>
      </c>
      <c r="D702" t="s">
        <v>23</v>
      </c>
      <c r="E702" t="s">
        <v>46</v>
      </c>
      <c r="F702" t="s">
        <v>74</v>
      </c>
      <c r="G702" t="s">
        <v>26</v>
      </c>
      <c r="H702" t="s">
        <v>27</v>
      </c>
      <c r="I702" t="s">
        <v>48</v>
      </c>
      <c r="J702" t="s">
        <v>72</v>
      </c>
      <c r="K702">
        <v>1</v>
      </c>
      <c r="L702">
        <v>124432</v>
      </c>
      <c r="M702">
        <v>4.7E-2</v>
      </c>
      <c r="N702">
        <v>124432</v>
      </c>
      <c r="O702">
        <v>5848.3</v>
      </c>
      <c r="P702">
        <v>118583.7</v>
      </c>
      <c r="Q702">
        <v>3</v>
      </c>
      <c r="R702">
        <v>158</v>
      </c>
      <c r="S702">
        <v>3.8</v>
      </c>
      <c r="T702">
        <v>9</v>
      </c>
      <c r="U702">
        <v>2</v>
      </c>
    </row>
    <row r="703" spans="1:21" x14ac:dyDescent="0.3">
      <c r="A703" t="s">
        <v>176</v>
      </c>
      <c r="B703" s="2">
        <v>45962</v>
      </c>
      <c r="C703" t="s">
        <v>39</v>
      </c>
      <c r="D703" t="s">
        <v>40</v>
      </c>
      <c r="E703" t="s">
        <v>46</v>
      </c>
      <c r="F703" t="s">
        <v>74</v>
      </c>
      <c r="G703" t="s">
        <v>56</v>
      </c>
      <c r="H703" t="s">
        <v>53</v>
      </c>
      <c r="I703" t="s">
        <v>28</v>
      </c>
      <c r="J703" t="s">
        <v>89</v>
      </c>
      <c r="K703">
        <v>1</v>
      </c>
      <c r="L703">
        <v>134129</v>
      </c>
      <c r="M703">
        <v>6.5000000000000002E-2</v>
      </c>
      <c r="N703">
        <v>134129</v>
      </c>
      <c r="O703">
        <v>8718.39</v>
      </c>
      <c r="P703">
        <v>125410.61</v>
      </c>
      <c r="Q703">
        <v>3</v>
      </c>
      <c r="R703">
        <v>176</v>
      </c>
      <c r="S703">
        <v>4.2</v>
      </c>
      <c r="T703">
        <v>9</v>
      </c>
      <c r="U703">
        <v>5</v>
      </c>
    </row>
    <row r="704" spans="1:21" x14ac:dyDescent="0.3">
      <c r="A704" t="s">
        <v>257</v>
      </c>
      <c r="B704" s="2">
        <v>46021</v>
      </c>
      <c r="C704" t="s">
        <v>87</v>
      </c>
      <c r="D704" t="s">
        <v>88</v>
      </c>
      <c r="E704" t="s">
        <v>24</v>
      </c>
      <c r="F704" t="s">
        <v>70</v>
      </c>
      <c r="G704" t="s">
        <v>67</v>
      </c>
      <c r="H704" t="s">
        <v>35</v>
      </c>
      <c r="I704" t="s">
        <v>36</v>
      </c>
      <c r="J704" t="s">
        <v>212</v>
      </c>
      <c r="K704">
        <v>1</v>
      </c>
      <c r="L704">
        <v>141762</v>
      </c>
      <c r="M704">
        <v>4.8000000000000001E-2</v>
      </c>
      <c r="N704">
        <v>141762</v>
      </c>
      <c r="O704">
        <v>6804.58</v>
      </c>
      <c r="P704">
        <v>134957.42000000001</v>
      </c>
      <c r="Q704">
        <v>3</v>
      </c>
      <c r="R704">
        <v>151</v>
      </c>
      <c r="S704">
        <v>3.2</v>
      </c>
      <c r="T704">
        <v>10</v>
      </c>
      <c r="U704">
        <v>2</v>
      </c>
    </row>
    <row r="705" spans="1:21" x14ac:dyDescent="0.3">
      <c r="A705" t="s">
        <v>407</v>
      </c>
      <c r="B705" s="2">
        <v>45798</v>
      </c>
      <c r="C705" t="s">
        <v>22</v>
      </c>
      <c r="D705" t="s">
        <v>23</v>
      </c>
      <c r="E705" t="s">
        <v>24</v>
      </c>
      <c r="F705" t="s">
        <v>80</v>
      </c>
      <c r="G705" t="s">
        <v>34</v>
      </c>
      <c r="H705" t="s">
        <v>35</v>
      </c>
      <c r="I705" t="s">
        <v>57</v>
      </c>
      <c r="J705" t="s">
        <v>81</v>
      </c>
      <c r="K705">
        <v>1</v>
      </c>
      <c r="L705">
        <v>129197</v>
      </c>
      <c r="M705">
        <v>5.3999999999999999E-2</v>
      </c>
      <c r="N705">
        <v>129197</v>
      </c>
      <c r="O705">
        <v>6976.64</v>
      </c>
      <c r="P705">
        <v>122220.36</v>
      </c>
      <c r="Q705">
        <v>3</v>
      </c>
      <c r="R705">
        <v>155</v>
      </c>
      <c r="S705">
        <v>3.9</v>
      </c>
      <c r="T705">
        <v>4</v>
      </c>
      <c r="U705">
        <v>5</v>
      </c>
    </row>
    <row r="706" spans="1:21" x14ac:dyDescent="0.3">
      <c r="A706" t="s">
        <v>608</v>
      </c>
      <c r="B706" s="2">
        <v>45745</v>
      </c>
      <c r="C706" t="s">
        <v>44</v>
      </c>
      <c r="D706" t="s">
        <v>45</v>
      </c>
      <c r="E706" t="s">
        <v>46</v>
      </c>
      <c r="F706" t="s">
        <v>33</v>
      </c>
      <c r="G706" t="s">
        <v>26</v>
      </c>
      <c r="H706" t="s">
        <v>53</v>
      </c>
      <c r="I706" t="s">
        <v>36</v>
      </c>
      <c r="J706" t="s">
        <v>104</v>
      </c>
      <c r="K706">
        <v>1</v>
      </c>
      <c r="L706">
        <v>153296</v>
      </c>
      <c r="M706">
        <v>7.1999999999999995E-2</v>
      </c>
      <c r="N706">
        <v>153296</v>
      </c>
      <c r="O706">
        <v>11037.31</v>
      </c>
      <c r="P706">
        <v>142258.69</v>
      </c>
      <c r="Q706">
        <v>3</v>
      </c>
      <c r="R706">
        <v>165</v>
      </c>
      <c r="S706">
        <v>4</v>
      </c>
      <c r="T706">
        <v>2</v>
      </c>
      <c r="U70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2161-E77E-4588-976A-EC5E0E8CF1B3}">
  <dimension ref="A1:AB701"/>
  <sheetViews>
    <sheetView topLeftCell="T1" zoomScale="122" zoomScaleNormal="160" workbookViewId="0">
      <selection activeCell="B11" sqref="B11"/>
    </sheetView>
  </sheetViews>
  <sheetFormatPr defaultRowHeight="14.4" x14ac:dyDescent="0.3"/>
  <cols>
    <col min="1" max="1" width="10.44140625" customWidth="1"/>
    <col min="2" max="2" width="18.77734375" bestFit="1" customWidth="1"/>
    <col min="3" max="3" width="11.44140625" bestFit="1" customWidth="1"/>
    <col min="4" max="4" width="14.6640625" bestFit="1" customWidth="1"/>
    <col min="5" max="5" width="14.77734375" bestFit="1" customWidth="1"/>
    <col min="6" max="6" width="11.5546875" bestFit="1" customWidth="1"/>
    <col min="7" max="7" width="17.6640625" bestFit="1" customWidth="1"/>
    <col min="8" max="8" width="11.109375" bestFit="1" customWidth="1"/>
    <col min="9" max="9" width="11.109375" customWidth="1"/>
    <col min="10" max="10" width="15" customWidth="1"/>
    <col min="11" max="11" width="18.33203125" bestFit="1" customWidth="1"/>
    <col min="12" max="12" width="14.44140625" bestFit="1" customWidth="1"/>
    <col min="13" max="13" width="15.6640625" style="9" customWidth="1"/>
    <col min="14" max="15" width="11.88671875" customWidth="1"/>
    <col min="16" max="16" width="12.77734375" style="11" bestFit="1" customWidth="1"/>
    <col min="17" max="17" width="13.88671875" style="9" customWidth="1"/>
    <col min="18" max="18" width="12.6640625" style="9" customWidth="1"/>
    <col min="19" max="19" width="18.109375" customWidth="1"/>
    <col min="20" max="20" width="11.109375" customWidth="1"/>
    <col min="21" max="21" width="13.88671875" customWidth="1"/>
    <col min="22" max="22" width="11.77734375" customWidth="1"/>
    <col min="23" max="23" width="19.109375" bestFit="1" customWidth="1"/>
    <col min="24" max="24" width="17.33203125" customWidth="1"/>
    <col min="25" max="25" width="14.6640625" customWidth="1"/>
    <col min="26" max="26" width="16.21875" customWidth="1"/>
  </cols>
  <sheetData>
    <row r="1" spans="1:28" s="3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814</v>
      </c>
      <c r="J1" s="5" t="s">
        <v>8</v>
      </c>
      <c r="K1" s="5" t="s">
        <v>9</v>
      </c>
      <c r="L1" s="5" t="s">
        <v>10</v>
      </c>
      <c r="M1" s="8" t="s">
        <v>11</v>
      </c>
      <c r="N1" s="6" t="s">
        <v>12</v>
      </c>
      <c r="O1" s="6" t="s">
        <v>813</v>
      </c>
      <c r="P1" s="10" t="s">
        <v>13</v>
      </c>
      <c r="Q1" s="8" t="s">
        <v>14</v>
      </c>
      <c r="R1" s="8" t="s">
        <v>15</v>
      </c>
      <c r="S1" s="5" t="s">
        <v>16</v>
      </c>
      <c r="T1" s="5" t="s">
        <v>17</v>
      </c>
      <c r="U1" s="5" t="s">
        <v>18</v>
      </c>
      <c r="V1" s="5" t="s">
        <v>19</v>
      </c>
      <c r="W1" s="5" t="s">
        <v>815</v>
      </c>
      <c r="X1" s="5" t="s">
        <v>20</v>
      </c>
      <c r="Y1" s="5" t="s">
        <v>816</v>
      </c>
      <c r="Z1" s="5" t="s">
        <v>817</v>
      </c>
      <c r="AA1" s="5" t="s">
        <v>818</v>
      </c>
      <c r="AB1" s="5" t="s">
        <v>819</v>
      </c>
    </row>
    <row r="2" spans="1:28" x14ac:dyDescent="0.3">
      <c r="A2" t="s">
        <v>21</v>
      </c>
      <c r="B2" s="2">
        <v>46006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tr">
        <f>IF('Cleaned Data'!H2="Emi","EMI",'Cleaned Data'!H2)</f>
        <v>Finance</v>
      </c>
      <c r="J2" t="s">
        <v>28</v>
      </c>
      <c r="K2" t="s">
        <v>29</v>
      </c>
      <c r="L2">
        <v>1</v>
      </c>
      <c r="M2" s="9">
        <v>125898</v>
      </c>
      <c r="N2" s="4">
        <v>0.08</v>
      </c>
      <c r="O2" s="4">
        <f t="shared" ref="O2:O65" si="0">IF(TRIM(N2&amp;"")="","missing",N2)</f>
        <v>0.08</v>
      </c>
      <c r="P2" s="11">
        <v>125898</v>
      </c>
      <c r="Q2" s="9">
        <v>10071.84</v>
      </c>
      <c r="R2" s="9">
        <v>115826.16</v>
      </c>
      <c r="S2">
        <v>3</v>
      </c>
      <c r="T2">
        <v>162</v>
      </c>
      <c r="U2">
        <v>3.7</v>
      </c>
      <c r="V2">
        <v>6</v>
      </c>
      <c r="W2">
        <f>IF('Cleaned Data'!V2&lt;0,"Review",'Cleaned Data'!V2)</f>
        <v>6</v>
      </c>
      <c r="X2">
        <v>5</v>
      </c>
      <c r="Y2" s="7">
        <f>IFERROR('Cleaned Data'!R2/'Cleaned Data'!L2,0)</f>
        <v>115826.16</v>
      </c>
      <c r="Z2" t="str">
        <f>TEXT(EV_Sales[[#This Row],[Order_Date]],"mmm-yyyy")</f>
        <v>Dec-2025</v>
      </c>
      <c r="AA2">
        <f>MONTH(EV_Sales[[#This Row],[Order_Date]])</f>
        <v>12</v>
      </c>
      <c r="AB2" s="12" t="str">
        <f>"Q"&amp;ROUNDUP(MONTH(EV_Sales[[#This Row],[Order_Date]])/3,0)</f>
        <v>Q4</v>
      </c>
    </row>
    <row r="3" spans="1:28" x14ac:dyDescent="0.3">
      <c r="A3" t="s">
        <v>30</v>
      </c>
      <c r="B3" s="2">
        <v>45934</v>
      </c>
      <c r="C3" t="s">
        <v>31</v>
      </c>
      <c r="D3" t="s">
        <v>32</v>
      </c>
      <c r="E3" t="s">
        <v>24</v>
      </c>
      <c r="F3" t="s">
        <v>33</v>
      </c>
      <c r="G3" t="s">
        <v>34</v>
      </c>
      <c r="H3" t="s">
        <v>809</v>
      </c>
      <c r="I3" t="str">
        <f>IF('Cleaned Data'!H3="Emi","EMI",'Cleaned Data'!H3)</f>
        <v>EMI</v>
      </c>
      <c r="J3" t="s">
        <v>36</v>
      </c>
      <c r="K3" t="s">
        <v>37</v>
      </c>
      <c r="L3">
        <v>2</v>
      </c>
      <c r="M3" s="9">
        <v>112819</v>
      </c>
      <c r="N3" s="4">
        <v>2.1000000000000001E-2</v>
      </c>
      <c r="O3" s="4">
        <f t="shared" si="0"/>
        <v>2.1000000000000001E-2</v>
      </c>
      <c r="P3" s="11">
        <v>225638</v>
      </c>
      <c r="Q3" s="9">
        <v>4738.3999999999996</v>
      </c>
      <c r="R3" s="9">
        <v>220899.6</v>
      </c>
      <c r="S3">
        <v>2</v>
      </c>
      <c r="T3">
        <v>116</v>
      </c>
      <c r="U3">
        <v>4.4000000000000004</v>
      </c>
      <c r="V3">
        <v>13</v>
      </c>
      <c r="W3">
        <f>IF('Cleaned Data'!V3&lt;0,"Review",'Cleaned Data'!V3)</f>
        <v>13</v>
      </c>
      <c r="X3">
        <v>5</v>
      </c>
      <c r="Y3" s="7">
        <f>IFERROR('Cleaned Data'!R3/'Cleaned Data'!L3,0)</f>
        <v>110449.8</v>
      </c>
      <c r="Z3" t="str">
        <f>TEXT(EV_Sales[[#This Row],[Order_Date]],"mmm-yyyy")</f>
        <v>Oct-2025</v>
      </c>
      <c r="AA3">
        <f>MONTH(EV_Sales[[#This Row],[Order_Date]])</f>
        <v>10</v>
      </c>
      <c r="AB3" s="12" t="str">
        <f>"Q"&amp;ROUNDUP(MONTH(EV_Sales[[#This Row],[Order_Date]])/3,0)</f>
        <v>Q4</v>
      </c>
    </row>
    <row r="4" spans="1:28" x14ac:dyDescent="0.3">
      <c r="A4" t="s">
        <v>38</v>
      </c>
      <c r="B4" s="2">
        <v>45964</v>
      </c>
      <c r="C4" t="s">
        <v>39</v>
      </c>
      <c r="D4" t="s">
        <v>40</v>
      </c>
      <c r="E4" t="s">
        <v>24</v>
      </c>
      <c r="F4" t="s">
        <v>41</v>
      </c>
      <c r="G4" t="s">
        <v>34</v>
      </c>
      <c r="H4" t="s">
        <v>809</v>
      </c>
      <c r="I4" t="str">
        <f>IF('Cleaned Data'!H4="Emi","EMI",'Cleaned Data'!H4)</f>
        <v>EMI</v>
      </c>
      <c r="J4" t="s">
        <v>36</v>
      </c>
      <c r="K4" t="s">
        <v>42</v>
      </c>
      <c r="L4">
        <v>2</v>
      </c>
      <c r="M4" s="9">
        <v>125383</v>
      </c>
      <c r="N4" s="4">
        <v>2.1000000000000001E-2</v>
      </c>
      <c r="O4" s="4">
        <f t="shared" si="0"/>
        <v>2.1000000000000001E-2</v>
      </c>
      <c r="P4" s="11">
        <v>250766</v>
      </c>
      <c r="Q4" s="9">
        <v>5266.09</v>
      </c>
      <c r="R4" s="9">
        <v>245499.91</v>
      </c>
      <c r="S4">
        <v>5</v>
      </c>
      <c r="T4">
        <v>175</v>
      </c>
      <c r="U4">
        <v>4.5999999999999996</v>
      </c>
      <c r="V4">
        <v>11</v>
      </c>
      <c r="W4">
        <f>IF('Cleaned Data'!V4&lt;0,"Review",'Cleaned Data'!V4)</f>
        <v>11</v>
      </c>
      <c r="X4">
        <v>2</v>
      </c>
      <c r="Y4" s="7">
        <f>IFERROR('Cleaned Data'!R4/'Cleaned Data'!L4,0)</f>
        <v>122749.955</v>
      </c>
      <c r="Z4" t="str">
        <f>TEXT(EV_Sales[[#This Row],[Order_Date]],"mmm-yyyy")</f>
        <v>Nov-2025</v>
      </c>
      <c r="AA4">
        <f>MONTH(EV_Sales[[#This Row],[Order_Date]])</f>
        <v>11</v>
      </c>
      <c r="AB4" s="12" t="str">
        <f>"Q"&amp;ROUNDUP(MONTH(EV_Sales[[#This Row],[Order_Date]])/3,0)</f>
        <v>Q4</v>
      </c>
    </row>
    <row r="5" spans="1:28" x14ac:dyDescent="0.3">
      <c r="A5" t="s">
        <v>43</v>
      </c>
      <c r="B5" s="2">
        <v>45921</v>
      </c>
      <c r="C5" t="s">
        <v>44</v>
      </c>
      <c r="D5" t="s">
        <v>45</v>
      </c>
      <c r="E5" t="s">
        <v>46</v>
      </c>
      <c r="F5" t="s">
        <v>47</v>
      </c>
      <c r="G5" t="s">
        <v>26</v>
      </c>
      <c r="H5" t="s">
        <v>27</v>
      </c>
      <c r="I5" t="str">
        <f>IF('Cleaned Data'!H5="Emi","EMI",'Cleaned Data'!H5)</f>
        <v>Finance</v>
      </c>
      <c r="J5" t="s">
        <v>48</v>
      </c>
      <c r="K5" t="s">
        <v>49</v>
      </c>
      <c r="L5">
        <v>1</v>
      </c>
      <c r="M5" s="9">
        <v>160095</v>
      </c>
      <c r="N5" s="4">
        <v>4.5999999999999999E-2</v>
      </c>
      <c r="O5" s="4">
        <f t="shared" si="0"/>
        <v>4.5999999999999999E-2</v>
      </c>
      <c r="P5" s="11">
        <v>160095</v>
      </c>
      <c r="Q5" s="9">
        <v>7364.37</v>
      </c>
      <c r="R5" s="9">
        <v>152730.63</v>
      </c>
      <c r="S5">
        <v>4</v>
      </c>
      <c r="T5">
        <v>184</v>
      </c>
      <c r="U5">
        <v>3.2</v>
      </c>
      <c r="V5">
        <v>11</v>
      </c>
      <c r="W5">
        <f>IF('Cleaned Data'!V5&lt;0,"Review",'Cleaned Data'!V5)</f>
        <v>11</v>
      </c>
      <c r="X5">
        <v>3</v>
      </c>
      <c r="Y5" s="7">
        <f>IFERROR('Cleaned Data'!R5/'Cleaned Data'!L5,0)</f>
        <v>152730.63</v>
      </c>
      <c r="Z5" t="str">
        <f>TEXT(EV_Sales[[#This Row],[Order_Date]],"mmm-yyyy")</f>
        <v>Sep-2025</v>
      </c>
      <c r="AA5">
        <f>MONTH(EV_Sales[[#This Row],[Order_Date]])</f>
        <v>9</v>
      </c>
      <c r="AB5" s="12" t="str">
        <f>"Q"&amp;ROUNDUP(MONTH(EV_Sales[[#This Row],[Order_Date]])/3,0)</f>
        <v>Q3</v>
      </c>
    </row>
    <row r="6" spans="1:28" x14ac:dyDescent="0.3">
      <c r="A6" t="s">
        <v>50</v>
      </c>
      <c r="B6" s="2">
        <v>46008</v>
      </c>
      <c r="C6" t="s">
        <v>44</v>
      </c>
      <c r="D6" t="s">
        <v>51</v>
      </c>
      <c r="E6" t="s">
        <v>46</v>
      </c>
      <c r="F6" t="s">
        <v>52</v>
      </c>
      <c r="G6" t="s">
        <v>26</v>
      </c>
      <c r="H6" t="s">
        <v>53</v>
      </c>
      <c r="I6" t="str">
        <f>IF('Cleaned Data'!H6="Emi","EMI",'Cleaned Data'!H6)</f>
        <v>Cash</v>
      </c>
      <c r="J6" t="s">
        <v>36</v>
      </c>
      <c r="K6" t="s">
        <v>54</v>
      </c>
      <c r="L6">
        <v>4</v>
      </c>
      <c r="M6" s="9">
        <v>114286</v>
      </c>
      <c r="N6" s="4">
        <v>0.04</v>
      </c>
      <c r="O6" s="4">
        <f t="shared" si="0"/>
        <v>0.04</v>
      </c>
      <c r="P6" s="11">
        <v>457144</v>
      </c>
      <c r="Q6" s="9">
        <v>18285.759999999998</v>
      </c>
      <c r="R6" s="9">
        <v>438858.23999999999</v>
      </c>
      <c r="S6">
        <v>2</v>
      </c>
      <c r="T6">
        <v>133</v>
      </c>
      <c r="U6">
        <v>3.4</v>
      </c>
      <c r="V6">
        <v>3</v>
      </c>
      <c r="W6">
        <f>IF('Cleaned Data'!V6&lt;0,"Review",'Cleaned Data'!V6)</f>
        <v>3</v>
      </c>
      <c r="X6">
        <v>5</v>
      </c>
      <c r="Y6" s="7">
        <f>IFERROR('Cleaned Data'!R6/'Cleaned Data'!L6,0)</f>
        <v>109714.56</v>
      </c>
      <c r="Z6" t="str">
        <f>TEXT(EV_Sales[[#This Row],[Order_Date]],"mmm-yyyy")</f>
        <v>Dec-2025</v>
      </c>
      <c r="AA6">
        <f>MONTH(EV_Sales[[#This Row],[Order_Date]])</f>
        <v>12</v>
      </c>
      <c r="AB6" s="12" t="str">
        <f>"Q"&amp;ROUNDUP(MONTH(EV_Sales[[#This Row],[Order_Date]])/3,0)</f>
        <v>Q4</v>
      </c>
    </row>
    <row r="7" spans="1:28" x14ac:dyDescent="0.3">
      <c r="A7" t="s">
        <v>55</v>
      </c>
      <c r="B7" s="2">
        <v>45698</v>
      </c>
      <c r="C7" t="s">
        <v>44</v>
      </c>
      <c r="D7" t="s">
        <v>45</v>
      </c>
      <c r="E7" t="s">
        <v>46</v>
      </c>
      <c r="F7" t="s">
        <v>52</v>
      </c>
      <c r="G7" t="s">
        <v>56</v>
      </c>
      <c r="H7" t="s">
        <v>809</v>
      </c>
      <c r="I7" t="str">
        <f>IF('Cleaned Data'!H7="Emi","EMI",'Cleaned Data'!H7)</f>
        <v>EMI</v>
      </c>
      <c r="J7" t="s">
        <v>57</v>
      </c>
      <c r="K7" t="s">
        <v>58</v>
      </c>
      <c r="L7">
        <v>1</v>
      </c>
      <c r="M7" s="9">
        <v>144470</v>
      </c>
      <c r="N7" s="4">
        <v>2.1999999999999999E-2</v>
      </c>
      <c r="O7" s="4">
        <f t="shared" si="0"/>
        <v>2.1999999999999999E-2</v>
      </c>
      <c r="P7" s="11">
        <v>144470</v>
      </c>
      <c r="Q7" s="9">
        <v>3178.34</v>
      </c>
      <c r="R7" s="9">
        <v>141291.66</v>
      </c>
      <c r="S7">
        <v>3</v>
      </c>
      <c r="T7">
        <v>145</v>
      </c>
      <c r="U7">
        <v>3.7</v>
      </c>
      <c r="V7">
        <v>12</v>
      </c>
      <c r="W7">
        <f>IF('Cleaned Data'!V7&lt;0,"Review",'Cleaned Data'!V7)</f>
        <v>12</v>
      </c>
      <c r="X7">
        <v>5</v>
      </c>
      <c r="Y7" s="7">
        <f>IFERROR('Cleaned Data'!R7/'Cleaned Data'!L7,0)</f>
        <v>141291.66</v>
      </c>
      <c r="Z7" t="str">
        <f>TEXT(EV_Sales[[#This Row],[Order_Date]],"mmm-yyyy")</f>
        <v>Feb-2025</v>
      </c>
      <c r="AA7">
        <f>MONTH(EV_Sales[[#This Row],[Order_Date]])</f>
        <v>2</v>
      </c>
      <c r="AB7" s="12" t="str">
        <f>"Q"&amp;ROUNDUP(MONTH(EV_Sales[[#This Row],[Order_Date]])/3,0)</f>
        <v>Q1</v>
      </c>
    </row>
    <row r="8" spans="1:28" x14ac:dyDescent="0.3">
      <c r="A8" t="s">
        <v>59</v>
      </c>
      <c r="B8" s="2">
        <v>45888</v>
      </c>
      <c r="C8" t="s">
        <v>60</v>
      </c>
      <c r="D8" t="s">
        <v>61</v>
      </c>
      <c r="E8" t="s">
        <v>62</v>
      </c>
      <c r="F8" t="s">
        <v>52</v>
      </c>
      <c r="G8" t="s">
        <v>26</v>
      </c>
      <c r="H8" t="s">
        <v>809</v>
      </c>
      <c r="I8" t="str">
        <f>IF('Cleaned Data'!H8="Emi","EMI",'Cleaned Data'!H8)</f>
        <v>EMI</v>
      </c>
      <c r="J8" t="s">
        <v>63</v>
      </c>
      <c r="K8" t="s">
        <v>64</v>
      </c>
      <c r="L8">
        <v>2</v>
      </c>
      <c r="M8" s="9">
        <v>122830</v>
      </c>
      <c r="N8" s="4">
        <v>0.105</v>
      </c>
      <c r="O8" s="4">
        <f t="shared" si="0"/>
        <v>0.105</v>
      </c>
      <c r="P8" s="11">
        <v>245660</v>
      </c>
      <c r="Q8" s="9">
        <v>25794.3</v>
      </c>
      <c r="R8" s="9">
        <v>219865.7</v>
      </c>
      <c r="S8">
        <v>3</v>
      </c>
      <c r="T8">
        <v>161</v>
      </c>
      <c r="U8">
        <v>3.8</v>
      </c>
      <c r="V8">
        <v>9</v>
      </c>
      <c r="W8">
        <f>IF('Cleaned Data'!V8&lt;0,"Review",'Cleaned Data'!V8)</f>
        <v>9</v>
      </c>
      <c r="X8">
        <v>2</v>
      </c>
      <c r="Y8" s="7">
        <f>IFERROR('Cleaned Data'!R8/'Cleaned Data'!L8,0)</f>
        <v>109932.85</v>
      </c>
      <c r="Z8" t="str">
        <f>TEXT(EV_Sales[[#This Row],[Order_Date]],"mmm-yyyy")</f>
        <v>Aug-2025</v>
      </c>
      <c r="AA8">
        <f>MONTH(EV_Sales[[#This Row],[Order_Date]])</f>
        <v>8</v>
      </c>
      <c r="AB8" s="12" t="str">
        <f>"Q"&amp;ROUNDUP(MONTH(EV_Sales[[#This Row],[Order_Date]])/3,0)</f>
        <v>Q3</v>
      </c>
    </row>
    <row r="9" spans="1:28" x14ac:dyDescent="0.3">
      <c r="A9" t="s">
        <v>65</v>
      </c>
      <c r="B9" s="2">
        <v>45788</v>
      </c>
      <c r="C9" t="s">
        <v>39</v>
      </c>
      <c r="D9" t="s">
        <v>40</v>
      </c>
      <c r="E9" t="s">
        <v>62</v>
      </c>
      <c r="F9" t="s">
        <v>66</v>
      </c>
      <c r="G9" t="s">
        <v>67</v>
      </c>
      <c r="H9" t="s">
        <v>53</v>
      </c>
      <c r="I9" t="str">
        <f>IF('Cleaned Data'!H9="Emi","EMI",'Cleaned Data'!H9)</f>
        <v>Cash</v>
      </c>
      <c r="J9" t="s">
        <v>36</v>
      </c>
      <c r="K9" t="s">
        <v>49</v>
      </c>
      <c r="L9">
        <v>3</v>
      </c>
      <c r="M9" s="9">
        <v>127322</v>
      </c>
      <c r="N9" s="4">
        <v>9.7000000000000003E-2</v>
      </c>
      <c r="O9" s="4">
        <f t="shared" si="0"/>
        <v>9.7000000000000003E-2</v>
      </c>
      <c r="P9" s="11">
        <v>381966</v>
      </c>
      <c r="Q9" s="9">
        <v>37050.699999999997</v>
      </c>
      <c r="R9" s="9">
        <v>344915.3</v>
      </c>
      <c r="S9">
        <v>3</v>
      </c>
      <c r="T9">
        <v>132</v>
      </c>
      <c r="U9">
        <v>4.5</v>
      </c>
      <c r="V9">
        <v>11</v>
      </c>
      <c r="W9">
        <f>IF('Cleaned Data'!V9&lt;0,"Review",'Cleaned Data'!V9)</f>
        <v>11</v>
      </c>
      <c r="X9">
        <v>2</v>
      </c>
      <c r="Y9" s="7">
        <f>IFERROR('Cleaned Data'!R9/'Cleaned Data'!L9,0)</f>
        <v>114971.76666666666</v>
      </c>
      <c r="Z9" t="str">
        <f>TEXT(EV_Sales[[#This Row],[Order_Date]],"mmm-yyyy")</f>
        <v>May-2025</v>
      </c>
      <c r="AA9">
        <f>MONTH(EV_Sales[[#This Row],[Order_Date]])</f>
        <v>5</v>
      </c>
      <c r="AB9" s="12" t="str">
        <f>"Q"&amp;ROUNDUP(MONTH(EV_Sales[[#This Row],[Order_Date]])/3,0)</f>
        <v>Q2</v>
      </c>
    </row>
    <row r="10" spans="1:28" x14ac:dyDescent="0.3">
      <c r="A10" t="s">
        <v>68</v>
      </c>
      <c r="B10" s="2">
        <v>45888</v>
      </c>
      <c r="C10" t="s">
        <v>60</v>
      </c>
      <c r="D10" t="s">
        <v>69</v>
      </c>
      <c r="E10" t="s">
        <v>46</v>
      </c>
      <c r="F10" t="s">
        <v>70</v>
      </c>
      <c r="G10" t="s">
        <v>67</v>
      </c>
      <c r="H10" t="s">
        <v>27</v>
      </c>
      <c r="I10" t="str">
        <f>IF('Cleaned Data'!H10="Emi","EMI",'Cleaned Data'!H10)</f>
        <v>Finance</v>
      </c>
      <c r="J10" t="s">
        <v>36</v>
      </c>
      <c r="K10" t="s">
        <v>54</v>
      </c>
      <c r="L10">
        <v>1</v>
      </c>
      <c r="M10" s="9">
        <v>109806</v>
      </c>
      <c r="N10" s="4">
        <v>4.2999999999999997E-2</v>
      </c>
      <c r="O10" s="4">
        <f t="shared" si="0"/>
        <v>4.2999999999999997E-2</v>
      </c>
      <c r="P10" s="11">
        <v>109806</v>
      </c>
      <c r="Q10" s="9">
        <v>4721.66</v>
      </c>
      <c r="R10" s="9">
        <v>105084.34</v>
      </c>
      <c r="S10">
        <v>2</v>
      </c>
      <c r="T10">
        <v>136</v>
      </c>
      <c r="U10">
        <v>3.9</v>
      </c>
      <c r="V10">
        <v>3</v>
      </c>
      <c r="W10">
        <f>IF('Cleaned Data'!V10&lt;0,"Review",'Cleaned Data'!V10)</f>
        <v>3</v>
      </c>
      <c r="X10">
        <v>3</v>
      </c>
      <c r="Y10" s="7">
        <f>IFERROR('Cleaned Data'!R10/'Cleaned Data'!L10,0)</f>
        <v>105084.34</v>
      </c>
      <c r="Z10" t="str">
        <f>TEXT(EV_Sales[[#This Row],[Order_Date]],"mmm-yyyy")</f>
        <v>Aug-2025</v>
      </c>
      <c r="AA10">
        <f>MONTH(EV_Sales[[#This Row],[Order_Date]])</f>
        <v>8</v>
      </c>
      <c r="AB10" s="12" t="str">
        <f>"Q"&amp;ROUNDUP(MONTH(EV_Sales[[#This Row],[Order_Date]])/3,0)</f>
        <v>Q3</v>
      </c>
    </row>
    <row r="11" spans="1:28" x14ac:dyDescent="0.3">
      <c r="A11" t="s">
        <v>71</v>
      </c>
      <c r="B11" s="2">
        <v>45997</v>
      </c>
      <c r="C11" t="s">
        <v>44</v>
      </c>
      <c r="D11" t="s">
        <v>51</v>
      </c>
      <c r="E11" t="s">
        <v>24</v>
      </c>
      <c r="F11" t="s">
        <v>70</v>
      </c>
      <c r="G11" t="s">
        <v>34</v>
      </c>
      <c r="H11" t="s">
        <v>53</v>
      </c>
      <c r="I11" t="str">
        <f>IF('Cleaned Data'!H11="Emi","EMI",'Cleaned Data'!H11)</f>
        <v>Cash</v>
      </c>
      <c r="J11" t="s">
        <v>57</v>
      </c>
      <c r="K11" t="s">
        <v>72</v>
      </c>
      <c r="L11">
        <v>4</v>
      </c>
      <c r="M11" s="9">
        <v>121860</v>
      </c>
      <c r="N11" s="4">
        <v>0.10100000000000001</v>
      </c>
      <c r="O11" s="4">
        <f t="shared" si="0"/>
        <v>0.10100000000000001</v>
      </c>
      <c r="P11" s="11">
        <v>487440</v>
      </c>
      <c r="Q11" s="9">
        <v>49231.44</v>
      </c>
      <c r="R11" s="9">
        <v>438208.56</v>
      </c>
      <c r="S11">
        <v>5</v>
      </c>
      <c r="T11">
        <v>191</v>
      </c>
      <c r="U11">
        <v>4</v>
      </c>
      <c r="V11">
        <v>10</v>
      </c>
      <c r="W11">
        <f>IF('Cleaned Data'!V11&lt;0,"Review",'Cleaned Data'!V11)</f>
        <v>10</v>
      </c>
      <c r="X11">
        <v>5</v>
      </c>
      <c r="Y11" s="7">
        <f>IFERROR('Cleaned Data'!R11/'Cleaned Data'!L11,0)</f>
        <v>109552.14</v>
      </c>
      <c r="Z11" t="str">
        <f>TEXT(EV_Sales[[#This Row],[Order_Date]],"mmm-yyyy")</f>
        <v>Dec-2025</v>
      </c>
      <c r="AA11">
        <f>MONTH(EV_Sales[[#This Row],[Order_Date]])</f>
        <v>12</v>
      </c>
      <c r="AB11" s="12" t="str">
        <f>"Q"&amp;ROUNDUP(MONTH(EV_Sales[[#This Row],[Order_Date]])/3,0)</f>
        <v>Q4</v>
      </c>
    </row>
    <row r="12" spans="1:28" x14ac:dyDescent="0.3">
      <c r="A12" t="s">
        <v>73</v>
      </c>
      <c r="B12" s="2">
        <v>45794</v>
      </c>
      <c r="C12" t="s">
        <v>22</v>
      </c>
      <c r="D12" t="s">
        <v>23</v>
      </c>
      <c r="E12" t="s">
        <v>46</v>
      </c>
      <c r="F12" t="s">
        <v>74</v>
      </c>
      <c r="G12" t="s">
        <v>26</v>
      </c>
      <c r="H12" t="s">
        <v>27</v>
      </c>
      <c r="I12" t="str">
        <f>IF('Cleaned Data'!H12="Emi","EMI",'Cleaned Data'!H12)</f>
        <v>Finance</v>
      </c>
      <c r="J12" t="s">
        <v>48</v>
      </c>
      <c r="K12" t="s">
        <v>72</v>
      </c>
      <c r="L12">
        <v>1</v>
      </c>
      <c r="M12" s="9">
        <v>124432</v>
      </c>
      <c r="N12" s="4">
        <v>4.7E-2</v>
      </c>
      <c r="O12" s="4">
        <f t="shared" si="0"/>
        <v>4.7E-2</v>
      </c>
      <c r="P12" s="11">
        <v>124432</v>
      </c>
      <c r="Q12" s="9">
        <v>5848.3</v>
      </c>
      <c r="R12" s="9">
        <v>118583.7</v>
      </c>
      <c r="S12">
        <v>3</v>
      </c>
      <c r="T12">
        <v>158</v>
      </c>
      <c r="U12">
        <v>3.8</v>
      </c>
      <c r="V12">
        <v>9</v>
      </c>
      <c r="W12">
        <f>IF('Cleaned Data'!V12&lt;0,"Review",'Cleaned Data'!V12)</f>
        <v>9</v>
      </c>
      <c r="X12">
        <v>2</v>
      </c>
      <c r="Y12" s="7">
        <f>IFERROR('Cleaned Data'!R12/'Cleaned Data'!L12,0)</f>
        <v>118583.7</v>
      </c>
      <c r="Z12" t="str">
        <f>TEXT(EV_Sales[[#This Row],[Order_Date]],"mmm-yyyy")</f>
        <v>May-2025</v>
      </c>
      <c r="AA12">
        <f>MONTH(EV_Sales[[#This Row],[Order_Date]])</f>
        <v>5</v>
      </c>
      <c r="AB12" s="12" t="str">
        <f>"Q"&amp;ROUNDUP(MONTH(EV_Sales[[#This Row],[Order_Date]])/3,0)</f>
        <v>Q2</v>
      </c>
    </row>
    <row r="13" spans="1:28" x14ac:dyDescent="0.3">
      <c r="A13" t="s">
        <v>75</v>
      </c>
      <c r="B13" s="2">
        <v>45770</v>
      </c>
      <c r="C13" t="s">
        <v>76</v>
      </c>
      <c r="D13" t="s">
        <v>77</v>
      </c>
      <c r="E13" t="s">
        <v>24</v>
      </c>
      <c r="F13" t="s">
        <v>47</v>
      </c>
      <c r="G13" t="s">
        <v>67</v>
      </c>
      <c r="H13" t="s">
        <v>27</v>
      </c>
      <c r="I13" t="str">
        <f>IF('Cleaned Data'!H13="Emi","EMI",'Cleaned Data'!H13)</f>
        <v>Finance</v>
      </c>
      <c r="J13" t="s">
        <v>28</v>
      </c>
      <c r="K13" t="s">
        <v>78</v>
      </c>
      <c r="L13">
        <v>5</v>
      </c>
      <c r="M13" s="9">
        <v>141715</v>
      </c>
      <c r="N13" s="4">
        <v>0.11799999999999999</v>
      </c>
      <c r="O13" s="4">
        <f t="shared" si="0"/>
        <v>0.11799999999999999</v>
      </c>
      <c r="P13" s="11">
        <v>708575</v>
      </c>
      <c r="Q13" s="9">
        <v>83611.850000000006</v>
      </c>
      <c r="R13" s="9">
        <v>624963.15</v>
      </c>
      <c r="S13">
        <v>3</v>
      </c>
      <c r="T13">
        <v>163</v>
      </c>
      <c r="U13">
        <v>4</v>
      </c>
      <c r="V13">
        <v>2</v>
      </c>
      <c r="W13">
        <f>IF('Cleaned Data'!V13&lt;0,"Review",'Cleaned Data'!V13)</f>
        <v>2</v>
      </c>
      <c r="X13">
        <v>5</v>
      </c>
      <c r="Y13" s="7">
        <f>IFERROR('Cleaned Data'!R13/'Cleaned Data'!L13,0)</f>
        <v>124992.63</v>
      </c>
      <c r="Z13" t="str">
        <f>TEXT(EV_Sales[[#This Row],[Order_Date]],"mmm-yyyy")</f>
        <v>Apr-2025</v>
      </c>
      <c r="AA13">
        <f>MONTH(EV_Sales[[#This Row],[Order_Date]])</f>
        <v>4</v>
      </c>
      <c r="AB13" s="12" t="str">
        <f>"Q"&amp;ROUNDUP(MONTH(EV_Sales[[#This Row],[Order_Date]])/3,0)</f>
        <v>Q2</v>
      </c>
    </row>
    <row r="14" spans="1:28" x14ac:dyDescent="0.3">
      <c r="A14" t="s">
        <v>79</v>
      </c>
      <c r="B14" s="2">
        <v>45860</v>
      </c>
      <c r="C14" t="s">
        <v>44</v>
      </c>
      <c r="D14" t="s">
        <v>45</v>
      </c>
      <c r="E14" t="s">
        <v>62</v>
      </c>
      <c r="F14" t="s">
        <v>80</v>
      </c>
      <c r="G14" t="s">
        <v>34</v>
      </c>
      <c r="H14" t="s">
        <v>53</v>
      </c>
      <c r="I14" t="str">
        <f>IF('Cleaned Data'!H14="Emi","EMI",'Cleaned Data'!H14)</f>
        <v>Cash</v>
      </c>
      <c r="J14" t="s">
        <v>63</v>
      </c>
      <c r="K14" t="s">
        <v>81</v>
      </c>
      <c r="L14">
        <v>1</v>
      </c>
      <c r="M14" s="9">
        <v>146085</v>
      </c>
      <c r="N14" s="4">
        <v>0.1</v>
      </c>
      <c r="O14" s="4">
        <f t="shared" si="0"/>
        <v>0.1</v>
      </c>
      <c r="P14" s="11">
        <v>146085</v>
      </c>
      <c r="Q14" s="9">
        <v>14608.5</v>
      </c>
      <c r="R14" s="9">
        <v>131476.5</v>
      </c>
      <c r="S14">
        <v>3</v>
      </c>
      <c r="T14">
        <v>163</v>
      </c>
      <c r="U14">
        <v>4.2</v>
      </c>
      <c r="V14">
        <v>2</v>
      </c>
      <c r="W14">
        <f>IF('Cleaned Data'!V14&lt;0,"Review",'Cleaned Data'!V14)</f>
        <v>2</v>
      </c>
      <c r="X14">
        <v>2</v>
      </c>
      <c r="Y14" s="7">
        <f>IFERROR('Cleaned Data'!R14/'Cleaned Data'!L14,0)</f>
        <v>131476.5</v>
      </c>
      <c r="Z14" t="str">
        <f>TEXT(EV_Sales[[#This Row],[Order_Date]],"mmm-yyyy")</f>
        <v>Jul-2025</v>
      </c>
      <c r="AA14">
        <f>MONTH(EV_Sales[[#This Row],[Order_Date]])</f>
        <v>7</v>
      </c>
      <c r="AB14" s="12" t="str">
        <f>"Q"&amp;ROUNDUP(MONTH(EV_Sales[[#This Row],[Order_Date]])/3,0)</f>
        <v>Q3</v>
      </c>
    </row>
    <row r="15" spans="1:28" x14ac:dyDescent="0.3">
      <c r="A15" t="s">
        <v>82</v>
      </c>
      <c r="B15" s="2">
        <v>46003</v>
      </c>
      <c r="C15" t="s">
        <v>44</v>
      </c>
      <c r="D15" t="s">
        <v>45</v>
      </c>
      <c r="E15" t="s">
        <v>62</v>
      </c>
      <c r="F15" t="s">
        <v>70</v>
      </c>
      <c r="G15" t="s">
        <v>67</v>
      </c>
      <c r="H15" t="s">
        <v>27</v>
      </c>
      <c r="I15" t="str">
        <f>IF('Cleaned Data'!H15="Emi","EMI",'Cleaned Data'!H15)</f>
        <v>Finance</v>
      </c>
      <c r="J15" t="s">
        <v>28</v>
      </c>
      <c r="K15" t="s">
        <v>83</v>
      </c>
      <c r="L15">
        <v>2</v>
      </c>
      <c r="M15" s="9">
        <v>145756</v>
      </c>
      <c r="N15" s="4">
        <v>8.5000000000000006E-2</v>
      </c>
      <c r="O15" s="4">
        <f t="shared" si="0"/>
        <v>8.5000000000000006E-2</v>
      </c>
      <c r="P15" s="11">
        <v>291512</v>
      </c>
      <c r="Q15" s="9">
        <v>24778.52</v>
      </c>
      <c r="R15" s="9">
        <v>266733.48</v>
      </c>
      <c r="S15">
        <v>3</v>
      </c>
      <c r="T15">
        <v>152</v>
      </c>
      <c r="U15">
        <v>4.8</v>
      </c>
      <c r="V15">
        <v>3</v>
      </c>
      <c r="W15">
        <f>IF('Cleaned Data'!V15&lt;0,"Review",'Cleaned Data'!V15)</f>
        <v>3</v>
      </c>
      <c r="X15">
        <v>2</v>
      </c>
      <c r="Y15" s="7">
        <f>IFERROR('Cleaned Data'!R15/'Cleaned Data'!L15,0)</f>
        <v>133366.74</v>
      </c>
      <c r="Z15" t="str">
        <f>TEXT(EV_Sales[[#This Row],[Order_Date]],"mmm-yyyy")</f>
        <v>Dec-2025</v>
      </c>
      <c r="AA15">
        <f>MONTH(EV_Sales[[#This Row],[Order_Date]])</f>
        <v>12</v>
      </c>
      <c r="AB15" s="12" t="str">
        <f>"Q"&amp;ROUNDUP(MONTH(EV_Sales[[#This Row],[Order_Date]])/3,0)</f>
        <v>Q4</v>
      </c>
    </row>
    <row r="16" spans="1:28" x14ac:dyDescent="0.3">
      <c r="A16" t="s">
        <v>84</v>
      </c>
      <c r="B16" s="2">
        <v>45909</v>
      </c>
      <c r="C16" t="s">
        <v>39</v>
      </c>
      <c r="D16" t="s">
        <v>40</v>
      </c>
      <c r="E16" t="s">
        <v>46</v>
      </c>
      <c r="F16" t="s">
        <v>33</v>
      </c>
      <c r="G16" t="s">
        <v>56</v>
      </c>
      <c r="H16" t="s">
        <v>809</v>
      </c>
      <c r="I16" t="str">
        <f>IF('Cleaned Data'!H16="Emi","EMI",'Cleaned Data'!H16)</f>
        <v>EMI</v>
      </c>
      <c r="J16" t="s">
        <v>36</v>
      </c>
      <c r="K16" t="s">
        <v>85</v>
      </c>
      <c r="L16">
        <v>1</v>
      </c>
      <c r="M16" s="9">
        <v>134687</v>
      </c>
      <c r="N16" s="4">
        <v>7.1999999999999995E-2</v>
      </c>
      <c r="O16" s="4">
        <f t="shared" si="0"/>
        <v>7.1999999999999995E-2</v>
      </c>
      <c r="P16" s="11">
        <v>134687</v>
      </c>
      <c r="Q16" s="9">
        <v>9697.4599999999991</v>
      </c>
      <c r="R16" s="9">
        <v>124989.54</v>
      </c>
      <c r="S16">
        <v>3</v>
      </c>
      <c r="T16">
        <v>176</v>
      </c>
      <c r="U16">
        <v>4.2</v>
      </c>
      <c r="V16">
        <v>8</v>
      </c>
      <c r="W16">
        <f>IF('Cleaned Data'!V16&lt;0,"Review",'Cleaned Data'!V16)</f>
        <v>8</v>
      </c>
      <c r="X16">
        <v>2</v>
      </c>
      <c r="Y16" s="7">
        <f>IFERROR('Cleaned Data'!R16/'Cleaned Data'!L16,0)</f>
        <v>124989.54</v>
      </c>
      <c r="Z16" t="str">
        <f>TEXT(EV_Sales[[#This Row],[Order_Date]],"mmm-yyyy")</f>
        <v>Sep-2025</v>
      </c>
      <c r="AA16">
        <f>MONTH(EV_Sales[[#This Row],[Order_Date]])</f>
        <v>9</v>
      </c>
      <c r="AB16" s="12" t="str">
        <f>"Q"&amp;ROUNDUP(MONTH(EV_Sales[[#This Row],[Order_Date]])/3,0)</f>
        <v>Q3</v>
      </c>
    </row>
    <row r="17" spans="1:28" x14ac:dyDescent="0.3">
      <c r="A17" t="s">
        <v>86</v>
      </c>
      <c r="B17" s="2">
        <v>45818</v>
      </c>
      <c r="C17" t="s">
        <v>87</v>
      </c>
      <c r="D17" t="s">
        <v>88</v>
      </c>
      <c r="E17" t="s">
        <v>24</v>
      </c>
      <c r="F17" t="s">
        <v>47</v>
      </c>
      <c r="G17" t="s">
        <v>26</v>
      </c>
      <c r="H17" t="s">
        <v>27</v>
      </c>
      <c r="I17" t="str">
        <f>IF('Cleaned Data'!H17="Emi","EMI",'Cleaned Data'!H17)</f>
        <v>Finance</v>
      </c>
      <c r="J17" t="s">
        <v>63</v>
      </c>
      <c r="K17" t="s">
        <v>89</v>
      </c>
      <c r="L17">
        <v>2</v>
      </c>
      <c r="M17" s="9">
        <v>142766</v>
      </c>
      <c r="N17" s="4">
        <v>3.5999999999999997E-2</v>
      </c>
      <c r="O17" s="4">
        <f t="shared" si="0"/>
        <v>3.5999999999999997E-2</v>
      </c>
      <c r="P17" s="11">
        <v>285532</v>
      </c>
      <c r="Q17" s="9">
        <v>10279.15</v>
      </c>
      <c r="R17" s="9">
        <v>275252.84999999998</v>
      </c>
      <c r="S17">
        <v>5</v>
      </c>
      <c r="T17">
        <v>203</v>
      </c>
      <c r="U17">
        <v>3.8</v>
      </c>
      <c r="V17">
        <v>14</v>
      </c>
      <c r="W17">
        <f>IF('Cleaned Data'!V17&lt;0,"Review",'Cleaned Data'!V17)</f>
        <v>14</v>
      </c>
      <c r="X17">
        <v>3</v>
      </c>
      <c r="Y17" s="7">
        <f>IFERROR('Cleaned Data'!R17/'Cleaned Data'!L17,0)</f>
        <v>137626.42499999999</v>
      </c>
      <c r="Z17" t="str">
        <f>TEXT(EV_Sales[[#This Row],[Order_Date]],"mmm-yyyy")</f>
        <v>Jun-2025</v>
      </c>
      <c r="AA17">
        <f>MONTH(EV_Sales[[#This Row],[Order_Date]])</f>
        <v>6</v>
      </c>
      <c r="AB17" s="12" t="str">
        <f>"Q"&amp;ROUNDUP(MONTH(EV_Sales[[#This Row],[Order_Date]])/3,0)</f>
        <v>Q2</v>
      </c>
    </row>
    <row r="18" spans="1:28" x14ac:dyDescent="0.3">
      <c r="A18" t="s">
        <v>90</v>
      </c>
      <c r="B18" s="2">
        <v>45818</v>
      </c>
      <c r="C18" t="s">
        <v>60</v>
      </c>
      <c r="D18" t="s">
        <v>69</v>
      </c>
      <c r="E18" t="s">
        <v>62</v>
      </c>
      <c r="F18" t="s">
        <v>80</v>
      </c>
      <c r="G18" t="s">
        <v>56</v>
      </c>
      <c r="H18" t="s">
        <v>27</v>
      </c>
      <c r="I18" t="str">
        <f>IF('Cleaned Data'!H18="Emi","EMI",'Cleaned Data'!H18)</f>
        <v>Finance</v>
      </c>
      <c r="J18" t="s">
        <v>28</v>
      </c>
      <c r="K18" t="s">
        <v>49</v>
      </c>
      <c r="L18">
        <v>1</v>
      </c>
      <c r="M18" s="9">
        <v>105960</v>
      </c>
      <c r="N18" s="4">
        <v>3.7999999999999999E-2</v>
      </c>
      <c r="O18" s="4">
        <f t="shared" si="0"/>
        <v>3.7999999999999999E-2</v>
      </c>
      <c r="P18" s="11">
        <v>105960</v>
      </c>
      <c r="Q18" s="9">
        <v>4026.48</v>
      </c>
      <c r="R18" s="9">
        <v>101933.52</v>
      </c>
      <c r="S18">
        <v>3</v>
      </c>
      <c r="T18">
        <v>174</v>
      </c>
      <c r="U18">
        <v>4.5</v>
      </c>
      <c r="V18">
        <v>2</v>
      </c>
      <c r="W18">
        <f>IF('Cleaned Data'!V18&lt;0,"Review",'Cleaned Data'!V18)</f>
        <v>2</v>
      </c>
      <c r="X18">
        <v>5</v>
      </c>
      <c r="Y18" s="7">
        <f>IFERROR('Cleaned Data'!R18/'Cleaned Data'!L18,0)</f>
        <v>101933.52</v>
      </c>
      <c r="Z18" t="str">
        <f>TEXT(EV_Sales[[#This Row],[Order_Date]],"mmm-yyyy")</f>
        <v>Jun-2025</v>
      </c>
      <c r="AA18">
        <f>MONTH(EV_Sales[[#This Row],[Order_Date]])</f>
        <v>6</v>
      </c>
      <c r="AB18" s="12" t="str">
        <f>"Q"&amp;ROUNDUP(MONTH(EV_Sales[[#This Row],[Order_Date]])/3,0)</f>
        <v>Q2</v>
      </c>
    </row>
    <row r="19" spans="1:28" x14ac:dyDescent="0.3">
      <c r="A19" t="s">
        <v>91</v>
      </c>
      <c r="B19" s="2">
        <v>46022</v>
      </c>
      <c r="C19" t="s">
        <v>87</v>
      </c>
      <c r="D19" t="s">
        <v>88</v>
      </c>
      <c r="E19" t="s">
        <v>46</v>
      </c>
      <c r="F19" t="s">
        <v>33</v>
      </c>
      <c r="G19" t="s">
        <v>34</v>
      </c>
      <c r="H19" t="s">
        <v>809</v>
      </c>
      <c r="I19" t="str">
        <f>IF('Cleaned Data'!H19="Emi","EMI",'Cleaned Data'!H19)</f>
        <v>EMI</v>
      </c>
      <c r="J19" t="s">
        <v>57</v>
      </c>
      <c r="K19" t="s">
        <v>92</v>
      </c>
      <c r="L19">
        <v>1</v>
      </c>
      <c r="M19" s="9">
        <v>160028</v>
      </c>
      <c r="N19" s="4">
        <v>6.3E-2</v>
      </c>
      <c r="O19" s="4">
        <f t="shared" si="0"/>
        <v>6.3E-2</v>
      </c>
      <c r="P19" s="11">
        <v>160028</v>
      </c>
      <c r="Q19" s="9">
        <v>10081.76</v>
      </c>
      <c r="R19" s="9">
        <v>149946.23999999999</v>
      </c>
      <c r="S19">
        <v>3</v>
      </c>
      <c r="T19">
        <v>180</v>
      </c>
      <c r="U19">
        <v>4.5999999999999996</v>
      </c>
      <c r="V19">
        <v>2</v>
      </c>
      <c r="W19">
        <f>IF('Cleaned Data'!V19&lt;0,"Review",'Cleaned Data'!V19)</f>
        <v>2</v>
      </c>
      <c r="X19">
        <v>2</v>
      </c>
      <c r="Y19" s="7">
        <f>IFERROR('Cleaned Data'!R19/'Cleaned Data'!L19,0)</f>
        <v>149946.23999999999</v>
      </c>
      <c r="Z19" t="str">
        <f>TEXT(EV_Sales[[#This Row],[Order_Date]],"mmm-yyyy")</f>
        <v>Dec-2025</v>
      </c>
      <c r="AA19">
        <f>MONTH(EV_Sales[[#This Row],[Order_Date]])</f>
        <v>12</v>
      </c>
      <c r="AB19" s="12" t="str">
        <f>"Q"&amp;ROUNDUP(MONTH(EV_Sales[[#This Row],[Order_Date]])/3,0)</f>
        <v>Q4</v>
      </c>
    </row>
    <row r="20" spans="1:28" x14ac:dyDescent="0.3">
      <c r="A20" t="s">
        <v>93</v>
      </c>
      <c r="B20" s="2">
        <v>45815</v>
      </c>
      <c r="C20" t="s">
        <v>44</v>
      </c>
      <c r="D20" t="s">
        <v>51</v>
      </c>
      <c r="E20" t="s">
        <v>62</v>
      </c>
      <c r="F20" t="s">
        <v>74</v>
      </c>
      <c r="G20" t="s">
        <v>34</v>
      </c>
      <c r="H20" t="s">
        <v>809</v>
      </c>
      <c r="I20" t="str">
        <f>IF('Cleaned Data'!H20="Emi","EMI",'Cleaned Data'!H20)</f>
        <v>EMI</v>
      </c>
      <c r="J20" t="s">
        <v>94</v>
      </c>
      <c r="K20" t="s">
        <v>95</v>
      </c>
      <c r="L20">
        <v>5</v>
      </c>
      <c r="M20" s="9">
        <v>128169</v>
      </c>
      <c r="N20" s="4">
        <v>5.7000000000000002E-2</v>
      </c>
      <c r="O20" s="4">
        <f t="shared" si="0"/>
        <v>5.7000000000000002E-2</v>
      </c>
      <c r="P20" s="11">
        <v>640845</v>
      </c>
      <c r="Q20" s="9">
        <v>36528.17</v>
      </c>
      <c r="R20" s="9">
        <v>604316.82999999996</v>
      </c>
      <c r="S20">
        <v>2</v>
      </c>
      <c r="T20">
        <v>144</v>
      </c>
      <c r="U20">
        <v>4.4000000000000004</v>
      </c>
      <c r="V20">
        <v>6</v>
      </c>
      <c r="W20">
        <f>IF('Cleaned Data'!V20&lt;0,"Review",'Cleaned Data'!V20)</f>
        <v>6</v>
      </c>
      <c r="X20">
        <v>5</v>
      </c>
      <c r="Y20" s="7">
        <f>IFERROR('Cleaned Data'!R20/'Cleaned Data'!L20,0)</f>
        <v>120863.36599999999</v>
      </c>
      <c r="Z20" t="str">
        <f>TEXT(EV_Sales[[#This Row],[Order_Date]],"mmm-yyyy")</f>
        <v>Jun-2025</v>
      </c>
      <c r="AA20">
        <f>MONTH(EV_Sales[[#This Row],[Order_Date]])</f>
        <v>6</v>
      </c>
      <c r="AB20" s="12" t="str">
        <f>"Q"&amp;ROUNDUP(MONTH(EV_Sales[[#This Row],[Order_Date]])/3,0)</f>
        <v>Q2</v>
      </c>
    </row>
    <row r="21" spans="1:28" x14ac:dyDescent="0.3">
      <c r="A21" t="s">
        <v>96</v>
      </c>
      <c r="B21" s="2">
        <v>45818</v>
      </c>
      <c r="C21" t="s">
        <v>31</v>
      </c>
      <c r="D21" t="s">
        <v>97</v>
      </c>
      <c r="E21" t="s">
        <v>62</v>
      </c>
      <c r="F21" t="s">
        <v>80</v>
      </c>
      <c r="G21" t="s">
        <v>56</v>
      </c>
      <c r="H21" t="s">
        <v>27</v>
      </c>
      <c r="I21" t="str">
        <f>IF('Cleaned Data'!H21="Emi","EMI",'Cleaned Data'!H21)</f>
        <v>Finance</v>
      </c>
      <c r="J21" t="s">
        <v>63</v>
      </c>
      <c r="K21" t="s">
        <v>83</v>
      </c>
      <c r="L21">
        <v>1</v>
      </c>
      <c r="M21" s="9">
        <v>125284</v>
      </c>
      <c r="N21" s="4">
        <v>7.5999999999999998E-2</v>
      </c>
      <c r="O21" s="4">
        <f t="shared" si="0"/>
        <v>7.5999999999999998E-2</v>
      </c>
      <c r="P21" s="11">
        <v>125284</v>
      </c>
      <c r="Q21" s="9">
        <v>9521.58</v>
      </c>
      <c r="R21" s="9">
        <v>115762.42</v>
      </c>
      <c r="S21">
        <v>5</v>
      </c>
      <c r="T21">
        <v>207</v>
      </c>
      <c r="U21">
        <v>4.9000000000000004</v>
      </c>
      <c r="V21">
        <v>9</v>
      </c>
      <c r="W21">
        <f>IF('Cleaned Data'!V21&lt;0,"Review",'Cleaned Data'!V21)</f>
        <v>9</v>
      </c>
      <c r="X21">
        <v>3</v>
      </c>
      <c r="Y21" s="7">
        <f>IFERROR('Cleaned Data'!R21/'Cleaned Data'!L21,0)</f>
        <v>115762.42</v>
      </c>
      <c r="Z21" t="str">
        <f>TEXT(EV_Sales[[#This Row],[Order_Date]],"mmm-yyyy")</f>
        <v>Jun-2025</v>
      </c>
      <c r="AA21">
        <f>MONTH(EV_Sales[[#This Row],[Order_Date]])</f>
        <v>6</v>
      </c>
      <c r="AB21" s="12" t="str">
        <f>"Q"&amp;ROUNDUP(MONTH(EV_Sales[[#This Row],[Order_Date]])/3,0)</f>
        <v>Q2</v>
      </c>
    </row>
    <row r="22" spans="1:28" x14ac:dyDescent="0.3">
      <c r="A22" t="s">
        <v>98</v>
      </c>
      <c r="B22" s="2">
        <v>45930</v>
      </c>
      <c r="C22" t="s">
        <v>99</v>
      </c>
      <c r="D22" t="s">
        <v>100</v>
      </c>
      <c r="E22" t="s">
        <v>46</v>
      </c>
      <c r="F22" t="s">
        <v>101</v>
      </c>
      <c r="G22" t="s">
        <v>56</v>
      </c>
      <c r="H22" t="s">
        <v>53</v>
      </c>
      <c r="I22" t="str">
        <f>IF('Cleaned Data'!H22="Emi","EMI",'Cleaned Data'!H22)</f>
        <v>Cash</v>
      </c>
      <c r="J22" t="s">
        <v>36</v>
      </c>
      <c r="K22" t="s">
        <v>102</v>
      </c>
      <c r="L22">
        <v>3</v>
      </c>
      <c r="M22" s="9">
        <v>110299</v>
      </c>
      <c r="N22" s="4">
        <v>9.0999999999999998E-2</v>
      </c>
      <c r="O22" s="4">
        <f t="shared" si="0"/>
        <v>9.0999999999999998E-2</v>
      </c>
      <c r="P22" s="11">
        <v>330897</v>
      </c>
      <c r="Q22" s="9">
        <v>30111.63</v>
      </c>
      <c r="R22" s="9">
        <v>300785.37</v>
      </c>
      <c r="S22">
        <v>4</v>
      </c>
      <c r="T22">
        <v>173</v>
      </c>
      <c r="U22">
        <v>3.3</v>
      </c>
      <c r="V22">
        <v>3</v>
      </c>
      <c r="W22">
        <f>IF('Cleaned Data'!V22&lt;0,"Review",'Cleaned Data'!V22)</f>
        <v>3</v>
      </c>
      <c r="X22">
        <v>2</v>
      </c>
      <c r="Y22" s="7">
        <f>IFERROR('Cleaned Data'!R22/'Cleaned Data'!L22,0)</f>
        <v>100261.79</v>
      </c>
      <c r="Z22" t="str">
        <f>TEXT(EV_Sales[[#This Row],[Order_Date]],"mmm-yyyy")</f>
        <v>Sep-2025</v>
      </c>
      <c r="AA22">
        <f>MONTH(EV_Sales[[#This Row],[Order_Date]])</f>
        <v>9</v>
      </c>
      <c r="AB22" s="12" t="str">
        <f>"Q"&amp;ROUNDUP(MONTH(EV_Sales[[#This Row],[Order_Date]])/3,0)</f>
        <v>Q3</v>
      </c>
    </row>
    <row r="23" spans="1:28" x14ac:dyDescent="0.3">
      <c r="A23" t="s">
        <v>103</v>
      </c>
      <c r="B23" s="2">
        <v>45921</v>
      </c>
      <c r="C23" t="s">
        <v>44</v>
      </c>
      <c r="D23" t="s">
        <v>45</v>
      </c>
      <c r="E23" t="s">
        <v>24</v>
      </c>
      <c r="F23" t="s">
        <v>33</v>
      </c>
      <c r="G23" t="s">
        <v>67</v>
      </c>
      <c r="H23" t="s">
        <v>27</v>
      </c>
      <c r="I23" t="str">
        <f>IF('Cleaned Data'!H23="Emi","EMI",'Cleaned Data'!H23)</f>
        <v>Finance</v>
      </c>
      <c r="J23" t="s">
        <v>28</v>
      </c>
      <c r="K23" t="s">
        <v>104</v>
      </c>
      <c r="L23">
        <v>2</v>
      </c>
      <c r="M23" s="9">
        <v>157711</v>
      </c>
      <c r="N23" s="4">
        <v>0.109</v>
      </c>
      <c r="O23" s="4">
        <f t="shared" si="0"/>
        <v>0.109</v>
      </c>
      <c r="P23" s="11">
        <v>315422</v>
      </c>
      <c r="Q23" s="9">
        <v>34381</v>
      </c>
      <c r="R23" s="9">
        <v>281041</v>
      </c>
      <c r="S23">
        <v>3</v>
      </c>
      <c r="T23">
        <v>154</v>
      </c>
      <c r="U23">
        <v>4</v>
      </c>
      <c r="V23">
        <v>8</v>
      </c>
      <c r="W23">
        <f>IF('Cleaned Data'!V23&lt;0,"Review",'Cleaned Data'!V23)</f>
        <v>8</v>
      </c>
      <c r="X23">
        <v>5</v>
      </c>
      <c r="Y23" s="7">
        <f>IFERROR('Cleaned Data'!R23/'Cleaned Data'!L23,0)</f>
        <v>140520.5</v>
      </c>
      <c r="Z23" t="str">
        <f>TEXT(EV_Sales[[#This Row],[Order_Date]],"mmm-yyyy")</f>
        <v>Sep-2025</v>
      </c>
      <c r="AA23">
        <f>MONTH(EV_Sales[[#This Row],[Order_Date]])</f>
        <v>9</v>
      </c>
      <c r="AB23" s="12" t="str">
        <f>"Q"&amp;ROUNDUP(MONTH(EV_Sales[[#This Row],[Order_Date]])/3,0)</f>
        <v>Q3</v>
      </c>
    </row>
    <row r="24" spans="1:28" x14ac:dyDescent="0.3">
      <c r="A24" t="s">
        <v>105</v>
      </c>
      <c r="B24" s="2">
        <v>45715</v>
      </c>
      <c r="C24" t="s">
        <v>87</v>
      </c>
      <c r="D24" t="s">
        <v>88</v>
      </c>
      <c r="E24" t="s">
        <v>62</v>
      </c>
      <c r="F24" t="s">
        <v>41</v>
      </c>
      <c r="G24" t="s">
        <v>26</v>
      </c>
      <c r="H24" t="s">
        <v>53</v>
      </c>
      <c r="I24" t="str">
        <f>IF('Cleaned Data'!H24="Emi","EMI",'Cleaned Data'!H24)</f>
        <v>Cash</v>
      </c>
      <c r="J24" t="s">
        <v>36</v>
      </c>
      <c r="K24" t="s">
        <v>49</v>
      </c>
      <c r="L24">
        <v>1</v>
      </c>
      <c r="M24" s="9">
        <v>141784</v>
      </c>
      <c r="N24" s="4">
        <v>0.10199999999999999</v>
      </c>
      <c r="O24" s="4">
        <f t="shared" si="0"/>
        <v>0.10199999999999999</v>
      </c>
      <c r="P24" s="11">
        <v>141784</v>
      </c>
      <c r="Q24" s="9">
        <v>14461.97</v>
      </c>
      <c r="R24" s="9">
        <v>127322.03</v>
      </c>
      <c r="S24">
        <v>3</v>
      </c>
      <c r="T24">
        <v>164</v>
      </c>
      <c r="U24" t="s">
        <v>812</v>
      </c>
      <c r="V24">
        <v>6</v>
      </c>
      <c r="W24">
        <f>IF('Cleaned Data'!V24&lt;0,"Review",'Cleaned Data'!V24)</f>
        <v>6</v>
      </c>
      <c r="X24">
        <v>2</v>
      </c>
      <c r="Y24" s="7">
        <f>IFERROR('Cleaned Data'!R24/'Cleaned Data'!L24,0)</f>
        <v>127322.03</v>
      </c>
      <c r="Z24" t="str">
        <f>TEXT(EV_Sales[[#This Row],[Order_Date]],"mmm-yyyy")</f>
        <v>Feb-2025</v>
      </c>
      <c r="AA24">
        <f>MONTH(EV_Sales[[#This Row],[Order_Date]])</f>
        <v>2</v>
      </c>
      <c r="AB24" s="12" t="str">
        <f>"Q"&amp;ROUNDUP(MONTH(EV_Sales[[#This Row],[Order_Date]])/3,0)</f>
        <v>Q1</v>
      </c>
    </row>
    <row r="25" spans="1:28" x14ac:dyDescent="0.3">
      <c r="A25" t="s">
        <v>106</v>
      </c>
      <c r="B25" s="2">
        <v>45968</v>
      </c>
      <c r="C25" t="s">
        <v>22</v>
      </c>
      <c r="D25" t="s">
        <v>107</v>
      </c>
      <c r="E25" t="s">
        <v>62</v>
      </c>
      <c r="F25" t="s">
        <v>101</v>
      </c>
      <c r="G25" t="s">
        <v>67</v>
      </c>
      <c r="H25" t="s">
        <v>27</v>
      </c>
      <c r="I25" t="str">
        <f>IF('Cleaned Data'!H25="Emi","EMI",'Cleaned Data'!H25)</f>
        <v>Finance</v>
      </c>
      <c r="J25" t="s">
        <v>94</v>
      </c>
      <c r="K25" t="s">
        <v>49</v>
      </c>
      <c r="L25">
        <v>1</v>
      </c>
      <c r="M25" s="9">
        <v>134201</v>
      </c>
      <c r="N25" s="4">
        <v>0.11700000000000001</v>
      </c>
      <c r="O25" s="4">
        <f t="shared" si="0"/>
        <v>0.11700000000000001</v>
      </c>
      <c r="P25" s="11">
        <v>134201</v>
      </c>
      <c r="Q25" s="9">
        <v>15701.52</v>
      </c>
      <c r="R25" s="9">
        <v>118499.48</v>
      </c>
      <c r="S25">
        <v>4</v>
      </c>
      <c r="T25">
        <v>180</v>
      </c>
      <c r="U25">
        <v>3.9</v>
      </c>
      <c r="V25">
        <v>4</v>
      </c>
      <c r="W25">
        <f>IF('Cleaned Data'!V25&lt;0,"Review",'Cleaned Data'!V25)</f>
        <v>4</v>
      </c>
      <c r="X25">
        <v>3</v>
      </c>
      <c r="Y25" s="7">
        <f>IFERROR('Cleaned Data'!R25/'Cleaned Data'!L25,0)</f>
        <v>118499.48</v>
      </c>
      <c r="Z25" t="str">
        <f>TEXT(EV_Sales[[#This Row],[Order_Date]],"mmm-yyyy")</f>
        <v>Nov-2025</v>
      </c>
      <c r="AA25">
        <f>MONTH(EV_Sales[[#This Row],[Order_Date]])</f>
        <v>11</v>
      </c>
      <c r="AB25" s="12" t="str">
        <f>"Q"&amp;ROUNDUP(MONTH(EV_Sales[[#This Row],[Order_Date]])/3,0)</f>
        <v>Q4</v>
      </c>
    </row>
    <row r="26" spans="1:28" x14ac:dyDescent="0.3">
      <c r="A26" t="s">
        <v>108</v>
      </c>
      <c r="B26" s="2">
        <v>45786</v>
      </c>
      <c r="C26" t="s">
        <v>22</v>
      </c>
      <c r="D26" t="s">
        <v>107</v>
      </c>
      <c r="E26" t="s">
        <v>46</v>
      </c>
      <c r="F26" t="s">
        <v>66</v>
      </c>
      <c r="G26" t="s">
        <v>34</v>
      </c>
      <c r="H26" t="s">
        <v>809</v>
      </c>
      <c r="I26" t="str">
        <f>IF('Cleaned Data'!H26="Emi","EMI",'Cleaned Data'!H26)</f>
        <v>EMI</v>
      </c>
      <c r="J26" t="s">
        <v>94</v>
      </c>
      <c r="K26" t="s">
        <v>109</v>
      </c>
      <c r="L26">
        <v>1</v>
      </c>
      <c r="M26" s="9">
        <v>134666</v>
      </c>
      <c r="N26" s="4">
        <v>4.4999999999999998E-2</v>
      </c>
      <c r="O26" s="4">
        <f t="shared" si="0"/>
        <v>4.4999999999999998E-2</v>
      </c>
      <c r="P26" s="11">
        <v>134666</v>
      </c>
      <c r="Q26" s="9">
        <v>6059.97</v>
      </c>
      <c r="R26" s="9">
        <v>128606.03</v>
      </c>
      <c r="S26">
        <v>4</v>
      </c>
      <c r="T26">
        <v>193</v>
      </c>
      <c r="U26">
        <v>4.7</v>
      </c>
      <c r="V26">
        <v>6</v>
      </c>
      <c r="W26">
        <f>IF('Cleaned Data'!V26&lt;0,"Review",'Cleaned Data'!V26)</f>
        <v>6</v>
      </c>
      <c r="X26">
        <v>2</v>
      </c>
      <c r="Y26" s="7">
        <f>IFERROR('Cleaned Data'!R26/'Cleaned Data'!L26,0)</f>
        <v>128606.03</v>
      </c>
      <c r="Z26" t="str">
        <f>TEXT(EV_Sales[[#This Row],[Order_Date]],"mmm-yyyy")</f>
        <v>May-2025</v>
      </c>
      <c r="AA26">
        <f>MONTH(EV_Sales[[#This Row],[Order_Date]])</f>
        <v>5</v>
      </c>
      <c r="AB26" s="12" t="str">
        <f>"Q"&amp;ROUNDUP(MONTH(EV_Sales[[#This Row],[Order_Date]])/3,0)</f>
        <v>Q2</v>
      </c>
    </row>
    <row r="27" spans="1:28" x14ac:dyDescent="0.3">
      <c r="A27" t="s">
        <v>110</v>
      </c>
      <c r="B27" s="2">
        <v>45733</v>
      </c>
      <c r="C27" t="s">
        <v>60</v>
      </c>
      <c r="D27" t="s">
        <v>69</v>
      </c>
      <c r="E27" t="s">
        <v>24</v>
      </c>
      <c r="F27" t="s">
        <v>25</v>
      </c>
      <c r="G27" t="s">
        <v>56</v>
      </c>
      <c r="H27" t="s">
        <v>27</v>
      </c>
      <c r="I27" t="str">
        <f>IF('Cleaned Data'!H27="Emi","EMI",'Cleaned Data'!H27)</f>
        <v>Finance</v>
      </c>
      <c r="J27" t="s">
        <v>48</v>
      </c>
      <c r="K27" t="s">
        <v>109</v>
      </c>
      <c r="L27">
        <v>2</v>
      </c>
      <c r="M27" s="9">
        <v>101032</v>
      </c>
      <c r="N27" s="4">
        <v>3.2000000000000001E-2</v>
      </c>
      <c r="O27" s="4">
        <f t="shared" si="0"/>
        <v>3.2000000000000001E-2</v>
      </c>
      <c r="P27" s="11">
        <v>202064</v>
      </c>
      <c r="Q27" s="9">
        <v>6466.05</v>
      </c>
      <c r="R27" s="9">
        <v>195597.95</v>
      </c>
      <c r="S27">
        <v>3</v>
      </c>
      <c r="T27">
        <v>172</v>
      </c>
      <c r="U27">
        <v>4.4000000000000004</v>
      </c>
      <c r="V27">
        <v>5</v>
      </c>
      <c r="W27">
        <f>IF('Cleaned Data'!V27&lt;0,"Review",'Cleaned Data'!V27)</f>
        <v>5</v>
      </c>
      <c r="X27">
        <v>2</v>
      </c>
      <c r="Y27" s="7">
        <f>IFERROR('Cleaned Data'!R27/'Cleaned Data'!L27,0)</f>
        <v>97798.975000000006</v>
      </c>
      <c r="Z27" t="str">
        <f>TEXT(EV_Sales[[#This Row],[Order_Date]],"mmm-yyyy")</f>
        <v>Mar-2025</v>
      </c>
      <c r="AA27">
        <f>MONTH(EV_Sales[[#This Row],[Order_Date]])</f>
        <v>3</v>
      </c>
      <c r="AB27" s="12" t="str">
        <f>"Q"&amp;ROUNDUP(MONTH(EV_Sales[[#This Row],[Order_Date]])/3,0)</f>
        <v>Q1</v>
      </c>
    </row>
    <row r="28" spans="1:28" x14ac:dyDescent="0.3">
      <c r="A28" t="s">
        <v>111</v>
      </c>
      <c r="B28" s="2">
        <v>45947</v>
      </c>
      <c r="C28" t="s">
        <v>60</v>
      </c>
      <c r="D28" t="s">
        <v>61</v>
      </c>
      <c r="E28" t="s">
        <v>24</v>
      </c>
      <c r="F28" t="s">
        <v>74</v>
      </c>
      <c r="G28" t="s">
        <v>34</v>
      </c>
      <c r="H28" t="s">
        <v>809</v>
      </c>
      <c r="I28" t="str">
        <f>IF('Cleaned Data'!H28="Emi","EMI",'Cleaned Data'!H28)</f>
        <v>EMI</v>
      </c>
      <c r="J28" t="s">
        <v>36</v>
      </c>
      <c r="K28" t="s">
        <v>85</v>
      </c>
      <c r="L28">
        <v>1</v>
      </c>
      <c r="M28" s="9">
        <v>108346</v>
      </c>
      <c r="N28" s="4">
        <v>0.113</v>
      </c>
      <c r="O28" s="4">
        <f t="shared" si="0"/>
        <v>0.113</v>
      </c>
      <c r="P28" s="11">
        <v>108346</v>
      </c>
      <c r="Q28" s="9">
        <v>12243.1</v>
      </c>
      <c r="R28" s="9">
        <v>96102.9</v>
      </c>
      <c r="S28">
        <v>4</v>
      </c>
      <c r="T28">
        <v>205</v>
      </c>
      <c r="U28">
        <v>4.3</v>
      </c>
      <c r="V28">
        <v>9</v>
      </c>
      <c r="W28">
        <f>IF('Cleaned Data'!V28&lt;0,"Review",'Cleaned Data'!V28)</f>
        <v>9</v>
      </c>
      <c r="X28">
        <v>5</v>
      </c>
      <c r="Y28" s="7">
        <f>IFERROR('Cleaned Data'!R28/'Cleaned Data'!L28,0)</f>
        <v>96102.9</v>
      </c>
      <c r="Z28" t="str">
        <f>TEXT(EV_Sales[[#This Row],[Order_Date]],"mmm-yyyy")</f>
        <v>Oct-2025</v>
      </c>
      <c r="AA28">
        <f>MONTH(EV_Sales[[#This Row],[Order_Date]])</f>
        <v>10</v>
      </c>
      <c r="AB28" s="12" t="str">
        <f>"Q"&amp;ROUNDUP(MONTH(EV_Sales[[#This Row],[Order_Date]])/3,0)</f>
        <v>Q4</v>
      </c>
    </row>
    <row r="29" spans="1:28" x14ac:dyDescent="0.3">
      <c r="A29" t="s">
        <v>112</v>
      </c>
      <c r="B29" s="2">
        <v>45820</v>
      </c>
      <c r="C29" t="s">
        <v>44</v>
      </c>
      <c r="D29" t="s">
        <v>51</v>
      </c>
      <c r="E29" t="s">
        <v>46</v>
      </c>
      <c r="F29" t="s">
        <v>47</v>
      </c>
      <c r="G29" t="s">
        <v>67</v>
      </c>
      <c r="H29" t="s">
        <v>809</v>
      </c>
      <c r="I29" t="str">
        <f>IF('Cleaned Data'!H29="Emi","EMI",'Cleaned Data'!H29)</f>
        <v>EMI</v>
      </c>
      <c r="J29" t="s">
        <v>48</v>
      </c>
      <c r="K29" t="s">
        <v>72</v>
      </c>
      <c r="L29">
        <v>2</v>
      </c>
      <c r="M29" s="9">
        <v>120498</v>
      </c>
      <c r="N29" s="4">
        <v>7.4999999999999997E-2</v>
      </c>
      <c r="O29" s="4">
        <f t="shared" si="0"/>
        <v>7.4999999999999997E-2</v>
      </c>
      <c r="P29" s="11">
        <v>240996</v>
      </c>
      <c r="Q29" s="9">
        <v>18074.7</v>
      </c>
      <c r="R29" s="9">
        <v>222921.3</v>
      </c>
      <c r="S29">
        <v>5</v>
      </c>
      <c r="T29">
        <v>205</v>
      </c>
      <c r="U29">
        <v>4.0999999999999996</v>
      </c>
      <c r="V29">
        <v>11</v>
      </c>
      <c r="W29">
        <f>IF('Cleaned Data'!V29&lt;0,"Review",'Cleaned Data'!V29)</f>
        <v>11</v>
      </c>
      <c r="X29">
        <v>5</v>
      </c>
      <c r="Y29" s="7">
        <f>IFERROR('Cleaned Data'!R29/'Cleaned Data'!L29,0)</f>
        <v>111460.65</v>
      </c>
      <c r="Z29" t="str">
        <f>TEXT(EV_Sales[[#This Row],[Order_Date]],"mmm-yyyy")</f>
        <v>Jun-2025</v>
      </c>
      <c r="AA29">
        <f>MONTH(EV_Sales[[#This Row],[Order_Date]])</f>
        <v>6</v>
      </c>
      <c r="AB29" s="12" t="str">
        <f>"Q"&amp;ROUNDUP(MONTH(EV_Sales[[#This Row],[Order_Date]])/3,0)</f>
        <v>Q2</v>
      </c>
    </row>
    <row r="30" spans="1:28" x14ac:dyDescent="0.3">
      <c r="A30" t="s">
        <v>113</v>
      </c>
      <c r="B30" s="2">
        <v>45747</v>
      </c>
      <c r="C30" t="s">
        <v>22</v>
      </c>
      <c r="D30" t="s">
        <v>107</v>
      </c>
      <c r="E30" t="s">
        <v>46</v>
      </c>
      <c r="F30" t="s">
        <v>52</v>
      </c>
      <c r="G30" t="s">
        <v>34</v>
      </c>
      <c r="H30" t="s">
        <v>53</v>
      </c>
      <c r="I30" t="str">
        <f>IF('Cleaned Data'!H30="Emi","EMI",'Cleaned Data'!H30)</f>
        <v>Cash</v>
      </c>
      <c r="J30" t="s">
        <v>94</v>
      </c>
      <c r="K30" t="s">
        <v>104</v>
      </c>
      <c r="L30">
        <v>1</v>
      </c>
      <c r="M30" s="9">
        <v>148159</v>
      </c>
      <c r="N30" s="4">
        <v>2.1999999999999999E-2</v>
      </c>
      <c r="O30" s="4">
        <f t="shared" si="0"/>
        <v>2.1999999999999999E-2</v>
      </c>
      <c r="P30" s="11">
        <v>148159</v>
      </c>
      <c r="Q30" s="9">
        <v>3259.5</v>
      </c>
      <c r="R30" s="9">
        <v>144899.5</v>
      </c>
      <c r="S30">
        <v>4</v>
      </c>
      <c r="T30">
        <v>174</v>
      </c>
      <c r="U30">
        <v>3.9</v>
      </c>
      <c r="V30">
        <v>6</v>
      </c>
      <c r="W30">
        <f>IF('Cleaned Data'!V30&lt;0,"Review",'Cleaned Data'!V30)</f>
        <v>6</v>
      </c>
      <c r="X30">
        <v>3</v>
      </c>
      <c r="Y30" s="7">
        <f>IFERROR('Cleaned Data'!R30/'Cleaned Data'!L30,0)</f>
        <v>144899.5</v>
      </c>
      <c r="Z30" t="str">
        <f>TEXT(EV_Sales[[#This Row],[Order_Date]],"mmm-yyyy")</f>
        <v>Mar-2025</v>
      </c>
      <c r="AA30">
        <f>MONTH(EV_Sales[[#This Row],[Order_Date]])</f>
        <v>3</v>
      </c>
      <c r="AB30" s="12" t="str">
        <f>"Q"&amp;ROUNDUP(MONTH(EV_Sales[[#This Row],[Order_Date]])/3,0)</f>
        <v>Q1</v>
      </c>
    </row>
    <row r="31" spans="1:28" x14ac:dyDescent="0.3">
      <c r="A31" t="s">
        <v>114</v>
      </c>
      <c r="B31" s="2">
        <v>46014</v>
      </c>
      <c r="C31" t="s">
        <v>76</v>
      </c>
      <c r="D31" t="s">
        <v>115</v>
      </c>
      <c r="E31" t="s">
        <v>24</v>
      </c>
      <c r="F31" t="s">
        <v>25</v>
      </c>
      <c r="G31" t="s">
        <v>34</v>
      </c>
      <c r="H31" t="s">
        <v>53</v>
      </c>
      <c r="I31" t="str">
        <f>IF('Cleaned Data'!H31="Emi","EMI",'Cleaned Data'!H31)</f>
        <v>Cash</v>
      </c>
      <c r="J31" t="s">
        <v>94</v>
      </c>
      <c r="K31" t="s">
        <v>78</v>
      </c>
      <c r="L31">
        <v>3</v>
      </c>
      <c r="M31" s="9">
        <v>136884</v>
      </c>
      <c r="N31" s="4">
        <v>0.11899999999999999</v>
      </c>
      <c r="O31" s="4">
        <f t="shared" si="0"/>
        <v>0.11899999999999999</v>
      </c>
      <c r="P31" s="11">
        <v>410652</v>
      </c>
      <c r="Q31" s="9">
        <v>48867.59</v>
      </c>
      <c r="R31" s="9">
        <v>361784.41</v>
      </c>
      <c r="S31">
        <v>3</v>
      </c>
      <c r="T31">
        <v>179</v>
      </c>
      <c r="U31">
        <v>3.8</v>
      </c>
      <c r="V31">
        <v>9</v>
      </c>
      <c r="W31">
        <f>IF('Cleaned Data'!V31&lt;0,"Review",'Cleaned Data'!V31)</f>
        <v>9</v>
      </c>
      <c r="X31">
        <v>5</v>
      </c>
      <c r="Y31" s="7">
        <f>IFERROR('Cleaned Data'!R31/'Cleaned Data'!L31,0)</f>
        <v>120594.80333333333</v>
      </c>
      <c r="Z31" t="str">
        <f>TEXT(EV_Sales[[#This Row],[Order_Date]],"mmm-yyyy")</f>
        <v>Dec-2025</v>
      </c>
      <c r="AA31">
        <f>MONTH(EV_Sales[[#This Row],[Order_Date]])</f>
        <v>12</v>
      </c>
      <c r="AB31" s="12" t="str">
        <f>"Q"&amp;ROUNDUP(MONTH(EV_Sales[[#This Row],[Order_Date]])/3,0)</f>
        <v>Q4</v>
      </c>
    </row>
    <row r="32" spans="1:28" x14ac:dyDescent="0.3">
      <c r="A32" t="s">
        <v>116</v>
      </c>
      <c r="B32" s="2">
        <v>46018</v>
      </c>
      <c r="C32" t="s">
        <v>76</v>
      </c>
      <c r="D32" t="s">
        <v>117</v>
      </c>
      <c r="E32" t="s">
        <v>46</v>
      </c>
      <c r="F32" t="s">
        <v>33</v>
      </c>
      <c r="G32" t="s">
        <v>34</v>
      </c>
      <c r="H32" t="s">
        <v>53</v>
      </c>
      <c r="I32" t="str">
        <f>IF('Cleaned Data'!H32="Emi","EMI",'Cleaned Data'!H32)</f>
        <v>Cash</v>
      </c>
      <c r="J32" t="s">
        <v>36</v>
      </c>
      <c r="K32" t="s">
        <v>118</v>
      </c>
      <c r="L32">
        <v>1</v>
      </c>
      <c r="M32" s="9">
        <v>136998</v>
      </c>
      <c r="N32" s="4">
        <v>7.0000000000000007E-2</v>
      </c>
      <c r="O32" s="4">
        <f t="shared" si="0"/>
        <v>7.0000000000000007E-2</v>
      </c>
      <c r="P32" s="11">
        <v>136998</v>
      </c>
      <c r="Q32" s="9">
        <v>9589.86</v>
      </c>
      <c r="R32" s="9">
        <v>127408.14</v>
      </c>
      <c r="S32">
        <v>3</v>
      </c>
      <c r="T32">
        <v>156</v>
      </c>
      <c r="U32">
        <v>4</v>
      </c>
      <c r="V32">
        <v>5</v>
      </c>
      <c r="W32">
        <f>IF('Cleaned Data'!V32&lt;0,"Review",'Cleaned Data'!V32)</f>
        <v>5</v>
      </c>
      <c r="X32">
        <v>2</v>
      </c>
      <c r="Y32" s="7">
        <f>IFERROR('Cleaned Data'!R32/'Cleaned Data'!L32,0)</f>
        <v>127408.14</v>
      </c>
      <c r="Z32" t="str">
        <f>TEXT(EV_Sales[[#This Row],[Order_Date]],"mmm-yyyy")</f>
        <v>Dec-2025</v>
      </c>
      <c r="AA32">
        <f>MONTH(EV_Sales[[#This Row],[Order_Date]])</f>
        <v>12</v>
      </c>
      <c r="AB32" s="12" t="str">
        <f>"Q"&amp;ROUNDUP(MONTH(EV_Sales[[#This Row],[Order_Date]])/3,0)</f>
        <v>Q4</v>
      </c>
    </row>
    <row r="33" spans="1:28" x14ac:dyDescent="0.3">
      <c r="A33" t="s">
        <v>119</v>
      </c>
      <c r="B33" s="2">
        <v>45709</v>
      </c>
      <c r="C33" t="s">
        <v>22</v>
      </c>
      <c r="D33" t="s">
        <v>23</v>
      </c>
      <c r="E33" t="s">
        <v>62</v>
      </c>
      <c r="F33" t="s">
        <v>70</v>
      </c>
      <c r="G33" t="s">
        <v>56</v>
      </c>
      <c r="H33" t="s">
        <v>53</v>
      </c>
      <c r="I33" t="str">
        <f>IF('Cleaned Data'!H33="Emi","EMI",'Cleaned Data'!H33)</f>
        <v>Cash</v>
      </c>
      <c r="J33" t="s">
        <v>94</v>
      </c>
      <c r="K33" t="s">
        <v>83</v>
      </c>
      <c r="L33">
        <v>2</v>
      </c>
      <c r="M33" s="9">
        <v>123414</v>
      </c>
      <c r="N33" s="4">
        <v>6.5000000000000002E-2</v>
      </c>
      <c r="O33" s="4">
        <f t="shared" si="0"/>
        <v>6.5000000000000002E-2</v>
      </c>
      <c r="P33" s="11">
        <v>246828</v>
      </c>
      <c r="Q33" s="9">
        <v>16043.82</v>
      </c>
      <c r="R33" s="9">
        <v>230784.18</v>
      </c>
      <c r="S33">
        <v>3</v>
      </c>
      <c r="T33">
        <v>178</v>
      </c>
      <c r="U33">
        <v>3.6</v>
      </c>
      <c r="V33">
        <v>5</v>
      </c>
      <c r="W33">
        <f>IF('Cleaned Data'!V33&lt;0,"Review",'Cleaned Data'!V33)</f>
        <v>5</v>
      </c>
      <c r="X33">
        <v>2</v>
      </c>
      <c r="Y33" s="7">
        <f>IFERROR('Cleaned Data'!R33/'Cleaned Data'!L33,0)</f>
        <v>115392.09</v>
      </c>
      <c r="Z33" t="str">
        <f>TEXT(EV_Sales[[#This Row],[Order_Date]],"mmm-yyyy")</f>
        <v>Feb-2025</v>
      </c>
      <c r="AA33">
        <f>MONTH(EV_Sales[[#This Row],[Order_Date]])</f>
        <v>2</v>
      </c>
      <c r="AB33" s="12" t="str">
        <f>"Q"&amp;ROUNDUP(MONTH(EV_Sales[[#This Row],[Order_Date]])/3,0)</f>
        <v>Q1</v>
      </c>
    </row>
    <row r="34" spans="1:28" x14ac:dyDescent="0.3">
      <c r="A34" t="s">
        <v>120</v>
      </c>
      <c r="B34" s="2">
        <v>45880</v>
      </c>
      <c r="C34" t="s">
        <v>99</v>
      </c>
      <c r="D34" t="s">
        <v>121</v>
      </c>
      <c r="E34" t="s">
        <v>24</v>
      </c>
      <c r="F34" t="s">
        <v>52</v>
      </c>
      <c r="G34" t="s">
        <v>26</v>
      </c>
      <c r="H34" t="s">
        <v>53</v>
      </c>
      <c r="I34" t="str">
        <f>IF('Cleaned Data'!H34="Emi","EMI",'Cleaned Data'!H34)</f>
        <v>Cash</v>
      </c>
      <c r="J34" t="s">
        <v>48</v>
      </c>
      <c r="K34" t="s">
        <v>58</v>
      </c>
      <c r="L34">
        <v>1</v>
      </c>
      <c r="M34" s="9">
        <v>109534</v>
      </c>
      <c r="N34" s="4">
        <v>7.4999999999999997E-2</v>
      </c>
      <c r="O34" s="4">
        <f t="shared" si="0"/>
        <v>7.4999999999999997E-2</v>
      </c>
      <c r="P34" s="11">
        <v>109534</v>
      </c>
      <c r="Q34" s="9">
        <v>8215.0499999999993</v>
      </c>
      <c r="R34" s="9">
        <v>101318.95</v>
      </c>
      <c r="S34">
        <v>4</v>
      </c>
      <c r="T34">
        <v>183</v>
      </c>
      <c r="U34">
        <v>4.0999999999999996</v>
      </c>
      <c r="V34">
        <v>7</v>
      </c>
      <c r="W34">
        <f>IF('Cleaned Data'!V34&lt;0,"Review",'Cleaned Data'!V34)</f>
        <v>7</v>
      </c>
      <c r="X34">
        <v>5</v>
      </c>
      <c r="Y34" s="7">
        <f>IFERROR('Cleaned Data'!R34/'Cleaned Data'!L34,0)</f>
        <v>101318.95</v>
      </c>
      <c r="Z34" t="str">
        <f>TEXT(EV_Sales[[#This Row],[Order_Date]],"mmm-yyyy")</f>
        <v>Aug-2025</v>
      </c>
      <c r="AA34">
        <f>MONTH(EV_Sales[[#This Row],[Order_Date]])</f>
        <v>8</v>
      </c>
      <c r="AB34" s="12" t="str">
        <f>"Q"&amp;ROUNDUP(MONTH(EV_Sales[[#This Row],[Order_Date]])/3,0)</f>
        <v>Q3</v>
      </c>
    </row>
    <row r="35" spans="1:28" x14ac:dyDescent="0.3">
      <c r="A35" t="s">
        <v>122</v>
      </c>
      <c r="B35" s="2">
        <v>45662</v>
      </c>
      <c r="C35" t="s">
        <v>99</v>
      </c>
      <c r="D35" t="s">
        <v>100</v>
      </c>
      <c r="E35" t="s">
        <v>46</v>
      </c>
      <c r="F35" t="s">
        <v>41</v>
      </c>
      <c r="G35" t="s">
        <v>34</v>
      </c>
      <c r="H35" t="s">
        <v>27</v>
      </c>
      <c r="I35" t="str">
        <f>IF('Cleaned Data'!H35="Emi","EMI",'Cleaned Data'!H35)</f>
        <v>Finance</v>
      </c>
      <c r="J35" t="s">
        <v>36</v>
      </c>
      <c r="K35" t="s">
        <v>123</v>
      </c>
      <c r="L35">
        <v>2</v>
      </c>
      <c r="M35" s="9">
        <v>111854</v>
      </c>
      <c r="N35" s="4">
        <v>7.8E-2</v>
      </c>
      <c r="O35" s="4">
        <f t="shared" si="0"/>
        <v>7.8E-2</v>
      </c>
      <c r="P35" s="11">
        <v>223708</v>
      </c>
      <c r="Q35" s="9">
        <v>17449.22</v>
      </c>
      <c r="R35" s="9">
        <v>206258.78</v>
      </c>
      <c r="S35">
        <v>5</v>
      </c>
      <c r="T35">
        <v>196</v>
      </c>
      <c r="U35">
        <v>4.3</v>
      </c>
      <c r="V35">
        <v>8</v>
      </c>
      <c r="W35">
        <f>IF('Cleaned Data'!V35&lt;0,"Review",'Cleaned Data'!V35)</f>
        <v>8</v>
      </c>
      <c r="X35">
        <v>2</v>
      </c>
      <c r="Y35" s="7">
        <f>IFERROR('Cleaned Data'!R35/'Cleaned Data'!L35,0)</f>
        <v>103129.39</v>
      </c>
      <c r="Z35" t="str">
        <f>TEXT(EV_Sales[[#This Row],[Order_Date]],"mmm-yyyy")</f>
        <v>Jan-2025</v>
      </c>
      <c r="AA35">
        <f>MONTH(EV_Sales[[#This Row],[Order_Date]])</f>
        <v>1</v>
      </c>
      <c r="AB35" s="12" t="str">
        <f>"Q"&amp;ROUNDUP(MONTH(EV_Sales[[#This Row],[Order_Date]])/3,0)</f>
        <v>Q1</v>
      </c>
    </row>
    <row r="36" spans="1:28" x14ac:dyDescent="0.3">
      <c r="A36" t="s">
        <v>124</v>
      </c>
      <c r="B36" s="2">
        <v>45839</v>
      </c>
      <c r="C36" t="s">
        <v>60</v>
      </c>
      <c r="D36" t="s">
        <v>61</v>
      </c>
      <c r="E36" t="s">
        <v>62</v>
      </c>
      <c r="F36" t="s">
        <v>70</v>
      </c>
      <c r="G36" t="s">
        <v>56</v>
      </c>
      <c r="H36" t="s">
        <v>53</v>
      </c>
      <c r="I36" t="str">
        <f>IF('Cleaned Data'!H36="Emi","EMI",'Cleaned Data'!H36)</f>
        <v>Cash</v>
      </c>
      <c r="J36" t="s">
        <v>63</v>
      </c>
      <c r="K36" t="s">
        <v>102</v>
      </c>
      <c r="L36">
        <v>2</v>
      </c>
      <c r="M36" s="9">
        <v>112104</v>
      </c>
      <c r="N36" s="4">
        <v>5.2999999999999999E-2</v>
      </c>
      <c r="O36" s="4">
        <f t="shared" si="0"/>
        <v>5.2999999999999999E-2</v>
      </c>
      <c r="P36" s="11">
        <v>224208</v>
      </c>
      <c r="Q36" s="9">
        <v>11883.02</v>
      </c>
      <c r="R36" s="9">
        <v>212324.98</v>
      </c>
      <c r="S36">
        <v>3</v>
      </c>
      <c r="T36">
        <v>157</v>
      </c>
      <c r="U36">
        <v>3.4</v>
      </c>
      <c r="V36">
        <v>11</v>
      </c>
      <c r="W36">
        <f>IF('Cleaned Data'!V36&lt;0,"Review",'Cleaned Data'!V36)</f>
        <v>11</v>
      </c>
      <c r="X36">
        <v>2</v>
      </c>
      <c r="Y36" s="7">
        <f>IFERROR('Cleaned Data'!R36/'Cleaned Data'!L36,0)</f>
        <v>106162.49</v>
      </c>
      <c r="Z36" t="str">
        <f>TEXT(EV_Sales[[#This Row],[Order_Date]],"mmm-yyyy")</f>
        <v>Jul-2025</v>
      </c>
      <c r="AA36">
        <f>MONTH(EV_Sales[[#This Row],[Order_Date]])</f>
        <v>7</v>
      </c>
      <c r="AB36" s="12" t="str">
        <f>"Q"&amp;ROUNDUP(MONTH(EV_Sales[[#This Row],[Order_Date]])/3,0)</f>
        <v>Q3</v>
      </c>
    </row>
    <row r="37" spans="1:28" x14ac:dyDescent="0.3">
      <c r="A37" t="s">
        <v>125</v>
      </c>
      <c r="B37" s="2">
        <v>45848</v>
      </c>
      <c r="C37" t="s">
        <v>44</v>
      </c>
      <c r="D37" t="s">
        <v>51</v>
      </c>
      <c r="E37" t="s">
        <v>62</v>
      </c>
      <c r="F37" t="s">
        <v>25</v>
      </c>
      <c r="G37" t="s">
        <v>34</v>
      </c>
      <c r="H37" t="s">
        <v>809</v>
      </c>
      <c r="I37" t="str">
        <f>IF('Cleaned Data'!H37="Emi","EMI",'Cleaned Data'!H37)</f>
        <v>EMI</v>
      </c>
      <c r="J37" t="s">
        <v>63</v>
      </c>
      <c r="K37" t="s">
        <v>81</v>
      </c>
      <c r="L37">
        <v>1</v>
      </c>
      <c r="M37" s="9">
        <v>114192</v>
      </c>
      <c r="N37" s="4">
        <v>7.2999999999999995E-2</v>
      </c>
      <c r="O37" s="4">
        <f t="shared" si="0"/>
        <v>7.2999999999999995E-2</v>
      </c>
      <c r="P37" s="11">
        <v>114192</v>
      </c>
      <c r="Q37" s="9">
        <v>8336.02</v>
      </c>
      <c r="R37" s="9">
        <v>105855.98</v>
      </c>
      <c r="S37">
        <v>3</v>
      </c>
      <c r="T37">
        <v>141</v>
      </c>
      <c r="U37">
        <v>4.4000000000000004</v>
      </c>
      <c r="V37">
        <v>7</v>
      </c>
      <c r="W37">
        <f>IF('Cleaned Data'!V37&lt;0,"Review",'Cleaned Data'!V37)</f>
        <v>7</v>
      </c>
      <c r="X37">
        <v>2</v>
      </c>
      <c r="Y37" s="7">
        <f>IFERROR('Cleaned Data'!R37/'Cleaned Data'!L37,0)</f>
        <v>105855.98</v>
      </c>
      <c r="Z37" t="str">
        <f>TEXT(EV_Sales[[#This Row],[Order_Date]],"mmm-yyyy")</f>
        <v>Jul-2025</v>
      </c>
      <c r="AA37">
        <f>MONTH(EV_Sales[[#This Row],[Order_Date]])</f>
        <v>7</v>
      </c>
      <c r="AB37" s="12" t="str">
        <f>"Q"&amp;ROUNDUP(MONTH(EV_Sales[[#This Row],[Order_Date]])/3,0)</f>
        <v>Q3</v>
      </c>
    </row>
    <row r="38" spans="1:28" x14ac:dyDescent="0.3">
      <c r="A38" t="s">
        <v>126</v>
      </c>
      <c r="B38" s="2">
        <v>45704</v>
      </c>
      <c r="C38" t="s">
        <v>76</v>
      </c>
      <c r="D38" t="s">
        <v>115</v>
      </c>
      <c r="E38" t="s">
        <v>24</v>
      </c>
      <c r="F38" t="s">
        <v>52</v>
      </c>
      <c r="G38" t="s">
        <v>26</v>
      </c>
      <c r="H38" t="s">
        <v>53</v>
      </c>
      <c r="I38" t="str">
        <f>IF('Cleaned Data'!H38="Emi","EMI",'Cleaned Data'!H38)</f>
        <v>Cash</v>
      </c>
      <c r="J38" t="s">
        <v>48</v>
      </c>
      <c r="K38" t="s">
        <v>54</v>
      </c>
      <c r="L38">
        <v>2</v>
      </c>
      <c r="M38" s="9">
        <v>134862</v>
      </c>
      <c r="N38" s="4">
        <v>6.5000000000000002E-2</v>
      </c>
      <c r="O38" s="4">
        <f t="shared" si="0"/>
        <v>6.5000000000000002E-2</v>
      </c>
      <c r="P38" s="11">
        <v>269724</v>
      </c>
      <c r="Q38" s="9">
        <v>17532.060000000001</v>
      </c>
      <c r="R38" s="9">
        <v>252191.94</v>
      </c>
      <c r="S38">
        <v>4</v>
      </c>
      <c r="T38">
        <v>192</v>
      </c>
      <c r="U38">
        <v>4.2</v>
      </c>
      <c r="V38">
        <v>10</v>
      </c>
      <c r="W38">
        <f>IF('Cleaned Data'!V38&lt;0,"Review",'Cleaned Data'!V38)</f>
        <v>10</v>
      </c>
      <c r="X38">
        <v>5</v>
      </c>
      <c r="Y38" s="7">
        <f>IFERROR('Cleaned Data'!R38/'Cleaned Data'!L38,0)</f>
        <v>126095.97</v>
      </c>
      <c r="Z38" t="str">
        <f>TEXT(EV_Sales[[#This Row],[Order_Date]],"mmm-yyyy")</f>
        <v>Feb-2025</v>
      </c>
      <c r="AA38">
        <f>MONTH(EV_Sales[[#This Row],[Order_Date]])</f>
        <v>2</v>
      </c>
      <c r="AB38" s="12" t="str">
        <f>"Q"&amp;ROUNDUP(MONTH(EV_Sales[[#This Row],[Order_Date]])/3,0)</f>
        <v>Q1</v>
      </c>
    </row>
    <row r="39" spans="1:28" x14ac:dyDescent="0.3">
      <c r="A39" t="s">
        <v>127</v>
      </c>
      <c r="B39" s="2">
        <v>45793</v>
      </c>
      <c r="C39" t="s">
        <v>44</v>
      </c>
      <c r="D39" t="s">
        <v>51</v>
      </c>
      <c r="E39" t="s">
        <v>46</v>
      </c>
      <c r="F39" t="s">
        <v>33</v>
      </c>
      <c r="G39" t="s">
        <v>67</v>
      </c>
      <c r="H39" t="s">
        <v>27</v>
      </c>
      <c r="I39" t="str">
        <f>IF('Cleaned Data'!H39="Emi","EMI",'Cleaned Data'!H39)</f>
        <v>Finance</v>
      </c>
      <c r="J39" t="s">
        <v>48</v>
      </c>
      <c r="K39" t="s">
        <v>123</v>
      </c>
      <c r="L39">
        <v>1</v>
      </c>
      <c r="M39" s="9">
        <v>122605</v>
      </c>
      <c r="N39" s="4">
        <v>2.8000000000000001E-2</v>
      </c>
      <c r="O39" s="4">
        <f t="shared" si="0"/>
        <v>2.8000000000000001E-2</v>
      </c>
      <c r="P39" s="11">
        <v>122605</v>
      </c>
      <c r="Q39" s="9">
        <v>3432.94</v>
      </c>
      <c r="R39" s="9">
        <v>119172.06</v>
      </c>
      <c r="S39">
        <v>5</v>
      </c>
      <c r="T39">
        <v>177</v>
      </c>
      <c r="U39">
        <v>4.3</v>
      </c>
      <c r="V39">
        <v>5</v>
      </c>
      <c r="W39">
        <f>IF('Cleaned Data'!V39&lt;0,"Review",'Cleaned Data'!V39)</f>
        <v>5</v>
      </c>
      <c r="X39">
        <v>2</v>
      </c>
      <c r="Y39" s="7">
        <f>IFERROR('Cleaned Data'!R39/'Cleaned Data'!L39,0)</f>
        <v>119172.06</v>
      </c>
      <c r="Z39" t="str">
        <f>TEXT(EV_Sales[[#This Row],[Order_Date]],"mmm-yyyy")</f>
        <v>May-2025</v>
      </c>
      <c r="AA39">
        <f>MONTH(EV_Sales[[#This Row],[Order_Date]])</f>
        <v>5</v>
      </c>
      <c r="AB39" s="12" t="str">
        <f>"Q"&amp;ROUNDUP(MONTH(EV_Sales[[#This Row],[Order_Date]])/3,0)</f>
        <v>Q2</v>
      </c>
    </row>
    <row r="40" spans="1:28" x14ac:dyDescent="0.3">
      <c r="A40" t="s">
        <v>128</v>
      </c>
      <c r="B40" s="2">
        <v>45960</v>
      </c>
      <c r="C40" t="s">
        <v>31</v>
      </c>
      <c r="D40" t="s">
        <v>97</v>
      </c>
      <c r="E40" t="s">
        <v>24</v>
      </c>
      <c r="F40" t="s">
        <v>74</v>
      </c>
      <c r="G40" t="s">
        <v>56</v>
      </c>
      <c r="H40" t="s">
        <v>53</v>
      </c>
      <c r="I40" t="str">
        <f>IF('Cleaned Data'!H40="Emi","EMI",'Cleaned Data'!H40)</f>
        <v>Cash</v>
      </c>
      <c r="J40" t="s">
        <v>48</v>
      </c>
      <c r="K40" t="s">
        <v>37</v>
      </c>
      <c r="L40">
        <v>4</v>
      </c>
      <c r="M40" s="9">
        <v>123706</v>
      </c>
      <c r="N40" s="4">
        <v>0.108</v>
      </c>
      <c r="O40" s="4">
        <f t="shared" si="0"/>
        <v>0.108</v>
      </c>
      <c r="P40" s="11">
        <v>494824</v>
      </c>
      <c r="Q40" s="9">
        <v>53440.99</v>
      </c>
      <c r="R40" s="9">
        <v>441383.01</v>
      </c>
      <c r="S40">
        <v>4</v>
      </c>
      <c r="T40">
        <v>178</v>
      </c>
      <c r="U40">
        <v>3.6</v>
      </c>
      <c r="V40">
        <v>7</v>
      </c>
      <c r="W40">
        <f>IF('Cleaned Data'!V40&lt;0,"Review",'Cleaned Data'!V40)</f>
        <v>7</v>
      </c>
      <c r="X40">
        <v>2</v>
      </c>
      <c r="Y40" s="7">
        <f>IFERROR('Cleaned Data'!R40/'Cleaned Data'!L40,0)</f>
        <v>110345.7525</v>
      </c>
      <c r="Z40" t="str">
        <f>TEXT(EV_Sales[[#This Row],[Order_Date]],"mmm-yyyy")</f>
        <v>Oct-2025</v>
      </c>
      <c r="AA40">
        <f>MONTH(EV_Sales[[#This Row],[Order_Date]])</f>
        <v>10</v>
      </c>
      <c r="AB40" s="12" t="str">
        <f>"Q"&amp;ROUNDUP(MONTH(EV_Sales[[#This Row],[Order_Date]])/3,0)</f>
        <v>Q4</v>
      </c>
    </row>
    <row r="41" spans="1:28" x14ac:dyDescent="0.3">
      <c r="A41" t="s">
        <v>129</v>
      </c>
      <c r="B41" s="2">
        <v>45940</v>
      </c>
      <c r="C41" t="s">
        <v>87</v>
      </c>
      <c r="D41" t="s">
        <v>130</v>
      </c>
      <c r="E41" t="s">
        <v>62</v>
      </c>
      <c r="F41" t="s">
        <v>25</v>
      </c>
      <c r="G41" t="s">
        <v>56</v>
      </c>
      <c r="H41" t="s">
        <v>53</v>
      </c>
      <c r="I41" t="str">
        <f>IF('Cleaned Data'!H41="Emi","EMI",'Cleaned Data'!H41)</f>
        <v>Cash</v>
      </c>
      <c r="J41" t="s">
        <v>94</v>
      </c>
      <c r="K41" t="s">
        <v>131</v>
      </c>
      <c r="L41">
        <v>2</v>
      </c>
      <c r="M41" s="9">
        <v>104378</v>
      </c>
      <c r="N41" s="4">
        <v>2.4E-2</v>
      </c>
      <c r="O41" s="4">
        <f t="shared" si="0"/>
        <v>2.4E-2</v>
      </c>
      <c r="P41" s="11">
        <v>208756</v>
      </c>
      <c r="Q41" s="9">
        <v>5010.1400000000003</v>
      </c>
      <c r="R41" s="9">
        <v>203745.86</v>
      </c>
      <c r="S41">
        <v>3</v>
      </c>
      <c r="T41">
        <v>168</v>
      </c>
      <c r="U41">
        <v>5</v>
      </c>
      <c r="V41">
        <v>6</v>
      </c>
      <c r="W41">
        <f>IF('Cleaned Data'!V41&lt;0,"Review",'Cleaned Data'!V41)</f>
        <v>6</v>
      </c>
      <c r="X41">
        <v>3</v>
      </c>
      <c r="Y41" s="7">
        <f>IFERROR('Cleaned Data'!R41/'Cleaned Data'!L41,0)</f>
        <v>101872.93</v>
      </c>
      <c r="Z41" t="str">
        <f>TEXT(EV_Sales[[#This Row],[Order_Date]],"mmm-yyyy")</f>
        <v>Oct-2025</v>
      </c>
      <c r="AA41">
        <f>MONTH(EV_Sales[[#This Row],[Order_Date]])</f>
        <v>10</v>
      </c>
      <c r="AB41" s="12" t="str">
        <f>"Q"&amp;ROUNDUP(MONTH(EV_Sales[[#This Row],[Order_Date]])/3,0)</f>
        <v>Q4</v>
      </c>
    </row>
    <row r="42" spans="1:28" x14ac:dyDescent="0.3">
      <c r="A42" t="s">
        <v>132</v>
      </c>
      <c r="B42" s="2">
        <v>45740</v>
      </c>
      <c r="C42" t="s">
        <v>99</v>
      </c>
      <c r="D42" t="s">
        <v>100</v>
      </c>
      <c r="E42" t="s">
        <v>62</v>
      </c>
      <c r="F42" t="s">
        <v>52</v>
      </c>
      <c r="G42" t="s">
        <v>56</v>
      </c>
      <c r="H42" t="s">
        <v>27</v>
      </c>
      <c r="I42" t="str">
        <f>IF('Cleaned Data'!H42="Emi","EMI",'Cleaned Data'!H42)</f>
        <v>Finance</v>
      </c>
      <c r="J42" t="s">
        <v>48</v>
      </c>
      <c r="K42" t="s">
        <v>29</v>
      </c>
      <c r="L42">
        <v>1</v>
      </c>
      <c r="M42" s="9">
        <v>115353</v>
      </c>
      <c r="N42" s="4">
        <v>3.3000000000000002E-2</v>
      </c>
      <c r="O42" s="4">
        <f t="shared" si="0"/>
        <v>3.3000000000000002E-2</v>
      </c>
      <c r="P42" s="11">
        <v>115353</v>
      </c>
      <c r="Q42" s="9">
        <v>3806.65</v>
      </c>
      <c r="R42" s="9">
        <v>111546.35</v>
      </c>
      <c r="S42">
        <v>5</v>
      </c>
      <c r="T42">
        <v>183</v>
      </c>
      <c r="U42">
        <v>4.3</v>
      </c>
      <c r="V42">
        <v>2</v>
      </c>
      <c r="W42">
        <f>IF('Cleaned Data'!V42&lt;0,"Review",'Cleaned Data'!V42)</f>
        <v>2</v>
      </c>
      <c r="X42">
        <v>3</v>
      </c>
      <c r="Y42" s="7">
        <f>IFERROR('Cleaned Data'!R42/'Cleaned Data'!L42,0)</f>
        <v>111546.35</v>
      </c>
      <c r="Z42" t="str">
        <f>TEXT(EV_Sales[[#This Row],[Order_Date]],"mmm-yyyy")</f>
        <v>Mar-2025</v>
      </c>
      <c r="AA42">
        <f>MONTH(EV_Sales[[#This Row],[Order_Date]])</f>
        <v>3</v>
      </c>
      <c r="AB42" s="12" t="str">
        <f>"Q"&amp;ROUNDUP(MONTH(EV_Sales[[#This Row],[Order_Date]])/3,0)</f>
        <v>Q1</v>
      </c>
    </row>
    <row r="43" spans="1:28" x14ac:dyDescent="0.3">
      <c r="A43" t="s">
        <v>133</v>
      </c>
      <c r="B43" s="2">
        <v>45916</v>
      </c>
      <c r="C43" t="s">
        <v>87</v>
      </c>
      <c r="D43" t="s">
        <v>88</v>
      </c>
      <c r="E43" t="s">
        <v>46</v>
      </c>
      <c r="F43" t="s">
        <v>25</v>
      </c>
      <c r="G43" t="s">
        <v>26</v>
      </c>
      <c r="H43" t="s">
        <v>27</v>
      </c>
      <c r="I43" t="str">
        <f>IF('Cleaned Data'!H43="Emi","EMI",'Cleaned Data'!H43)</f>
        <v>Finance</v>
      </c>
      <c r="J43" t="s">
        <v>63</v>
      </c>
      <c r="K43" t="s">
        <v>123</v>
      </c>
      <c r="L43">
        <v>2</v>
      </c>
      <c r="M43" s="9">
        <v>158895</v>
      </c>
      <c r="N43" s="4">
        <v>7.4999999999999997E-2</v>
      </c>
      <c r="O43" s="4">
        <f t="shared" si="0"/>
        <v>7.4999999999999997E-2</v>
      </c>
      <c r="P43" s="11">
        <v>317790</v>
      </c>
      <c r="Q43" s="9">
        <v>23834.25</v>
      </c>
      <c r="R43" s="9">
        <v>293955.75</v>
      </c>
      <c r="S43">
        <v>4</v>
      </c>
      <c r="T43">
        <v>179</v>
      </c>
      <c r="U43">
        <v>4.5</v>
      </c>
      <c r="V43">
        <v>8</v>
      </c>
      <c r="W43">
        <f>IF('Cleaned Data'!V43&lt;0,"Review",'Cleaned Data'!V43)</f>
        <v>8</v>
      </c>
      <c r="X43">
        <v>5</v>
      </c>
      <c r="Y43" s="7">
        <f>IFERROR('Cleaned Data'!R43/'Cleaned Data'!L43,0)</f>
        <v>146977.875</v>
      </c>
      <c r="Z43" t="str">
        <f>TEXT(EV_Sales[[#This Row],[Order_Date]],"mmm-yyyy")</f>
        <v>Sep-2025</v>
      </c>
      <c r="AA43">
        <f>MONTH(EV_Sales[[#This Row],[Order_Date]])</f>
        <v>9</v>
      </c>
      <c r="AB43" s="12" t="str">
        <f>"Q"&amp;ROUNDUP(MONTH(EV_Sales[[#This Row],[Order_Date]])/3,0)</f>
        <v>Q3</v>
      </c>
    </row>
    <row r="44" spans="1:28" x14ac:dyDescent="0.3">
      <c r="A44" t="s">
        <v>134</v>
      </c>
      <c r="B44" s="2">
        <v>45849</v>
      </c>
      <c r="C44" t="s">
        <v>22</v>
      </c>
      <c r="D44" t="s">
        <v>23</v>
      </c>
      <c r="E44" t="s">
        <v>24</v>
      </c>
      <c r="F44" t="s">
        <v>74</v>
      </c>
      <c r="G44" t="s">
        <v>34</v>
      </c>
      <c r="H44" t="s">
        <v>809</v>
      </c>
      <c r="I44" t="str">
        <f>IF('Cleaned Data'!H44="Emi","EMI",'Cleaned Data'!H44)</f>
        <v>EMI</v>
      </c>
      <c r="J44" t="s">
        <v>36</v>
      </c>
      <c r="K44" t="s">
        <v>49</v>
      </c>
      <c r="L44">
        <v>1</v>
      </c>
      <c r="M44" s="9">
        <v>118689</v>
      </c>
      <c r="N44" s="4">
        <v>7.9000000000000001E-2</v>
      </c>
      <c r="O44" s="4">
        <f t="shared" si="0"/>
        <v>7.9000000000000001E-2</v>
      </c>
      <c r="P44" s="11">
        <v>118689</v>
      </c>
      <c r="Q44" s="9">
        <v>9376.43</v>
      </c>
      <c r="R44" s="9">
        <v>109312.57</v>
      </c>
      <c r="S44">
        <v>3</v>
      </c>
      <c r="T44">
        <v>174</v>
      </c>
      <c r="U44">
        <v>4</v>
      </c>
      <c r="V44">
        <v>5</v>
      </c>
      <c r="W44">
        <f>IF('Cleaned Data'!V44&lt;0,"Review",'Cleaned Data'!V44)</f>
        <v>5</v>
      </c>
      <c r="X44">
        <v>2</v>
      </c>
      <c r="Y44" s="7">
        <f>IFERROR('Cleaned Data'!R44/'Cleaned Data'!L44,0)</f>
        <v>109312.57</v>
      </c>
      <c r="Z44" t="str">
        <f>TEXT(EV_Sales[[#This Row],[Order_Date]],"mmm-yyyy")</f>
        <v>Jul-2025</v>
      </c>
      <c r="AA44">
        <f>MONTH(EV_Sales[[#This Row],[Order_Date]])</f>
        <v>7</v>
      </c>
      <c r="AB44" s="12" t="str">
        <f>"Q"&amp;ROUNDUP(MONTH(EV_Sales[[#This Row],[Order_Date]])/3,0)</f>
        <v>Q3</v>
      </c>
    </row>
    <row r="45" spans="1:28" x14ac:dyDescent="0.3">
      <c r="A45" t="s">
        <v>135</v>
      </c>
      <c r="B45" s="2">
        <v>45708</v>
      </c>
      <c r="C45" t="s">
        <v>22</v>
      </c>
      <c r="D45" t="s">
        <v>23</v>
      </c>
      <c r="E45" t="s">
        <v>24</v>
      </c>
      <c r="F45" t="s">
        <v>33</v>
      </c>
      <c r="G45" t="s">
        <v>56</v>
      </c>
      <c r="H45" t="s">
        <v>53</v>
      </c>
      <c r="I45" t="str">
        <f>IF('Cleaned Data'!H45="Emi","EMI",'Cleaned Data'!H45)</f>
        <v>Cash</v>
      </c>
      <c r="J45" t="s">
        <v>63</v>
      </c>
      <c r="K45" t="s">
        <v>109</v>
      </c>
      <c r="L45">
        <v>2</v>
      </c>
      <c r="M45" s="9">
        <v>126180</v>
      </c>
      <c r="N45" s="4">
        <v>6.6000000000000003E-2</v>
      </c>
      <c r="O45" s="4">
        <f t="shared" si="0"/>
        <v>6.6000000000000003E-2</v>
      </c>
      <c r="P45" s="11">
        <v>252360</v>
      </c>
      <c r="Q45" s="9">
        <v>16655.759999999998</v>
      </c>
      <c r="R45" s="9">
        <v>235704.24</v>
      </c>
      <c r="S45">
        <v>5</v>
      </c>
      <c r="T45">
        <v>201</v>
      </c>
      <c r="U45">
        <v>3.9</v>
      </c>
      <c r="V45">
        <v>3</v>
      </c>
      <c r="W45">
        <f>IF('Cleaned Data'!V45&lt;0,"Review",'Cleaned Data'!V45)</f>
        <v>3</v>
      </c>
      <c r="X45">
        <v>2</v>
      </c>
      <c r="Y45" s="7">
        <f>IFERROR('Cleaned Data'!R45/'Cleaned Data'!L45,0)</f>
        <v>117852.12</v>
      </c>
      <c r="Z45" t="str">
        <f>TEXT(EV_Sales[[#This Row],[Order_Date]],"mmm-yyyy")</f>
        <v>Feb-2025</v>
      </c>
      <c r="AA45">
        <f>MONTH(EV_Sales[[#This Row],[Order_Date]])</f>
        <v>2</v>
      </c>
      <c r="AB45" s="12" t="str">
        <f>"Q"&amp;ROUNDUP(MONTH(EV_Sales[[#This Row],[Order_Date]])/3,0)</f>
        <v>Q1</v>
      </c>
    </row>
    <row r="46" spans="1:28" x14ac:dyDescent="0.3">
      <c r="A46" t="s">
        <v>136</v>
      </c>
      <c r="B46" s="2">
        <v>46017</v>
      </c>
      <c r="C46" t="s">
        <v>31</v>
      </c>
      <c r="D46" t="s">
        <v>32</v>
      </c>
      <c r="E46" t="s">
        <v>46</v>
      </c>
      <c r="F46" t="s">
        <v>25</v>
      </c>
      <c r="G46" t="s">
        <v>26</v>
      </c>
      <c r="H46" t="s">
        <v>27</v>
      </c>
      <c r="I46" t="str">
        <f>IF('Cleaned Data'!H46="Emi","EMI",'Cleaned Data'!H46)</f>
        <v>Finance</v>
      </c>
      <c r="J46" t="s">
        <v>94</v>
      </c>
      <c r="K46" t="s">
        <v>109</v>
      </c>
      <c r="L46">
        <v>2</v>
      </c>
      <c r="M46" s="9">
        <v>109739</v>
      </c>
      <c r="N46" s="4">
        <v>0.107</v>
      </c>
      <c r="O46" s="4">
        <f t="shared" si="0"/>
        <v>0.107</v>
      </c>
      <c r="P46" s="11">
        <v>219478</v>
      </c>
      <c r="Q46" s="9">
        <v>23484.15</v>
      </c>
      <c r="R46" s="9">
        <v>195993.85</v>
      </c>
      <c r="S46">
        <v>4</v>
      </c>
      <c r="T46">
        <v>182</v>
      </c>
      <c r="U46">
        <v>4.3</v>
      </c>
      <c r="V46">
        <v>4</v>
      </c>
      <c r="W46">
        <f>IF('Cleaned Data'!V46&lt;0,"Review",'Cleaned Data'!V46)</f>
        <v>4</v>
      </c>
      <c r="X46">
        <v>5</v>
      </c>
      <c r="Y46" s="7">
        <f>IFERROR('Cleaned Data'!R46/'Cleaned Data'!L46,0)</f>
        <v>97996.925000000003</v>
      </c>
      <c r="Z46" t="str">
        <f>TEXT(EV_Sales[[#This Row],[Order_Date]],"mmm-yyyy")</f>
        <v>Dec-2025</v>
      </c>
      <c r="AA46">
        <f>MONTH(EV_Sales[[#This Row],[Order_Date]])</f>
        <v>12</v>
      </c>
      <c r="AB46" s="12" t="str">
        <f>"Q"&amp;ROUNDUP(MONTH(EV_Sales[[#This Row],[Order_Date]])/3,0)</f>
        <v>Q4</v>
      </c>
    </row>
    <row r="47" spans="1:28" x14ac:dyDescent="0.3">
      <c r="A47" t="s">
        <v>137</v>
      </c>
      <c r="B47" s="2">
        <v>45658</v>
      </c>
      <c r="C47" t="s">
        <v>60</v>
      </c>
      <c r="D47" t="s">
        <v>61</v>
      </c>
      <c r="E47" t="s">
        <v>62</v>
      </c>
      <c r="F47" t="s">
        <v>70</v>
      </c>
      <c r="G47" t="s">
        <v>26</v>
      </c>
      <c r="H47" t="s">
        <v>809</v>
      </c>
      <c r="I47" t="str">
        <f>IF('Cleaned Data'!H47="Emi","EMI",'Cleaned Data'!H47)</f>
        <v>EMI</v>
      </c>
      <c r="J47" t="s">
        <v>28</v>
      </c>
      <c r="K47" t="s">
        <v>138</v>
      </c>
      <c r="L47">
        <v>2</v>
      </c>
      <c r="M47" s="9">
        <v>113831</v>
      </c>
      <c r="N47" s="4">
        <v>0.109</v>
      </c>
      <c r="O47" s="4">
        <f t="shared" si="0"/>
        <v>0.109</v>
      </c>
      <c r="P47" s="11">
        <v>227662</v>
      </c>
      <c r="Q47" s="9">
        <v>24815.16</v>
      </c>
      <c r="R47" s="9">
        <v>202846.84</v>
      </c>
      <c r="S47">
        <v>3</v>
      </c>
      <c r="T47">
        <v>149</v>
      </c>
      <c r="U47">
        <v>3.6</v>
      </c>
      <c r="V47">
        <v>11</v>
      </c>
      <c r="W47">
        <f>IF('Cleaned Data'!V47&lt;0,"Review",'Cleaned Data'!V47)</f>
        <v>11</v>
      </c>
      <c r="X47">
        <v>2</v>
      </c>
      <c r="Y47" s="7">
        <f>IFERROR('Cleaned Data'!R47/'Cleaned Data'!L47,0)</f>
        <v>101423.42</v>
      </c>
      <c r="Z47" t="str">
        <f>TEXT(EV_Sales[[#This Row],[Order_Date]],"mmm-yyyy")</f>
        <v>Jan-2025</v>
      </c>
      <c r="AA47">
        <f>MONTH(EV_Sales[[#This Row],[Order_Date]])</f>
        <v>1</v>
      </c>
      <c r="AB47" s="12" t="str">
        <f>"Q"&amp;ROUNDUP(MONTH(EV_Sales[[#This Row],[Order_Date]])/3,0)</f>
        <v>Q1</v>
      </c>
    </row>
    <row r="48" spans="1:28" x14ac:dyDescent="0.3">
      <c r="A48" t="s">
        <v>139</v>
      </c>
      <c r="B48" s="2">
        <v>45718</v>
      </c>
      <c r="C48" t="s">
        <v>22</v>
      </c>
      <c r="D48" t="s">
        <v>23</v>
      </c>
      <c r="E48" t="s">
        <v>24</v>
      </c>
      <c r="F48" t="s">
        <v>101</v>
      </c>
      <c r="G48" t="s">
        <v>34</v>
      </c>
      <c r="H48" t="s">
        <v>809</v>
      </c>
      <c r="I48" t="str">
        <f>IF('Cleaned Data'!H48="Emi","EMI",'Cleaned Data'!H48)</f>
        <v>EMI</v>
      </c>
      <c r="J48" t="s">
        <v>28</v>
      </c>
      <c r="K48" t="s">
        <v>85</v>
      </c>
      <c r="L48">
        <v>1</v>
      </c>
      <c r="M48" s="9">
        <v>127387</v>
      </c>
      <c r="N48" s="4">
        <v>2.8000000000000001E-2</v>
      </c>
      <c r="O48" s="4">
        <f t="shared" si="0"/>
        <v>2.8000000000000001E-2</v>
      </c>
      <c r="P48" s="11">
        <v>127387</v>
      </c>
      <c r="Q48" s="9">
        <v>3566.84</v>
      </c>
      <c r="R48" s="9">
        <v>123820.16</v>
      </c>
      <c r="S48">
        <v>4</v>
      </c>
      <c r="T48">
        <v>182</v>
      </c>
      <c r="U48">
        <v>4.2</v>
      </c>
      <c r="V48">
        <v>9</v>
      </c>
      <c r="W48">
        <f>IF('Cleaned Data'!V48&lt;0,"Review",'Cleaned Data'!V48)</f>
        <v>9</v>
      </c>
      <c r="X48">
        <v>3</v>
      </c>
      <c r="Y48" s="7">
        <f>IFERROR('Cleaned Data'!R48/'Cleaned Data'!L48,0)</f>
        <v>123820.16</v>
      </c>
      <c r="Z48" t="str">
        <f>TEXT(EV_Sales[[#This Row],[Order_Date]],"mmm-yyyy")</f>
        <v>Mar-2025</v>
      </c>
      <c r="AA48">
        <f>MONTH(EV_Sales[[#This Row],[Order_Date]])</f>
        <v>3</v>
      </c>
      <c r="AB48" s="12" t="str">
        <f>"Q"&amp;ROUNDUP(MONTH(EV_Sales[[#This Row],[Order_Date]])/3,0)</f>
        <v>Q1</v>
      </c>
    </row>
    <row r="49" spans="1:28" x14ac:dyDescent="0.3">
      <c r="A49" t="s">
        <v>140</v>
      </c>
      <c r="B49" s="2">
        <v>45811</v>
      </c>
      <c r="C49" t="s">
        <v>99</v>
      </c>
      <c r="D49" t="s">
        <v>141</v>
      </c>
      <c r="E49" t="s">
        <v>24</v>
      </c>
      <c r="F49" t="s">
        <v>80</v>
      </c>
      <c r="G49" t="s">
        <v>56</v>
      </c>
      <c r="H49" t="s">
        <v>809</v>
      </c>
      <c r="I49" t="str">
        <f>IF('Cleaned Data'!H49="Emi","EMI",'Cleaned Data'!H49)</f>
        <v>EMI</v>
      </c>
      <c r="J49" t="s">
        <v>57</v>
      </c>
      <c r="K49" t="s">
        <v>78</v>
      </c>
      <c r="L49">
        <v>1</v>
      </c>
      <c r="M49" s="9">
        <v>136547</v>
      </c>
      <c r="N49" s="4">
        <v>9.0999999999999998E-2</v>
      </c>
      <c r="O49" s="4">
        <f t="shared" si="0"/>
        <v>9.0999999999999998E-2</v>
      </c>
      <c r="P49" s="11">
        <v>136547</v>
      </c>
      <c r="Q49" s="9">
        <v>12425.78</v>
      </c>
      <c r="R49" s="9">
        <v>124121.22</v>
      </c>
      <c r="S49">
        <v>5</v>
      </c>
      <c r="T49">
        <v>236</v>
      </c>
      <c r="U49">
        <v>4.5999999999999996</v>
      </c>
      <c r="V49">
        <v>14</v>
      </c>
      <c r="W49">
        <f>IF('Cleaned Data'!V49&lt;0,"Review",'Cleaned Data'!V49)</f>
        <v>14</v>
      </c>
      <c r="X49">
        <v>3</v>
      </c>
      <c r="Y49" s="7">
        <f>IFERROR('Cleaned Data'!R49/'Cleaned Data'!L49,0)</f>
        <v>124121.22</v>
      </c>
      <c r="Z49" t="str">
        <f>TEXT(EV_Sales[[#This Row],[Order_Date]],"mmm-yyyy")</f>
        <v>Jun-2025</v>
      </c>
      <c r="AA49">
        <f>MONTH(EV_Sales[[#This Row],[Order_Date]])</f>
        <v>6</v>
      </c>
      <c r="AB49" s="12" t="str">
        <f>"Q"&amp;ROUNDUP(MONTH(EV_Sales[[#This Row],[Order_Date]])/3,0)</f>
        <v>Q2</v>
      </c>
    </row>
    <row r="50" spans="1:28" x14ac:dyDescent="0.3">
      <c r="A50" t="s">
        <v>142</v>
      </c>
      <c r="B50" s="2">
        <v>45859</v>
      </c>
      <c r="C50" t="s">
        <v>60</v>
      </c>
      <c r="D50" t="s">
        <v>61</v>
      </c>
      <c r="E50" t="s">
        <v>62</v>
      </c>
      <c r="F50" t="s">
        <v>70</v>
      </c>
      <c r="G50" t="s">
        <v>67</v>
      </c>
      <c r="H50" t="s">
        <v>27</v>
      </c>
      <c r="I50" t="str">
        <f>IF('Cleaned Data'!H50="Emi","EMI",'Cleaned Data'!H50)</f>
        <v>Finance</v>
      </c>
      <c r="J50" t="s">
        <v>36</v>
      </c>
      <c r="K50" t="s">
        <v>143</v>
      </c>
      <c r="L50">
        <v>2</v>
      </c>
      <c r="M50" s="9">
        <v>121635</v>
      </c>
      <c r="N50" s="4">
        <v>2.9000000000000001E-2</v>
      </c>
      <c r="O50" s="4">
        <f t="shared" si="0"/>
        <v>2.9000000000000001E-2</v>
      </c>
      <c r="P50" s="11">
        <v>243270</v>
      </c>
      <c r="Q50" s="9">
        <v>7054.83</v>
      </c>
      <c r="R50" s="9">
        <v>236215.17</v>
      </c>
      <c r="S50">
        <v>4</v>
      </c>
      <c r="T50">
        <v>173</v>
      </c>
      <c r="U50">
        <v>3.6</v>
      </c>
      <c r="V50">
        <v>10</v>
      </c>
      <c r="W50">
        <f>IF('Cleaned Data'!V50&lt;0,"Review",'Cleaned Data'!V50)</f>
        <v>10</v>
      </c>
      <c r="X50">
        <v>3</v>
      </c>
      <c r="Y50" s="7">
        <f>IFERROR('Cleaned Data'!R50/'Cleaned Data'!L50,0)</f>
        <v>118107.58500000001</v>
      </c>
      <c r="Z50" t="str">
        <f>TEXT(EV_Sales[[#This Row],[Order_Date]],"mmm-yyyy")</f>
        <v>Jul-2025</v>
      </c>
      <c r="AA50">
        <f>MONTH(EV_Sales[[#This Row],[Order_Date]])</f>
        <v>7</v>
      </c>
      <c r="AB50" s="12" t="str">
        <f>"Q"&amp;ROUNDUP(MONTH(EV_Sales[[#This Row],[Order_Date]])/3,0)</f>
        <v>Q3</v>
      </c>
    </row>
    <row r="51" spans="1:28" x14ac:dyDescent="0.3">
      <c r="A51" t="s">
        <v>144</v>
      </c>
      <c r="B51" s="2">
        <v>45768</v>
      </c>
      <c r="C51" t="s">
        <v>87</v>
      </c>
      <c r="D51" t="s">
        <v>88</v>
      </c>
      <c r="E51" t="s">
        <v>62</v>
      </c>
      <c r="F51" t="s">
        <v>80</v>
      </c>
      <c r="G51" t="s">
        <v>67</v>
      </c>
      <c r="H51" t="s">
        <v>53</v>
      </c>
      <c r="I51" t="str">
        <f>IF('Cleaned Data'!H51="Emi","EMI",'Cleaned Data'!H51)</f>
        <v>Cash</v>
      </c>
      <c r="J51" t="s">
        <v>57</v>
      </c>
      <c r="K51" t="s">
        <v>95</v>
      </c>
      <c r="L51">
        <v>2</v>
      </c>
      <c r="M51" s="9">
        <v>150064</v>
      </c>
      <c r="N51" s="4">
        <v>3.3000000000000002E-2</v>
      </c>
      <c r="O51" s="4">
        <f t="shared" si="0"/>
        <v>3.3000000000000002E-2</v>
      </c>
      <c r="P51" s="11">
        <v>300128</v>
      </c>
      <c r="Q51" s="9">
        <v>9904.2199999999993</v>
      </c>
      <c r="R51" s="9">
        <v>290223.78000000003</v>
      </c>
      <c r="S51">
        <v>3</v>
      </c>
      <c r="T51">
        <v>180</v>
      </c>
      <c r="U51">
        <v>3.5</v>
      </c>
      <c r="V51">
        <v>3</v>
      </c>
      <c r="W51">
        <f>IF('Cleaned Data'!V51&lt;0,"Review",'Cleaned Data'!V51)</f>
        <v>3</v>
      </c>
      <c r="X51">
        <v>5</v>
      </c>
      <c r="Y51" s="7">
        <f>IFERROR('Cleaned Data'!R51/'Cleaned Data'!L51,0)</f>
        <v>145111.89000000001</v>
      </c>
      <c r="Z51" t="str">
        <f>TEXT(EV_Sales[[#This Row],[Order_Date]],"mmm-yyyy")</f>
        <v>Apr-2025</v>
      </c>
      <c r="AA51">
        <f>MONTH(EV_Sales[[#This Row],[Order_Date]])</f>
        <v>4</v>
      </c>
      <c r="AB51" s="12" t="str">
        <f>"Q"&amp;ROUNDUP(MONTH(EV_Sales[[#This Row],[Order_Date]])/3,0)</f>
        <v>Q2</v>
      </c>
    </row>
    <row r="52" spans="1:28" x14ac:dyDescent="0.3">
      <c r="A52" t="s">
        <v>145</v>
      </c>
      <c r="B52" s="2">
        <v>45855</v>
      </c>
      <c r="C52" t="s">
        <v>87</v>
      </c>
      <c r="D52" t="s">
        <v>130</v>
      </c>
      <c r="E52" t="s">
        <v>46</v>
      </c>
      <c r="F52" t="s">
        <v>52</v>
      </c>
      <c r="G52" t="s">
        <v>26</v>
      </c>
      <c r="H52" t="s">
        <v>809</v>
      </c>
      <c r="I52" t="str">
        <f>IF('Cleaned Data'!H52="Emi","EMI",'Cleaned Data'!H52)</f>
        <v>EMI</v>
      </c>
      <c r="J52" t="s">
        <v>28</v>
      </c>
      <c r="K52" t="s">
        <v>37</v>
      </c>
      <c r="L52">
        <v>1</v>
      </c>
      <c r="M52" s="9">
        <v>110912</v>
      </c>
      <c r="N52" s="4">
        <v>0.105</v>
      </c>
      <c r="O52" s="4">
        <f t="shared" si="0"/>
        <v>0.105</v>
      </c>
      <c r="P52" s="11">
        <v>110912</v>
      </c>
      <c r="Q52" s="9">
        <v>11645.76</v>
      </c>
      <c r="R52" s="9">
        <v>99266.240000000005</v>
      </c>
      <c r="S52">
        <v>2</v>
      </c>
      <c r="T52">
        <v>155</v>
      </c>
      <c r="U52">
        <v>4.2</v>
      </c>
      <c r="V52">
        <v>7</v>
      </c>
      <c r="W52">
        <f>IF('Cleaned Data'!V52&lt;0,"Review",'Cleaned Data'!V52)</f>
        <v>7</v>
      </c>
      <c r="X52">
        <v>3</v>
      </c>
      <c r="Y52" s="7">
        <f>IFERROR('Cleaned Data'!R52/'Cleaned Data'!L52,0)</f>
        <v>99266.240000000005</v>
      </c>
      <c r="Z52" t="str">
        <f>TEXT(EV_Sales[[#This Row],[Order_Date]],"mmm-yyyy")</f>
        <v>Jul-2025</v>
      </c>
      <c r="AA52">
        <f>MONTH(EV_Sales[[#This Row],[Order_Date]])</f>
        <v>7</v>
      </c>
      <c r="AB52" s="12" t="str">
        <f>"Q"&amp;ROUNDUP(MONTH(EV_Sales[[#This Row],[Order_Date]])/3,0)</f>
        <v>Q3</v>
      </c>
    </row>
    <row r="53" spans="1:28" x14ac:dyDescent="0.3">
      <c r="A53" t="s">
        <v>146</v>
      </c>
      <c r="B53" s="2">
        <v>45860</v>
      </c>
      <c r="C53" t="s">
        <v>99</v>
      </c>
      <c r="D53" t="s">
        <v>121</v>
      </c>
      <c r="E53" t="s">
        <v>62</v>
      </c>
      <c r="F53" t="s">
        <v>74</v>
      </c>
      <c r="G53" t="s">
        <v>26</v>
      </c>
      <c r="H53" t="s">
        <v>27</v>
      </c>
      <c r="I53" t="str">
        <f>IF('Cleaned Data'!H53="Emi","EMI",'Cleaned Data'!H53)</f>
        <v>Finance</v>
      </c>
      <c r="J53" t="s">
        <v>28</v>
      </c>
      <c r="K53" t="s">
        <v>131</v>
      </c>
      <c r="L53">
        <v>2</v>
      </c>
      <c r="M53" s="9">
        <v>102815</v>
      </c>
      <c r="N53" s="4">
        <v>9.7000000000000003E-2</v>
      </c>
      <c r="O53" s="4">
        <f t="shared" si="0"/>
        <v>9.7000000000000003E-2</v>
      </c>
      <c r="P53" s="11">
        <v>205630</v>
      </c>
      <c r="Q53" s="9">
        <v>19946.11</v>
      </c>
      <c r="R53" s="9">
        <v>185683.89</v>
      </c>
      <c r="S53">
        <v>3</v>
      </c>
      <c r="T53">
        <v>154</v>
      </c>
      <c r="U53">
        <v>3.3</v>
      </c>
      <c r="V53">
        <v>2</v>
      </c>
      <c r="W53">
        <f>IF('Cleaned Data'!V53&lt;0,"Review",'Cleaned Data'!V53)</f>
        <v>2</v>
      </c>
      <c r="X53">
        <v>2</v>
      </c>
      <c r="Y53" s="7">
        <f>IFERROR('Cleaned Data'!R53/'Cleaned Data'!L53,0)</f>
        <v>92841.945000000007</v>
      </c>
      <c r="Z53" t="str">
        <f>TEXT(EV_Sales[[#This Row],[Order_Date]],"mmm-yyyy")</f>
        <v>Jul-2025</v>
      </c>
      <c r="AA53">
        <f>MONTH(EV_Sales[[#This Row],[Order_Date]])</f>
        <v>7</v>
      </c>
      <c r="AB53" s="12" t="str">
        <f>"Q"&amp;ROUNDUP(MONTH(EV_Sales[[#This Row],[Order_Date]])/3,0)</f>
        <v>Q3</v>
      </c>
    </row>
    <row r="54" spans="1:28" x14ac:dyDescent="0.3">
      <c r="A54" t="s">
        <v>147</v>
      </c>
      <c r="B54" s="2">
        <v>46013</v>
      </c>
      <c r="C54" t="s">
        <v>87</v>
      </c>
      <c r="D54" t="s">
        <v>130</v>
      </c>
      <c r="E54" t="s">
        <v>24</v>
      </c>
      <c r="F54" t="s">
        <v>41</v>
      </c>
      <c r="G54" t="s">
        <v>67</v>
      </c>
      <c r="H54" t="s">
        <v>809</v>
      </c>
      <c r="I54" t="str">
        <f>IF('Cleaned Data'!H54="Emi","EMI",'Cleaned Data'!H54)</f>
        <v>EMI</v>
      </c>
      <c r="J54" t="s">
        <v>94</v>
      </c>
      <c r="K54" t="s">
        <v>148</v>
      </c>
      <c r="L54">
        <v>1</v>
      </c>
      <c r="M54" s="9">
        <v>112545</v>
      </c>
      <c r="N54" s="4">
        <v>5.7000000000000002E-2</v>
      </c>
      <c r="O54" s="4">
        <f t="shared" si="0"/>
        <v>5.7000000000000002E-2</v>
      </c>
      <c r="P54" s="11">
        <v>112545</v>
      </c>
      <c r="Q54" s="9">
        <v>6415.07</v>
      </c>
      <c r="R54" s="9">
        <v>106129.93</v>
      </c>
      <c r="S54">
        <v>3</v>
      </c>
      <c r="T54">
        <v>187</v>
      </c>
      <c r="U54">
        <v>5</v>
      </c>
      <c r="V54">
        <v>3</v>
      </c>
      <c r="W54">
        <f>IF('Cleaned Data'!V54&lt;0,"Review",'Cleaned Data'!V54)</f>
        <v>3</v>
      </c>
      <c r="X54">
        <v>2</v>
      </c>
      <c r="Y54" s="7">
        <f>IFERROR('Cleaned Data'!R54/'Cleaned Data'!L54,0)</f>
        <v>106129.93</v>
      </c>
      <c r="Z54" t="str">
        <f>TEXT(EV_Sales[[#This Row],[Order_Date]],"mmm-yyyy")</f>
        <v>Dec-2025</v>
      </c>
      <c r="AA54">
        <f>MONTH(EV_Sales[[#This Row],[Order_Date]])</f>
        <v>12</v>
      </c>
      <c r="AB54" s="12" t="str">
        <f>"Q"&amp;ROUNDUP(MONTH(EV_Sales[[#This Row],[Order_Date]])/3,0)</f>
        <v>Q4</v>
      </c>
    </row>
    <row r="55" spans="1:28" x14ac:dyDescent="0.3">
      <c r="A55" t="s">
        <v>149</v>
      </c>
      <c r="B55" s="2">
        <v>45695</v>
      </c>
      <c r="C55" t="s">
        <v>150</v>
      </c>
      <c r="D55" t="s">
        <v>77</v>
      </c>
      <c r="E55" t="s">
        <v>62</v>
      </c>
      <c r="F55" t="s">
        <v>74</v>
      </c>
      <c r="G55" t="s">
        <v>34</v>
      </c>
      <c r="H55" t="s">
        <v>27</v>
      </c>
      <c r="I55" t="str">
        <f>IF('Cleaned Data'!H55="Emi","EMI",'Cleaned Data'!H55)</f>
        <v>Finance</v>
      </c>
      <c r="J55" t="s">
        <v>36</v>
      </c>
      <c r="K55" t="s">
        <v>104</v>
      </c>
      <c r="L55">
        <v>1</v>
      </c>
      <c r="M55" s="9">
        <v>143382</v>
      </c>
      <c r="N55" s="4">
        <v>0.113</v>
      </c>
      <c r="O55" s="4">
        <f t="shared" si="0"/>
        <v>0.113</v>
      </c>
      <c r="P55" s="11">
        <v>143382</v>
      </c>
      <c r="Q55" s="9">
        <v>16202.17</v>
      </c>
      <c r="R55" s="9">
        <v>127179.83</v>
      </c>
      <c r="S55">
        <v>5</v>
      </c>
      <c r="T55">
        <v>202</v>
      </c>
      <c r="U55">
        <v>4.0999999999999996</v>
      </c>
      <c r="V55">
        <v>13</v>
      </c>
      <c r="W55">
        <f>IF('Cleaned Data'!V55&lt;0,"Review",'Cleaned Data'!V55)</f>
        <v>13</v>
      </c>
      <c r="X55">
        <v>5</v>
      </c>
      <c r="Y55" s="7">
        <f>IFERROR('Cleaned Data'!R55/'Cleaned Data'!L55,0)</f>
        <v>127179.83</v>
      </c>
      <c r="Z55" t="str">
        <f>TEXT(EV_Sales[[#This Row],[Order_Date]],"mmm-yyyy")</f>
        <v>Feb-2025</v>
      </c>
      <c r="AA55">
        <f>MONTH(EV_Sales[[#This Row],[Order_Date]])</f>
        <v>2</v>
      </c>
      <c r="AB55" s="12" t="str">
        <f>"Q"&amp;ROUNDUP(MONTH(EV_Sales[[#This Row],[Order_Date]])/3,0)</f>
        <v>Q1</v>
      </c>
    </row>
    <row r="56" spans="1:28" x14ac:dyDescent="0.3">
      <c r="A56" t="s">
        <v>151</v>
      </c>
      <c r="B56" s="2">
        <v>46018</v>
      </c>
      <c r="C56" t="s">
        <v>31</v>
      </c>
      <c r="D56" t="s">
        <v>97</v>
      </c>
      <c r="E56" t="s">
        <v>46</v>
      </c>
      <c r="F56" t="s">
        <v>101</v>
      </c>
      <c r="G56" t="s">
        <v>67</v>
      </c>
      <c r="H56" t="s">
        <v>27</v>
      </c>
      <c r="I56" t="str">
        <f>IF('Cleaned Data'!H56="Emi","EMI",'Cleaned Data'!H56)</f>
        <v>Finance</v>
      </c>
      <c r="J56" t="s">
        <v>28</v>
      </c>
      <c r="K56" t="s">
        <v>123</v>
      </c>
      <c r="L56">
        <v>3</v>
      </c>
      <c r="M56" s="9">
        <v>136751</v>
      </c>
      <c r="N56" s="4">
        <v>0.10299999999999999</v>
      </c>
      <c r="O56" s="4">
        <f t="shared" si="0"/>
        <v>0.10299999999999999</v>
      </c>
      <c r="P56" s="11">
        <v>410253</v>
      </c>
      <c r="Q56" s="9">
        <v>42256.06</v>
      </c>
      <c r="R56" s="9">
        <v>367996.94</v>
      </c>
      <c r="S56">
        <v>3</v>
      </c>
      <c r="T56">
        <v>171</v>
      </c>
      <c r="U56">
        <v>3.5</v>
      </c>
      <c r="V56">
        <v>5</v>
      </c>
      <c r="W56">
        <f>IF('Cleaned Data'!V56&lt;0,"Review",'Cleaned Data'!V56)</f>
        <v>5</v>
      </c>
      <c r="X56">
        <v>2</v>
      </c>
      <c r="Y56" s="7">
        <f>IFERROR('Cleaned Data'!R56/'Cleaned Data'!L56,0)</f>
        <v>122665.64666666667</v>
      </c>
      <c r="Z56" t="str">
        <f>TEXT(EV_Sales[[#This Row],[Order_Date]],"mmm-yyyy")</f>
        <v>Dec-2025</v>
      </c>
      <c r="AA56">
        <f>MONTH(EV_Sales[[#This Row],[Order_Date]])</f>
        <v>12</v>
      </c>
      <c r="AB56" s="12" t="str">
        <f>"Q"&amp;ROUNDUP(MONTH(EV_Sales[[#This Row],[Order_Date]])/3,0)</f>
        <v>Q4</v>
      </c>
    </row>
    <row r="57" spans="1:28" x14ac:dyDescent="0.3">
      <c r="A57" t="s">
        <v>152</v>
      </c>
      <c r="B57" s="2">
        <v>46010</v>
      </c>
      <c r="C57" t="s">
        <v>60</v>
      </c>
      <c r="D57" t="s">
        <v>61</v>
      </c>
      <c r="E57" t="s">
        <v>62</v>
      </c>
      <c r="F57" t="s">
        <v>33</v>
      </c>
      <c r="G57" t="s">
        <v>26</v>
      </c>
      <c r="H57" t="s">
        <v>27</v>
      </c>
      <c r="I57" t="str">
        <f>IF('Cleaned Data'!H57="Emi","EMI",'Cleaned Data'!H57)</f>
        <v>Finance</v>
      </c>
      <c r="J57" t="s">
        <v>63</v>
      </c>
      <c r="K57" t="s">
        <v>42</v>
      </c>
      <c r="L57">
        <v>2</v>
      </c>
      <c r="M57" s="9">
        <v>116193</v>
      </c>
      <c r="N57" s="4">
        <v>4.2999999999999997E-2</v>
      </c>
      <c r="O57" s="4">
        <f t="shared" si="0"/>
        <v>4.2999999999999997E-2</v>
      </c>
      <c r="P57" s="11">
        <v>232386</v>
      </c>
      <c r="Q57" s="9">
        <v>9992.6</v>
      </c>
      <c r="R57" s="9">
        <v>222393.4</v>
      </c>
      <c r="S57">
        <v>5</v>
      </c>
      <c r="T57">
        <v>209</v>
      </c>
      <c r="U57">
        <v>3.1</v>
      </c>
      <c r="V57">
        <v>9</v>
      </c>
      <c r="W57">
        <f>IF('Cleaned Data'!V57&lt;0,"Review",'Cleaned Data'!V57)</f>
        <v>9</v>
      </c>
      <c r="X57">
        <v>5</v>
      </c>
      <c r="Y57" s="7">
        <f>IFERROR('Cleaned Data'!R57/'Cleaned Data'!L57,0)</f>
        <v>111196.7</v>
      </c>
      <c r="Z57" t="str">
        <f>TEXT(EV_Sales[[#This Row],[Order_Date]],"mmm-yyyy")</f>
        <v>Dec-2025</v>
      </c>
      <c r="AA57">
        <f>MONTH(EV_Sales[[#This Row],[Order_Date]])</f>
        <v>12</v>
      </c>
      <c r="AB57" s="12" t="str">
        <f>"Q"&amp;ROUNDUP(MONTH(EV_Sales[[#This Row],[Order_Date]])/3,0)</f>
        <v>Q4</v>
      </c>
    </row>
    <row r="58" spans="1:28" x14ac:dyDescent="0.3">
      <c r="A58" t="s">
        <v>153</v>
      </c>
      <c r="B58" s="2">
        <v>45699</v>
      </c>
      <c r="C58" t="s">
        <v>39</v>
      </c>
      <c r="D58" t="s">
        <v>154</v>
      </c>
      <c r="E58" t="s">
        <v>46</v>
      </c>
      <c r="F58" t="s">
        <v>25</v>
      </c>
      <c r="G58" t="s">
        <v>56</v>
      </c>
      <c r="H58" t="s">
        <v>809</v>
      </c>
      <c r="I58" t="str">
        <f>IF('Cleaned Data'!H58="Emi","EMI",'Cleaned Data'!H58)</f>
        <v>EMI</v>
      </c>
      <c r="J58" t="s">
        <v>57</v>
      </c>
      <c r="K58" t="s">
        <v>49</v>
      </c>
      <c r="L58">
        <v>1</v>
      </c>
      <c r="M58" s="9">
        <v>189209</v>
      </c>
      <c r="N58" s="4">
        <v>8.2000000000000003E-2</v>
      </c>
      <c r="O58" s="4">
        <f t="shared" si="0"/>
        <v>8.2000000000000003E-2</v>
      </c>
      <c r="P58" s="11">
        <v>189209</v>
      </c>
      <c r="Q58" s="9">
        <v>15515.14</v>
      </c>
      <c r="R58" s="9">
        <v>173693.86</v>
      </c>
      <c r="S58">
        <v>4</v>
      </c>
      <c r="T58">
        <v>184</v>
      </c>
      <c r="U58">
        <v>4.2</v>
      </c>
      <c r="V58">
        <v>7</v>
      </c>
      <c r="W58">
        <f>IF('Cleaned Data'!V58&lt;0,"Review",'Cleaned Data'!V58)</f>
        <v>7</v>
      </c>
      <c r="X58">
        <v>2</v>
      </c>
      <c r="Y58" s="7">
        <f>IFERROR('Cleaned Data'!R58/'Cleaned Data'!L58,0)</f>
        <v>173693.86</v>
      </c>
      <c r="Z58" t="str">
        <f>TEXT(EV_Sales[[#This Row],[Order_Date]],"mmm-yyyy")</f>
        <v>Feb-2025</v>
      </c>
      <c r="AA58">
        <f>MONTH(EV_Sales[[#This Row],[Order_Date]])</f>
        <v>2</v>
      </c>
      <c r="AB58" s="12" t="str">
        <f>"Q"&amp;ROUNDUP(MONTH(EV_Sales[[#This Row],[Order_Date]])/3,0)</f>
        <v>Q1</v>
      </c>
    </row>
    <row r="59" spans="1:28" x14ac:dyDescent="0.3">
      <c r="A59" t="s">
        <v>155</v>
      </c>
      <c r="B59" s="2">
        <v>45979</v>
      </c>
      <c r="C59" t="s">
        <v>44</v>
      </c>
      <c r="D59" t="s">
        <v>51</v>
      </c>
      <c r="E59" t="s">
        <v>46</v>
      </c>
      <c r="F59" t="s">
        <v>41</v>
      </c>
      <c r="G59" t="s">
        <v>34</v>
      </c>
      <c r="H59" t="s">
        <v>53</v>
      </c>
      <c r="I59" t="str">
        <f>IF('Cleaned Data'!H59="Emi","EMI",'Cleaned Data'!H59)</f>
        <v>Cash</v>
      </c>
      <c r="J59" t="s">
        <v>48</v>
      </c>
      <c r="K59" t="s">
        <v>58</v>
      </c>
      <c r="L59">
        <v>3</v>
      </c>
      <c r="M59" s="9">
        <v>127529</v>
      </c>
      <c r="N59" s="4">
        <v>5.3999999999999999E-2</v>
      </c>
      <c r="O59" s="4">
        <f t="shared" si="0"/>
        <v>5.3999999999999999E-2</v>
      </c>
      <c r="P59" s="11">
        <v>382587</v>
      </c>
      <c r="Q59" s="9">
        <v>20659.7</v>
      </c>
      <c r="R59" s="9">
        <v>361927.3</v>
      </c>
      <c r="S59">
        <v>4</v>
      </c>
      <c r="T59">
        <v>178</v>
      </c>
      <c r="U59">
        <v>3.7</v>
      </c>
      <c r="V59">
        <v>14</v>
      </c>
      <c r="W59">
        <f>IF('Cleaned Data'!V59&lt;0,"Review",'Cleaned Data'!V59)</f>
        <v>14</v>
      </c>
      <c r="X59">
        <v>2</v>
      </c>
      <c r="Y59" s="7">
        <f>IFERROR('Cleaned Data'!R59/'Cleaned Data'!L59,0)</f>
        <v>120642.43333333333</v>
      </c>
      <c r="Z59" t="str">
        <f>TEXT(EV_Sales[[#This Row],[Order_Date]],"mmm-yyyy")</f>
        <v>Nov-2025</v>
      </c>
      <c r="AA59">
        <f>MONTH(EV_Sales[[#This Row],[Order_Date]])</f>
        <v>11</v>
      </c>
      <c r="AB59" s="12" t="str">
        <f>"Q"&amp;ROUNDUP(MONTH(EV_Sales[[#This Row],[Order_Date]])/3,0)</f>
        <v>Q4</v>
      </c>
    </row>
    <row r="60" spans="1:28" x14ac:dyDescent="0.3">
      <c r="A60" t="s">
        <v>156</v>
      </c>
      <c r="B60" s="2">
        <v>45900</v>
      </c>
      <c r="C60" t="s">
        <v>22</v>
      </c>
      <c r="D60" t="s">
        <v>107</v>
      </c>
      <c r="E60" t="s">
        <v>62</v>
      </c>
      <c r="F60" t="s">
        <v>101</v>
      </c>
      <c r="G60" t="s">
        <v>26</v>
      </c>
      <c r="H60" t="s">
        <v>809</v>
      </c>
      <c r="I60" t="str">
        <f>IF('Cleaned Data'!H60="Emi","EMI",'Cleaned Data'!H60)</f>
        <v>EMI</v>
      </c>
      <c r="J60" t="s">
        <v>36</v>
      </c>
      <c r="K60" t="s">
        <v>157</v>
      </c>
      <c r="L60">
        <v>2</v>
      </c>
      <c r="M60" s="9">
        <v>145637</v>
      </c>
      <c r="N60" s="4">
        <v>0.08</v>
      </c>
      <c r="O60" s="4">
        <f t="shared" si="0"/>
        <v>0.08</v>
      </c>
      <c r="P60" s="11">
        <v>291274</v>
      </c>
      <c r="Q60" s="9">
        <v>23301.919999999998</v>
      </c>
      <c r="R60" s="9">
        <v>267972.08</v>
      </c>
      <c r="S60">
        <v>4</v>
      </c>
      <c r="T60">
        <v>180</v>
      </c>
      <c r="U60">
        <v>4.2</v>
      </c>
      <c r="V60">
        <v>7</v>
      </c>
      <c r="W60">
        <f>IF('Cleaned Data'!V60&lt;0,"Review",'Cleaned Data'!V60)</f>
        <v>7</v>
      </c>
      <c r="X60">
        <v>5</v>
      </c>
      <c r="Y60" s="7">
        <f>IFERROR('Cleaned Data'!R60/'Cleaned Data'!L60,0)</f>
        <v>133986.04</v>
      </c>
      <c r="Z60" t="str">
        <f>TEXT(EV_Sales[[#This Row],[Order_Date]],"mmm-yyyy")</f>
        <v>Aug-2025</v>
      </c>
      <c r="AA60">
        <f>MONTH(EV_Sales[[#This Row],[Order_Date]])</f>
        <v>8</v>
      </c>
      <c r="AB60" s="12" t="str">
        <f>"Q"&amp;ROUNDUP(MONTH(EV_Sales[[#This Row],[Order_Date]])/3,0)</f>
        <v>Q3</v>
      </c>
    </row>
    <row r="61" spans="1:28" x14ac:dyDescent="0.3">
      <c r="A61" t="s">
        <v>158</v>
      </c>
      <c r="B61" s="2">
        <v>45867</v>
      </c>
      <c r="C61" t="s">
        <v>60</v>
      </c>
      <c r="D61" t="s">
        <v>61</v>
      </c>
      <c r="E61" t="s">
        <v>62</v>
      </c>
      <c r="F61" t="s">
        <v>101</v>
      </c>
      <c r="G61" t="s">
        <v>67</v>
      </c>
      <c r="H61" t="s">
        <v>809</v>
      </c>
      <c r="I61" t="str">
        <f>IF('Cleaned Data'!H61="Emi","EMI",'Cleaned Data'!H61)</f>
        <v>EMI</v>
      </c>
      <c r="J61" t="s">
        <v>48</v>
      </c>
      <c r="K61" t="s">
        <v>148</v>
      </c>
      <c r="L61">
        <v>2</v>
      </c>
      <c r="M61" s="9">
        <v>108391</v>
      </c>
      <c r="N61" s="4">
        <v>0.107</v>
      </c>
      <c r="O61" s="4">
        <f t="shared" si="0"/>
        <v>0.107</v>
      </c>
      <c r="P61" s="11">
        <v>216782</v>
      </c>
      <c r="Q61" s="9">
        <v>23195.67</v>
      </c>
      <c r="R61" s="9">
        <v>193586.33</v>
      </c>
      <c r="S61">
        <v>5</v>
      </c>
      <c r="T61">
        <v>221</v>
      </c>
      <c r="U61">
        <v>4.4000000000000004</v>
      </c>
      <c r="V61">
        <v>9</v>
      </c>
      <c r="W61">
        <f>IF('Cleaned Data'!V61&lt;0,"Review",'Cleaned Data'!V61)</f>
        <v>9</v>
      </c>
      <c r="X61">
        <v>2</v>
      </c>
      <c r="Y61" s="7">
        <f>IFERROR('Cleaned Data'!R61/'Cleaned Data'!L61,0)</f>
        <v>96793.164999999994</v>
      </c>
      <c r="Z61" t="str">
        <f>TEXT(EV_Sales[[#This Row],[Order_Date]],"mmm-yyyy")</f>
        <v>Jul-2025</v>
      </c>
      <c r="AA61">
        <f>MONTH(EV_Sales[[#This Row],[Order_Date]])</f>
        <v>7</v>
      </c>
      <c r="AB61" s="12" t="str">
        <f>"Q"&amp;ROUNDUP(MONTH(EV_Sales[[#This Row],[Order_Date]])/3,0)</f>
        <v>Q3</v>
      </c>
    </row>
    <row r="62" spans="1:28" x14ac:dyDescent="0.3">
      <c r="A62" t="s">
        <v>159</v>
      </c>
      <c r="B62" s="2">
        <v>45686</v>
      </c>
      <c r="C62" t="s">
        <v>87</v>
      </c>
      <c r="D62" t="s">
        <v>130</v>
      </c>
      <c r="E62" t="s">
        <v>62</v>
      </c>
      <c r="F62" t="s">
        <v>70</v>
      </c>
      <c r="G62" t="s">
        <v>67</v>
      </c>
      <c r="H62" t="s">
        <v>809</v>
      </c>
      <c r="I62" t="str">
        <f>IF('Cleaned Data'!H62="Emi","EMI",'Cleaned Data'!H62)</f>
        <v>EMI</v>
      </c>
      <c r="J62" t="s">
        <v>28</v>
      </c>
      <c r="K62" t="s">
        <v>78</v>
      </c>
      <c r="L62">
        <v>1</v>
      </c>
      <c r="M62" s="9">
        <v>116342</v>
      </c>
      <c r="N62" s="4">
        <v>0.111</v>
      </c>
      <c r="O62" s="4">
        <f t="shared" si="0"/>
        <v>0.111</v>
      </c>
      <c r="P62" s="11">
        <v>116342</v>
      </c>
      <c r="Q62" s="9">
        <v>12913.96</v>
      </c>
      <c r="R62" s="9">
        <v>103428.04</v>
      </c>
      <c r="S62">
        <v>3</v>
      </c>
      <c r="T62">
        <v>156</v>
      </c>
      <c r="U62">
        <v>3.9</v>
      </c>
      <c r="V62">
        <v>5</v>
      </c>
      <c r="W62">
        <f>IF('Cleaned Data'!V62&lt;0,"Review",'Cleaned Data'!V62)</f>
        <v>5</v>
      </c>
      <c r="X62">
        <v>3</v>
      </c>
      <c r="Y62" s="7">
        <f>IFERROR('Cleaned Data'!R62/'Cleaned Data'!L62,0)</f>
        <v>103428.04</v>
      </c>
      <c r="Z62" t="str">
        <f>TEXT(EV_Sales[[#This Row],[Order_Date]],"mmm-yyyy")</f>
        <v>Jan-2025</v>
      </c>
      <c r="AA62">
        <f>MONTH(EV_Sales[[#This Row],[Order_Date]])</f>
        <v>1</v>
      </c>
      <c r="AB62" s="12" t="str">
        <f>"Q"&amp;ROUNDUP(MONTH(EV_Sales[[#This Row],[Order_Date]])/3,0)</f>
        <v>Q1</v>
      </c>
    </row>
    <row r="63" spans="1:28" x14ac:dyDescent="0.3">
      <c r="A63" t="s">
        <v>160</v>
      </c>
      <c r="B63" s="2">
        <v>45806</v>
      </c>
      <c r="C63" t="s">
        <v>39</v>
      </c>
      <c r="D63" t="s">
        <v>154</v>
      </c>
      <c r="E63" t="s">
        <v>24</v>
      </c>
      <c r="F63" t="s">
        <v>80</v>
      </c>
      <c r="G63" t="s">
        <v>26</v>
      </c>
      <c r="H63" t="s">
        <v>809</v>
      </c>
      <c r="I63" t="str">
        <f>IF('Cleaned Data'!H63="Emi","EMI",'Cleaned Data'!H63)</f>
        <v>EMI</v>
      </c>
      <c r="J63" t="s">
        <v>48</v>
      </c>
      <c r="K63" t="s">
        <v>58</v>
      </c>
      <c r="L63">
        <v>1</v>
      </c>
      <c r="M63" s="9">
        <v>187955</v>
      </c>
      <c r="N63" s="4">
        <v>4.1000000000000002E-2</v>
      </c>
      <c r="O63" s="4">
        <f t="shared" si="0"/>
        <v>4.1000000000000002E-2</v>
      </c>
      <c r="P63" s="11">
        <v>187955</v>
      </c>
      <c r="Q63" s="9">
        <v>7706.16</v>
      </c>
      <c r="R63" s="9">
        <v>180248.84</v>
      </c>
      <c r="S63">
        <v>4</v>
      </c>
      <c r="T63">
        <v>171</v>
      </c>
      <c r="U63">
        <v>4.2</v>
      </c>
      <c r="V63">
        <v>5</v>
      </c>
      <c r="W63">
        <f>IF('Cleaned Data'!V63&lt;0,"Review",'Cleaned Data'!V63)</f>
        <v>5</v>
      </c>
      <c r="X63">
        <v>2</v>
      </c>
      <c r="Y63" s="7">
        <f>IFERROR('Cleaned Data'!R63/'Cleaned Data'!L63,0)</f>
        <v>180248.84</v>
      </c>
      <c r="Z63" t="str">
        <f>TEXT(EV_Sales[[#This Row],[Order_Date]],"mmm-yyyy")</f>
        <v>May-2025</v>
      </c>
      <c r="AA63">
        <f>MONTH(EV_Sales[[#This Row],[Order_Date]])</f>
        <v>5</v>
      </c>
      <c r="AB63" s="12" t="str">
        <f>"Q"&amp;ROUNDUP(MONTH(EV_Sales[[#This Row],[Order_Date]])/3,0)</f>
        <v>Q2</v>
      </c>
    </row>
    <row r="64" spans="1:28" x14ac:dyDescent="0.3">
      <c r="A64" t="s">
        <v>161</v>
      </c>
      <c r="B64" s="2">
        <v>45674</v>
      </c>
      <c r="C64" t="s">
        <v>99</v>
      </c>
      <c r="D64" t="s">
        <v>121</v>
      </c>
      <c r="E64" t="s">
        <v>46</v>
      </c>
      <c r="F64" t="s">
        <v>80</v>
      </c>
      <c r="G64" t="s">
        <v>26</v>
      </c>
      <c r="H64" t="s">
        <v>27</v>
      </c>
      <c r="I64" t="str">
        <f>IF('Cleaned Data'!H64="Emi","EMI",'Cleaned Data'!H64)</f>
        <v>Finance</v>
      </c>
      <c r="J64" t="s">
        <v>94</v>
      </c>
      <c r="K64" t="s">
        <v>92</v>
      </c>
      <c r="L64">
        <v>2</v>
      </c>
      <c r="M64" s="9">
        <v>99182</v>
      </c>
      <c r="N64" s="4">
        <v>0.111</v>
      </c>
      <c r="O64" s="4">
        <f t="shared" si="0"/>
        <v>0.111</v>
      </c>
      <c r="P64" s="11">
        <v>198364</v>
      </c>
      <c r="Q64" s="9">
        <v>22018.400000000001</v>
      </c>
      <c r="R64" s="9">
        <v>176345.60000000001</v>
      </c>
      <c r="S64">
        <v>3</v>
      </c>
      <c r="T64">
        <v>149</v>
      </c>
      <c r="U64">
        <v>4.2</v>
      </c>
      <c r="V64">
        <v>6</v>
      </c>
      <c r="W64">
        <f>IF('Cleaned Data'!V64&lt;0,"Review",'Cleaned Data'!V64)</f>
        <v>6</v>
      </c>
      <c r="X64">
        <v>2</v>
      </c>
      <c r="Y64" s="7">
        <f>IFERROR('Cleaned Data'!R64/'Cleaned Data'!L64,0)</f>
        <v>88172.800000000003</v>
      </c>
      <c r="Z64" t="str">
        <f>TEXT(EV_Sales[[#This Row],[Order_Date]],"mmm-yyyy")</f>
        <v>Jan-2025</v>
      </c>
      <c r="AA64">
        <f>MONTH(EV_Sales[[#This Row],[Order_Date]])</f>
        <v>1</v>
      </c>
      <c r="AB64" s="12" t="str">
        <f>"Q"&amp;ROUNDUP(MONTH(EV_Sales[[#This Row],[Order_Date]])/3,0)</f>
        <v>Q1</v>
      </c>
    </row>
    <row r="65" spans="1:28" x14ac:dyDescent="0.3">
      <c r="A65" t="s">
        <v>162</v>
      </c>
      <c r="B65" s="2">
        <v>45741</v>
      </c>
      <c r="C65" t="s">
        <v>22</v>
      </c>
      <c r="D65" t="s">
        <v>107</v>
      </c>
      <c r="E65" t="s">
        <v>62</v>
      </c>
      <c r="F65" t="s">
        <v>33</v>
      </c>
      <c r="G65" t="s">
        <v>56</v>
      </c>
      <c r="H65" t="s">
        <v>809</v>
      </c>
      <c r="I65" t="str">
        <f>IF('Cleaned Data'!H65="Emi","EMI",'Cleaned Data'!H65)</f>
        <v>EMI</v>
      </c>
      <c r="J65" t="s">
        <v>28</v>
      </c>
      <c r="K65" t="s">
        <v>49</v>
      </c>
      <c r="L65">
        <v>1</v>
      </c>
      <c r="M65" s="9">
        <v>142523</v>
      </c>
      <c r="N65" s="4">
        <v>0.106</v>
      </c>
      <c r="O65" s="4">
        <f t="shared" si="0"/>
        <v>0.106</v>
      </c>
      <c r="P65" s="11">
        <v>142523</v>
      </c>
      <c r="Q65" s="9">
        <v>15107.44</v>
      </c>
      <c r="R65" s="9">
        <v>127415.56</v>
      </c>
      <c r="S65">
        <v>4</v>
      </c>
      <c r="T65">
        <v>175</v>
      </c>
      <c r="U65">
        <v>3.7</v>
      </c>
      <c r="V65">
        <v>14</v>
      </c>
      <c r="W65">
        <f>IF('Cleaned Data'!V65&lt;0,"Review",'Cleaned Data'!V65)</f>
        <v>14</v>
      </c>
      <c r="X65">
        <v>3</v>
      </c>
      <c r="Y65" s="7">
        <f>IFERROR('Cleaned Data'!R65/'Cleaned Data'!L65,0)</f>
        <v>127415.56</v>
      </c>
      <c r="Z65" t="str">
        <f>TEXT(EV_Sales[[#This Row],[Order_Date]],"mmm-yyyy")</f>
        <v>Mar-2025</v>
      </c>
      <c r="AA65">
        <f>MONTH(EV_Sales[[#This Row],[Order_Date]])</f>
        <v>3</v>
      </c>
      <c r="AB65" s="12" t="str">
        <f>"Q"&amp;ROUNDUP(MONTH(EV_Sales[[#This Row],[Order_Date]])/3,0)</f>
        <v>Q1</v>
      </c>
    </row>
    <row r="66" spans="1:28" x14ac:dyDescent="0.3">
      <c r="A66" t="s">
        <v>163</v>
      </c>
      <c r="B66" s="2">
        <v>45943</v>
      </c>
      <c r="C66" t="s">
        <v>60</v>
      </c>
      <c r="D66" t="s">
        <v>69</v>
      </c>
      <c r="E66" t="s">
        <v>24</v>
      </c>
      <c r="F66" t="s">
        <v>80</v>
      </c>
      <c r="G66" t="s">
        <v>56</v>
      </c>
      <c r="H66" t="s">
        <v>809</v>
      </c>
      <c r="I66" t="str">
        <f>IF('Cleaned Data'!H66="Emi","EMI",'Cleaned Data'!H66)</f>
        <v>EMI</v>
      </c>
      <c r="J66" t="s">
        <v>36</v>
      </c>
      <c r="K66" t="s">
        <v>64</v>
      </c>
      <c r="L66">
        <v>3</v>
      </c>
      <c r="M66" s="9">
        <v>107335</v>
      </c>
      <c r="N66" s="4">
        <v>4.9000000000000002E-2</v>
      </c>
      <c r="O66" s="4">
        <f t="shared" ref="O66:O129" si="1">IF(TRIM(N66&amp;"")="","missing",N66)</f>
        <v>4.9000000000000002E-2</v>
      </c>
      <c r="P66" s="11">
        <v>322005</v>
      </c>
      <c r="Q66" s="9">
        <v>15778.25</v>
      </c>
      <c r="R66" s="9">
        <v>306226.75</v>
      </c>
      <c r="S66">
        <v>4</v>
      </c>
      <c r="T66">
        <v>211</v>
      </c>
      <c r="U66">
        <v>5</v>
      </c>
      <c r="V66">
        <v>2</v>
      </c>
      <c r="W66">
        <f>IF('Cleaned Data'!V66&lt;0,"Review",'Cleaned Data'!V66)</f>
        <v>2</v>
      </c>
      <c r="X66">
        <v>3</v>
      </c>
      <c r="Y66" s="7">
        <f>IFERROR('Cleaned Data'!R66/'Cleaned Data'!L66,0)</f>
        <v>102075.58333333333</v>
      </c>
      <c r="Z66" t="str">
        <f>TEXT(EV_Sales[[#This Row],[Order_Date]],"mmm-yyyy")</f>
        <v>Oct-2025</v>
      </c>
      <c r="AA66">
        <f>MONTH(EV_Sales[[#This Row],[Order_Date]])</f>
        <v>10</v>
      </c>
      <c r="AB66" s="12" t="str">
        <f>"Q"&amp;ROUNDUP(MONTH(EV_Sales[[#This Row],[Order_Date]])/3,0)</f>
        <v>Q4</v>
      </c>
    </row>
    <row r="67" spans="1:28" x14ac:dyDescent="0.3">
      <c r="A67" t="s">
        <v>164</v>
      </c>
      <c r="B67" s="2">
        <v>45712</v>
      </c>
      <c r="C67" t="s">
        <v>31</v>
      </c>
      <c r="D67" t="s">
        <v>97</v>
      </c>
      <c r="E67" t="s">
        <v>62</v>
      </c>
      <c r="F67" t="s">
        <v>52</v>
      </c>
      <c r="G67" t="s">
        <v>67</v>
      </c>
      <c r="H67" t="s">
        <v>53</v>
      </c>
      <c r="I67" t="str">
        <f>IF('Cleaned Data'!H67="Emi","EMI",'Cleaned Data'!H67)</f>
        <v>Cash</v>
      </c>
      <c r="J67" t="s">
        <v>63</v>
      </c>
      <c r="K67" t="s">
        <v>85</v>
      </c>
      <c r="L67">
        <v>5</v>
      </c>
      <c r="M67" s="9">
        <v>128994</v>
      </c>
      <c r="N67" s="4">
        <v>4.7E-2</v>
      </c>
      <c r="O67" s="4">
        <f t="shared" si="1"/>
        <v>4.7E-2</v>
      </c>
      <c r="P67" s="11">
        <v>644970</v>
      </c>
      <c r="Q67" s="9">
        <v>30313.59</v>
      </c>
      <c r="R67" s="9">
        <v>614656.41</v>
      </c>
      <c r="S67">
        <v>4</v>
      </c>
      <c r="T67">
        <v>177</v>
      </c>
      <c r="U67">
        <v>4.0999999999999996</v>
      </c>
      <c r="V67">
        <v>13</v>
      </c>
      <c r="W67">
        <f>IF('Cleaned Data'!V67&lt;0,"Review",'Cleaned Data'!V67)</f>
        <v>13</v>
      </c>
      <c r="X67">
        <v>3</v>
      </c>
      <c r="Y67" s="7">
        <f>IFERROR('Cleaned Data'!R67/'Cleaned Data'!L67,0)</f>
        <v>122931.28200000001</v>
      </c>
      <c r="Z67" t="str">
        <f>TEXT(EV_Sales[[#This Row],[Order_Date]],"mmm-yyyy")</f>
        <v>Feb-2025</v>
      </c>
      <c r="AA67">
        <f>MONTH(EV_Sales[[#This Row],[Order_Date]])</f>
        <v>2</v>
      </c>
      <c r="AB67" s="12" t="str">
        <f>"Q"&amp;ROUNDUP(MONTH(EV_Sales[[#This Row],[Order_Date]])/3,0)</f>
        <v>Q1</v>
      </c>
    </row>
    <row r="68" spans="1:28" x14ac:dyDescent="0.3">
      <c r="A68" t="s">
        <v>165</v>
      </c>
      <c r="B68" s="2">
        <v>45912</v>
      </c>
      <c r="C68" t="s">
        <v>22</v>
      </c>
      <c r="D68" t="s">
        <v>107</v>
      </c>
      <c r="E68" t="s">
        <v>24</v>
      </c>
      <c r="F68" t="s">
        <v>52</v>
      </c>
      <c r="G68" t="s">
        <v>26</v>
      </c>
      <c r="H68" t="s">
        <v>809</v>
      </c>
      <c r="I68" t="str">
        <f>IF('Cleaned Data'!H68="Emi","EMI",'Cleaned Data'!H68)</f>
        <v>EMI</v>
      </c>
      <c r="J68" t="s">
        <v>36</v>
      </c>
      <c r="K68" t="s">
        <v>81</v>
      </c>
      <c r="L68">
        <v>1</v>
      </c>
      <c r="M68" s="9">
        <v>133640</v>
      </c>
      <c r="N68" s="4">
        <v>0.1</v>
      </c>
      <c r="O68" s="4">
        <f t="shared" si="1"/>
        <v>0.1</v>
      </c>
      <c r="P68" s="11">
        <v>133640</v>
      </c>
      <c r="Q68" s="9">
        <v>13364</v>
      </c>
      <c r="R68" s="9">
        <v>120276</v>
      </c>
      <c r="S68">
        <v>3</v>
      </c>
      <c r="T68">
        <v>149</v>
      </c>
      <c r="U68">
        <v>4.4000000000000004</v>
      </c>
      <c r="V68">
        <v>3</v>
      </c>
      <c r="W68">
        <f>IF('Cleaned Data'!V68&lt;0,"Review",'Cleaned Data'!V68)</f>
        <v>3</v>
      </c>
      <c r="X68">
        <v>5</v>
      </c>
      <c r="Y68" s="7">
        <f>IFERROR('Cleaned Data'!R68/'Cleaned Data'!L68,0)</f>
        <v>120276</v>
      </c>
      <c r="Z68" t="str">
        <f>TEXT(EV_Sales[[#This Row],[Order_Date]],"mmm-yyyy")</f>
        <v>Sep-2025</v>
      </c>
      <c r="AA68">
        <f>MONTH(EV_Sales[[#This Row],[Order_Date]])</f>
        <v>9</v>
      </c>
      <c r="AB68" s="12" t="str">
        <f>"Q"&amp;ROUNDUP(MONTH(EV_Sales[[#This Row],[Order_Date]])/3,0)</f>
        <v>Q3</v>
      </c>
    </row>
    <row r="69" spans="1:28" x14ac:dyDescent="0.3">
      <c r="A69" t="s">
        <v>166</v>
      </c>
      <c r="B69" s="2">
        <v>45880</v>
      </c>
      <c r="C69" t="s">
        <v>60</v>
      </c>
      <c r="D69" t="s">
        <v>61</v>
      </c>
      <c r="E69" t="s">
        <v>46</v>
      </c>
      <c r="F69" t="s">
        <v>25</v>
      </c>
      <c r="G69" t="s">
        <v>34</v>
      </c>
      <c r="H69" t="s">
        <v>809</v>
      </c>
      <c r="I69" t="str">
        <f>IF('Cleaned Data'!H69="Emi","EMI",'Cleaned Data'!H69)</f>
        <v>EMI</v>
      </c>
      <c r="J69" t="s">
        <v>48</v>
      </c>
      <c r="K69" t="s">
        <v>29</v>
      </c>
      <c r="L69">
        <v>1</v>
      </c>
      <c r="M69" s="9">
        <v>109499</v>
      </c>
      <c r="N69" s="4">
        <v>8.3000000000000004E-2</v>
      </c>
      <c r="O69" s="4">
        <f t="shared" si="1"/>
        <v>8.3000000000000004E-2</v>
      </c>
      <c r="P69" s="11">
        <v>109499</v>
      </c>
      <c r="Q69" s="9">
        <v>9088.42</v>
      </c>
      <c r="R69" s="9">
        <v>100410.58</v>
      </c>
      <c r="S69">
        <v>4</v>
      </c>
      <c r="T69">
        <v>185</v>
      </c>
      <c r="U69">
        <v>4.5</v>
      </c>
      <c r="V69">
        <v>3</v>
      </c>
      <c r="W69">
        <f>IF('Cleaned Data'!V69&lt;0,"Review",'Cleaned Data'!V69)</f>
        <v>3</v>
      </c>
      <c r="X69">
        <v>3</v>
      </c>
      <c r="Y69" s="7">
        <f>IFERROR('Cleaned Data'!R69/'Cleaned Data'!L69,0)</f>
        <v>100410.58</v>
      </c>
      <c r="Z69" t="str">
        <f>TEXT(EV_Sales[[#This Row],[Order_Date]],"mmm-yyyy")</f>
        <v>Aug-2025</v>
      </c>
      <c r="AA69">
        <f>MONTH(EV_Sales[[#This Row],[Order_Date]])</f>
        <v>8</v>
      </c>
      <c r="AB69" s="12" t="str">
        <f>"Q"&amp;ROUNDUP(MONTH(EV_Sales[[#This Row],[Order_Date]])/3,0)</f>
        <v>Q3</v>
      </c>
    </row>
    <row r="70" spans="1:28" x14ac:dyDescent="0.3">
      <c r="A70" t="s">
        <v>167</v>
      </c>
      <c r="B70" s="2">
        <v>45776</v>
      </c>
      <c r="C70" t="s">
        <v>39</v>
      </c>
      <c r="D70" t="s">
        <v>40</v>
      </c>
      <c r="E70" t="s">
        <v>24</v>
      </c>
      <c r="F70" t="s">
        <v>52</v>
      </c>
      <c r="G70" t="s">
        <v>67</v>
      </c>
      <c r="H70" t="s">
        <v>27</v>
      </c>
      <c r="I70" t="str">
        <f>IF('Cleaned Data'!H70="Emi","EMI",'Cleaned Data'!H70)</f>
        <v>Finance</v>
      </c>
      <c r="J70" t="s">
        <v>28</v>
      </c>
      <c r="K70" t="s">
        <v>85</v>
      </c>
      <c r="L70">
        <v>1</v>
      </c>
      <c r="M70" s="9">
        <v>128422</v>
      </c>
      <c r="N70" s="4">
        <v>6.0999999999999999E-2</v>
      </c>
      <c r="O70" s="4">
        <f t="shared" si="1"/>
        <v>6.0999999999999999E-2</v>
      </c>
      <c r="P70" s="11">
        <v>128422</v>
      </c>
      <c r="Q70" s="9">
        <v>7833.74</v>
      </c>
      <c r="R70" s="9">
        <v>120588.26</v>
      </c>
      <c r="S70">
        <v>4</v>
      </c>
      <c r="T70">
        <v>160</v>
      </c>
      <c r="U70">
        <v>3.9</v>
      </c>
      <c r="V70">
        <v>5</v>
      </c>
      <c r="W70">
        <f>IF('Cleaned Data'!V70&lt;0,"Review",'Cleaned Data'!V70)</f>
        <v>5</v>
      </c>
      <c r="X70">
        <v>3</v>
      </c>
      <c r="Y70" s="7">
        <f>IFERROR('Cleaned Data'!R70/'Cleaned Data'!L70,0)</f>
        <v>120588.26</v>
      </c>
      <c r="Z70" t="str">
        <f>TEXT(EV_Sales[[#This Row],[Order_Date]],"mmm-yyyy")</f>
        <v>Apr-2025</v>
      </c>
      <c r="AA70">
        <f>MONTH(EV_Sales[[#This Row],[Order_Date]])</f>
        <v>4</v>
      </c>
      <c r="AB70" s="12" t="str">
        <f>"Q"&amp;ROUNDUP(MONTH(EV_Sales[[#This Row],[Order_Date]])/3,0)</f>
        <v>Q2</v>
      </c>
    </row>
    <row r="71" spans="1:28" x14ac:dyDescent="0.3">
      <c r="A71" t="s">
        <v>168</v>
      </c>
      <c r="B71" s="2">
        <v>45872</v>
      </c>
      <c r="C71" t="s">
        <v>169</v>
      </c>
      <c r="D71" t="s">
        <v>154</v>
      </c>
      <c r="E71" t="s">
        <v>24</v>
      </c>
      <c r="F71" t="s">
        <v>80</v>
      </c>
      <c r="G71" t="s">
        <v>56</v>
      </c>
      <c r="H71" t="s">
        <v>27</v>
      </c>
      <c r="I71" t="str">
        <f>IF('Cleaned Data'!H71="Emi","EMI",'Cleaned Data'!H71)</f>
        <v>Finance</v>
      </c>
      <c r="J71" t="s">
        <v>36</v>
      </c>
      <c r="K71" t="s">
        <v>157</v>
      </c>
      <c r="L71">
        <v>3</v>
      </c>
      <c r="M71" s="9">
        <v>179915</v>
      </c>
      <c r="N71" s="4">
        <v>2.1999999999999999E-2</v>
      </c>
      <c r="O71" s="4">
        <f t="shared" si="1"/>
        <v>2.1999999999999999E-2</v>
      </c>
      <c r="P71" s="11">
        <v>539745</v>
      </c>
      <c r="Q71" s="9">
        <v>11874.39</v>
      </c>
      <c r="R71" s="9">
        <v>527870.61</v>
      </c>
      <c r="S71">
        <v>3</v>
      </c>
      <c r="T71">
        <v>189</v>
      </c>
      <c r="U71">
        <v>4.4000000000000004</v>
      </c>
      <c r="V71">
        <v>8</v>
      </c>
      <c r="W71">
        <f>IF('Cleaned Data'!V71&lt;0,"Review",'Cleaned Data'!V71)</f>
        <v>8</v>
      </c>
      <c r="X71">
        <v>2</v>
      </c>
      <c r="Y71" s="7">
        <f>IFERROR('Cleaned Data'!R71/'Cleaned Data'!L71,0)</f>
        <v>175956.87</v>
      </c>
      <c r="Z71" t="str">
        <f>TEXT(EV_Sales[[#This Row],[Order_Date]],"mmm-yyyy")</f>
        <v>Aug-2025</v>
      </c>
      <c r="AA71">
        <f>MONTH(EV_Sales[[#This Row],[Order_Date]])</f>
        <v>8</v>
      </c>
      <c r="AB71" s="12" t="str">
        <f>"Q"&amp;ROUNDUP(MONTH(EV_Sales[[#This Row],[Order_Date]])/3,0)</f>
        <v>Q3</v>
      </c>
    </row>
    <row r="72" spans="1:28" x14ac:dyDescent="0.3">
      <c r="A72" t="s">
        <v>170</v>
      </c>
      <c r="B72" s="2">
        <v>45766</v>
      </c>
      <c r="C72" t="s">
        <v>99</v>
      </c>
      <c r="D72" t="s">
        <v>141</v>
      </c>
      <c r="E72" t="s">
        <v>46</v>
      </c>
      <c r="F72" t="s">
        <v>70</v>
      </c>
      <c r="G72" t="s">
        <v>26</v>
      </c>
      <c r="H72" t="s">
        <v>27</v>
      </c>
      <c r="I72" t="str">
        <f>IF('Cleaned Data'!H72="Emi","EMI",'Cleaned Data'!H72)</f>
        <v>Finance</v>
      </c>
      <c r="J72" t="s">
        <v>36</v>
      </c>
      <c r="K72" t="s">
        <v>78</v>
      </c>
      <c r="L72">
        <v>2</v>
      </c>
      <c r="M72" s="9">
        <v>144990</v>
      </c>
      <c r="N72" s="4">
        <v>0.10199999999999999</v>
      </c>
      <c r="O72" s="4">
        <f t="shared" si="1"/>
        <v>0.10199999999999999</v>
      </c>
      <c r="P72" s="11">
        <v>289980</v>
      </c>
      <c r="Q72" s="9">
        <v>29577.96</v>
      </c>
      <c r="R72" s="9">
        <v>260402.04</v>
      </c>
      <c r="S72">
        <v>4</v>
      </c>
      <c r="T72">
        <v>181</v>
      </c>
      <c r="U72">
        <v>4.7</v>
      </c>
      <c r="V72">
        <v>3</v>
      </c>
      <c r="W72">
        <f>IF('Cleaned Data'!V72&lt;0,"Review",'Cleaned Data'!V72)</f>
        <v>3</v>
      </c>
      <c r="X72">
        <v>2</v>
      </c>
      <c r="Y72" s="7">
        <f>IFERROR('Cleaned Data'!R72/'Cleaned Data'!L72,0)</f>
        <v>130201.02</v>
      </c>
      <c r="Z72" t="str">
        <f>TEXT(EV_Sales[[#This Row],[Order_Date]],"mmm-yyyy")</f>
        <v>Apr-2025</v>
      </c>
      <c r="AA72">
        <f>MONTH(EV_Sales[[#This Row],[Order_Date]])</f>
        <v>4</v>
      </c>
      <c r="AB72" s="12" t="str">
        <f>"Q"&amp;ROUNDUP(MONTH(EV_Sales[[#This Row],[Order_Date]])/3,0)</f>
        <v>Q2</v>
      </c>
    </row>
    <row r="73" spans="1:28" x14ac:dyDescent="0.3">
      <c r="A73" t="s">
        <v>171</v>
      </c>
      <c r="B73" s="2">
        <v>45999</v>
      </c>
      <c r="C73" t="s">
        <v>60</v>
      </c>
      <c r="D73" t="s">
        <v>61</v>
      </c>
      <c r="E73" t="s">
        <v>46</v>
      </c>
      <c r="F73" t="s">
        <v>74</v>
      </c>
      <c r="G73" t="s">
        <v>26</v>
      </c>
      <c r="H73" t="s">
        <v>53</v>
      </c>
      <c r="I73" t="str">
        <f>IF('Cleaned Data'!H73="Emi","EMI",'Cleaned Data'!H73)</f>
        <v>Cash</v>
      </c>
      <c r="J73" t="s">
        <v>36</v>
      </c>
      <c r="K73" t="s">
        <v>49</v>
      </c>
      <c r="L73">
        <v>1</v>
      </c>
      <c r="M73" s="9">
        <v>122590</v>
      </c>
      <c r="N73" s="4">
        <v>0.107</v>
      </c>
      <c r="O73" s="4">
        <f t="shared" si="1"/>
        <v>0.107</v>
      </c>
      <c r="P73" s="11">
        <v>122590</v>
      </c>
      <c r="Q73" s="9">
        <v>13117.13</v>
      </c>
      <c r="R73" s="9">
        <v>109472.87</v>
      </c>
      <c r="S73">
        <v>4</v>
      </c>
      <c r="T73">
        <v>201</v>
      </c>
      <c r="U73">
        <v>4.5999999999999996</v>
      </c>
      <c r="V73">
        <v>8</v>
      </c>
      <c r="W73">
        <f>IF('Cleaned Data'!V73&lt;0,"Review",'Cleaned Data'!V73)</f>
        <v>8</v>
      </c>
      <c r="X73">
        <v>3</v>
      </c>
      <c r="Y73" s="7">
        <f>IFERROR('Cleaned Data'!R73/'Cleaned Data'!L73,0)</f>
        <v>109472.87</v>
      </c>
      <c r="Z73" t="str">
        <f>TEXT(EV_Sales[[#This Row],[Order_Date]],"mmm-yyyy")</f>
        <v>Dec-2025</v>
      </c>
      <c r="AA73">
        <f>MONTH(EV_Sales[[#This Row],[Order_Date]])</f>
        <v>12</v>
      </c>
      <c r="AB73" s="12" t="str">
        <f>"Q"&amp;ROUNDUP(MONTH(EV_Sales[[#This Row],[Order_Date]])/3,0)</f>
        <v>Q4</v>
      </c>
    </row>
    <row r="74" spans="1:28" x14ac:dyDescent="0.3">
      <c r="A74" t="s">
        <v>172</v>
      </c>
      <c r="B74" s="2">
        <v>45721</v>
      </c>
      <c r="C74" t="s">
        <v>99</v>
      </c>
      <c r="D74" t="s">
        <v>100</v>
      </c>
      <c r="E74" t="s">
        <v>62</v>
      </c>
      <c r="F74" t="s">
        <v>66</v>
      </c>
      <c r="G74" t="s">
        <v>34</v>
      </c>
      <c r="H74" t="s">
        <v>809</v>
      </c>
      <c r="I74" t="str">
        <f>IF('Cleaned Data'!H74="Emi","EMI",'Cleaned Data'!H74)</f>
        <v>EMI</v>
      </c>
      <c r="J74" t="s">
        <v>28</v>
      </c>
      <c r="K74" t="s">
        <v>29</v>
      </c>
      <c r="L74">
        <v>1</v>
      </c>
      <c r="M74" s="9">
        <v>123533</v>
      </c>
      <c r="N74" s="4">
        <v>3.7999999999999999E-2</v>
      </c>
      <c r="O74" s="4">
        <f t="shared" si="1"/>
        <v>3.7999999999999999E-2</v>
      </c>
      <c r="P74" s="11">
        <v>123533</v>
      </c>
      <c r="Q74" s="9">
        <v>4694.25</v>
      </c>
      <c r="R74" s="9">
        <v>118838.75</v>
      </c>
      <c r="S74">
        <v>2</v>
      </c>
      <c r="T74">
        <v>143</v>
      </c>
      <c r="U74">
        <v>4.5999999999999996</v>
      </c>
      <c r="V74">
        <v>5</v>
      </c>
      <c r="W74">
        <f>IF('Cleaned Data'!V74&lt;0,"Review",'Cleaned Data'!V74)</f>
        <v>5</v>
      </c>
      <c r="X74">
        <v>2</v>
      </c>
      <c r="Y74" s="7">
        <f>IFERROR('Cleaned Data'!R74/'Cleaned Data'!L74,0)</f>
        <v>118838.75</v>
      </c>
      <c r="Z74" t="str">
        <f>TEXT(EV_Sales[[#This Row],[Order_Date]],"mmm-yyyy")</f>
        <v>Mar-2025</v>
      </c>
      <c r="AA74">
        <f>MONTH(EV_Sales[[#This Row],[Order_Date]])</f>
        <v>3</v>
      </c>
      <c r="AB74" s="12" t="str">
        <f>"Q"&amp;ROUNDUP(MONTH(EV_Sales[[#This Row],[Order_Date]])/3,0)</f>
        <v>Q1</v>
      </c>
    </row>
    <row r="75" spans="1:28" x14ac:dyDescent="0.3">
      <c r="A75" t="s">
        <v>173</v>
      </c>
      <c r="B75" s="2">
        <v>45809</v>
      </c>
      <c r="C75" t="s">
        <v>22</v>
      </c>
      <c r="D75" t="s">
        <v>107</v>
      </c>
      <c r="E75" t="s">
        <v>24</v>
      </c>
      <c r="F75" t="s">
        <v>47</v>
      </c>
      <c r="G75" t="s">
        <v>67</v>
      </c>
      <c r="H75" t="s">
        <v>27</v>
      </c>
      <c r="I75" t="str">
        <f>IF('Cleaned Data'!H75="Emi","EMI",'Cleaned Data'!H75)</f>
        <v>Finance</v>
      </c>
      <c r="J75" t="s">
        <v>48</v>
      </c>
      <c r="K75" t="s">
        <v>95</v>
      </c>
      <c r="L75">
        <v>5</v>
      </c>
      <c r="M75" s="9">
        <v>145958</v>
      </c>
      <c r="N75" s="4">
        <v>4.1000000000000002E-2</v>
      </c>
      <c r="O75" s="4">
        <f t="shared" si="1"/>
        <v>4.1000000000000002E-2</v>
      </c>
      <c r="P75" s="11">
        <v>729790</v>
      </c>
      <c r="Q75" s="9">
        <v>29921.39</v>
      </c>
      <c r="R75" s="9">
        <v>699868.61</v>
      </c>
      <c r="S75">
        <v>2</v>
      </c>
      <c r="T75">
        <v>153</v>
      </c>
      <c r="U75">
        <v>3.4</v>
      </c>
      <c r="V75">
        <v>12</v>
      </c>
      <c r="W75">
        <f>IF('Cleaned Data'!V75&lt;0,"Review",'Cleaned Data'!V75)</f>
        <v>12</v>
      </c>
      <c r="X75">
        <v>2</v>
      </c>
      <c r="Y75" s="7">
        <f>IFERROR('Cleaned Data'!R75/'Cleaned Data'!L75,0)</f>
        <v>139973.72200000001</v>
      </c>
      <c r="Z75" t="str">
        <f>TEXT(EV_Sales[[#This Row],[Order_Date]],"mmm-yyyy")</f>
        <v>Jun-2025</v>
      </c>
      <c r="AA75">
        <f>MONTH(EV_Sales[[#This Row],[Order_Date]])</f>
        <v>6</v>
      </c>
      <c r="AB75" s="12" t="str">
        <f>"Q"&amp;ROUNDUP(MONTH(EV_Sales[[#This Row],[Order_Date]])/3,0)</f>
        <v>Q2</v>
      </c>
    </row>
    <row r="76" spans="1:28" x14ac:dyDescent="0.3">
      <c r="A76" t="s">
        <v>174</v>
      </c>
      <c r="B76" s="2">
        <v>45953</v>
      </c>
      <c r="C76" t="s">
        <v>76</v>
      </c>
      <c r="D76" t="s">
        <v>77</v>
      </c>
      <c r="E76" t="s">
        <v>24</v>
      </c>
      <c r="F76" t="s">
        <v>80</v>
      </c>
      <c r="G76" t="s">
        <v>26</v>
      </c>
      <c r="H76" t="s">
        <v>809</v>
      </c>
      <c r="I76" t="str">
        <f>IF('Cleaned Data'!H76="Emi","EMI",'Cleaned Data'!H76)</f>
        <v>EMI</v>
      </c>
      <c r="J76" t="s">
        <v>94</v>
      </c>
      <c r="K76" t="s">
        <v>175</v>
      </c>
      <c r="L76">
        <v>2</v>
      </c>
      <c r="M76" s="9">
        <v>146358</v>
      </c>
      <c r="N76" s="4">
        <v>8.8999999999999996E-2</v>
      </c>
      <c r="O76" s="4">
        <f t="shared" si="1"/>
        <v>8.8999999999999996E-2</v>
      </c>
      <c r="P76" s="11">
        <v>292716</v>
      </c>
      <c r="Q76" s="9">
        <v>26051.72</v>
      </c>
      <c r="R76" s="9">
        <v>266664.28000000003</v>
      </c>
      <c r="S76">
        <v>3</v>
      </c>
      <c r="T76">
        <v>172</v>
      </c>
      <c r="U76">
        <v>3.8</v>
      </c>
      <c r="V76">
        <v>6</v>
      </c>
      <c r="W76">
        <f>IF('Cleaned Data'!V76&lt;0,"Review",'Cleaned Data'!V76)</f>
        <v>6</v>
      </c>
      <c r="X76">
        <v>5</v>
      </c>
      <c r="Y76" s="7">
        <f>IFERROR('Cleaned Data'!R76/'Cleaned Data'!L76,0)</f>
        <v>133332.14000000001</v>
      </c>
      <c r="Z76" t="str">
        <f>TEXT(EV_Sales[[#This Row],[Order_Date]],"mmm-yyyy")</f>
        <v>Oct-2025</v>
      </c>
      <c r="AA76">
        <f>MONTH(EV_Sales[[#This Row],[Order_Date]])</f>
        <v>10</v>
      </c>
      <c r="AB76" s="12" t="str">
        <f>"Q"&amp;ROUNDUP(MONTH(EV_Sales[[#This Row],[Order_Date]])/3,0)</f>
        <v>Q4</v>
      </c>
    </row>
    <row r="77" spans="1:28" x14ac:dyDescent="0.3">
      <c r="A77" t="s">
        <v>176</v>
      </c>
      <c r="B77" s="2">
        <v>45962</v>
      </c>
      <c r="C77" t="s">
        <v>39</v>
      </c>
      <c r="D77" t="s">
        <v>40</v>
      </c>
      <c r="E77" t="s">
        <v>46</v>
      </c>
      <c r="F77" t="s">
        <v>74</v>
      </c>
      <c r="G77" t="s">
        <v>56</v>
      </c>
      <c r="H77" t="s">
        <v>53</v>
      </c>
      <c r="I77" t="str">
        <f>IF('Cleaned Data'!H77="Emi","EMI",'Cleaned Data'!H77)</f>
        <v>Cash</v>
      </c>
      <c r="J77" t="s">
        <v>28</v>
      </c>
      <c r="K77" t="s">
        <v>89</v>
      </c>
      <c r="L77">
        <v>1</v>
      </c>
      <c r="M77" s="9">
        <v>134129</v>
      </c>
      <c r="N77" s="4">
        <v>6.5000000000000002E-2</v>
      </c>
      <c r="O77" s="4">
        <f t="shared" si="1"/>
        <v>6.5000000000000002E-2</v>
      </c>
      <c r="P77" s="11">
        <v>134129</v>
      </c>
      <c r="Q77" s="9">
        <v>8718.39</v>
      </c>
      <c r="R77" s="9">
        <v>125410.61</v>
      </c>
      <c r="S77">
        <v>3</v>
      </c>
      <c r="T77">
        <v>176</v>
      </c>
      <c r="U77">
        <v>4.2</v>
      </c>
      <c r="V77">
        <v>9</v>
      </c>
      <c r="W77">
        <f>IF('Cleaned Data'!V77&lt;0,"Review",'Cleaned Data'!V77)</f>
        <v>9</v>
      </c>
      <c r="X77">
        <v>5</v>
      </c>
      <c r="Y77" s="7">
        <f>IFERROR('Cleaned Data'!R77/'Cleaned Data'!L77,0)</f>
        <v>125410.61</v>
      </c>
      <c r="Z77" t="str">
        <f>TEXT(EV_Sales[[#This Row],[Order_Date]],"mmm-yyyy")</f>
        <v>Nov-2025</v>
      </c>
      <c r="AA77">
        <f>MONTH(EV_Sales[[#This Row],[Order_Date]])</f>
        <v>11</v>
      </c>
      <c r="AB77" s="12" t="str">
        <f>"Q"&amp;ROUNDUP(MONTH(EV_Sales[[#This Row],[Order_Date]])/3,0)</f>
        <v>Q4</v>
      </c>
    </row>
    <row r="78" spans="1:28" x14ac:dyDescent="0.3">
      <c r="A78" t="s">
        <v>177</v>
      </c>
      <c r="B78" s="2">
        <v>45682</v>
      </c>
      <c r="C78" t="s">
        <v>87</v>
      </c>
      <c r="D78" t="s">
        <v>88</v>
      </c>
      <c r="E78" t="s">
        <v>62</v>
      </c>
      <c r="F78" t="s">
        <v>101</v>
      </c>
      <c r="G78" t="s">
        <v>67</v>
      </c>
      <c r="H78" t="s">
        <v>27</v>
      </c>
      <c r="I78" t="str">
        <f>IF('Cleaned Data'!H78="Emi","EMI",'Cleaned Data'!H78)</f>
        <v>Finance</v>
      </c>
      <c r="J78" t="s">
        <v>48</v>
      </c>
      <c r="K78" t="s">
        <v>42</v>
      </c>
      <c r="L78">
        <v>4</v>
      </c>
      <c r="M78" s="9">
        <v>154579</v>
      </c>
      <c r="N78" s="4">
        <v>8.8999999999999996E-2</v>
      </c>
      <c r="O78" s="4">
        <f t="shared" si="1"/>
        <v>8.8999999999999996E-2</v>
      </c>
      <c r="P78" s="11">
        <v>618316</v>
      </c>
      <c r="Q78" s="9">
        <v>55030.12</v>
      </c>
      <c r="R78" s="9">
        <v>563285.88</v>
      </c>
      <c r="S78">
        <v>2</v>
      </c>
      <c r="T78">
        <v>142</v>
      </c>
      <c r="U78">
        <v>4.2</v>
      </c>
      <c r="V78">
        <v>8</v>
      </c>
      <c r="W78">
        <f>IF('Cleaned Data'!V78&lt;0,"Review",'Cleaned Data'!V78)</f>
        <v>8</v>
      </c>
      <c r="X78">
        <v>2</v>
      </c>
      <c r="Y78" s="7">
        <f>IFERROR('Cleaned Data'!R78/'Cleaned Data'!L78,0)</f>
        <v>140821.47</v>
      </c>
      <c r="Z78" t="str">
        <f>TEXT(EV_Sales[[#This Row],[Order_Date]],"mmm-yyyy")</f>
        <v>Jan-2025</v>
      </c>
      <c r="AA78">
        <f>MONTH(EV_Sales[[#This Row],[Order_Date]])</f>
        <v>1</v>
      </c>
      <c r="AB78" s="12" t="str">
        <f>"Q"&amp;ROUNDUP(MONTH(EV_Sales[[#This Row],[Order_Date]])/3,0)</f>
        <v>Q1</v>
      </c>
    </row>
    <row r="79" spans="1:28" x14ac:dyDescent="0.3">
      <c r="A79" t="s">
        <v>178</v>
      </c>
      <c r="B79" s="2">
        <v>45774</v>
      </c>
      <c r="C79" t="s">
        <v>87</v>
      </c>
      <c r="D79" t="s">
        <v>130</v>
      </c>
      <c r="E79" t="s">
        <v>62</v>
      </c>
      <c r="F79" t="s">
        <v>47</v>
      </c>
      <c r="G79" t="s">
        <v>56</v>
      </c>
      <c r="H79" t="s">
        <v>27</v>
      </c>
      <c r="I79" t="str">
        <f>IF('Cleaned Data'!H79="Emi","EMI",'Cleaned Data'!H79)</f>
        <v>Finance</v>
      </c>
      <c r="J79" t="s">
        <v>57</v>
      </c>
      <c r="K79" t="s">
        <v>118</v>
      </c>
      <c r="L79">
        <v>2</v>
      </c>
      <c r="M79" s="9">
        <v>106366</v>
      </c>
      <c r="N79" s="4">
        <v>3.2000000000000001E-2</v>
      </c>
      <c r="O79" s="4">
        <f t="shared" si="1"/>
        <v>3.2000000000000001E-2</v>
      </c>
      <c r="P79" s="11">
        <v>212732</v>
      </c>
      <c r="Q79" s="9">
        <v>6807.42</v>
      </c>
      <c r="R79" s="9">
        <v>205924.58</v>
      </c>
      <c r="S79">
        <v>3</v>
      </c>
      <c r="T79">
        <v>171</v>
      </c>
      <c r="U79">
        <v>4.5</v>
      </c>
      <c r="V79">
        <v>5</v>
      </c>
      <c r="W79">
        <f>IF('Cleaned Data'!V79&lt;0,"Review",'Cleaned Data'!V79)</f>
        <v>5</v>
      </c>
      <c r="X79">
        <v>5</v>
      </c>
      <c r="Y79" s="7">
        <f>IFERROR('Cleaned Data'!R79/'Cleaned Data'!L79,0)</f>
        <v>102962.29</v>
      </c>
      <c r="Z79" t="str">
        <f>TEXT(EV_Sales[[#This Row],[Order_Date]],"mmm-yyyy")</f>
        <v>Apr-2025</v>
      </c>
      <c r="AA79">
        <f>MONTH(EV_Sales[[#This Row],[Order_Date]])</f>
        <v>4</v>
      </c>
      <c r="AB79" s="12" t="str">
        <f>"Q"&amp;ROUNDUP(MONTH(EV_Sales[[#This Row],[Order_Date]])/3,0)</f>
        <v>Q2</v>
      </c>
    </row>
    <row r="80" spans="1:28" x14ac:dyDescent="0.3">
      <c r="A80" t="s">
        <v>179</v>
      </c>
      <c r="B80" s="2">
        <v>45765</v>
      </c>
      <c r="C80" t="s">
        <v>22</v>
      </c>
      <c r="D80" t="s">
        <v>23</v>
      </c>
      <c r="E80" t="s">
        <v>46</v>
      </c>
      <c r="F80" t="s">
        <v>80</v>
      </c>
      <c r="G80" t="s">
        <v>67</v>
      </c>
      <c r="H80" t="s">
        <v>53</v>
      </c>
      <c r="I80" t="str">
        <f>IF('Cleaned Data'!H80="Emi","EMI",'Cleaned Data'!H80)</f>
        <v>Cash</v>
      </c>
      <c r="J80" t="s">
        <v>48</v>
      </c>
      <c r="K80" t="s">
        <v>64</v>
      </c>
      <c r="L80">
        <v>1</v>
      </c>
      <c r="M80" s="9">
        <v>114092</v>
      </c>
      <c r="N80" s="4">
        <v>0.09</v>
      </c>
      <c r="O80" s="4">
        <f t="shared" si="1"/>
        <v>0.09</v>
      </c>
      <c r="P80" s="11">
        <v>114092</v>
      </c>
      <c r="Q80" s="9">
        <v>10268.280000000001</v>
      </c>
      <c r="R80" s="9">
        <v>103823.72</v>
      </c>
      <c r="S80">
        <v>3</v>
      </c>
      <c r="T80">
        <v>160</v>
      </c>
      <c r="U80">
        <v>4.2</v>
      </c>
      <c r="V80">
        <v>9</v>
      </c>
      <c r="W80">
        <f>IF('Cleaned Data'!V80&lt;0,"Review",'Cleaned Data'!V80)</f>
        <v>9</v>
      </c>
      <c r="X80">
        <v>2</v>
      </c>
      <c r="Y80" s="7">
        <f>IFERROR('Cleaned Data'!R80/'Cleaned Data'!L80,0)</f>
        <v>103823.72</v>
      </c>
      <c r="Z80" t="str">
        <f>TEXT(EV_Sales[[#This Row],[Order_Date]],"mmm-yyyy")</f>
        <v>Apr-2025</v>
      </c>
      <c r="AA80">
        <f>MONTH(EV_Sales[[#This Row],[Order_Date]])</f>
        <v>4</v>
      </c>
      <c r="AB80" s="12" t="str">
        <f>"Q"&amp;ROUNDUP(MONTH(EV_Sales[[#This Row],[Order_Date]])/3,0)</f>
        <v>Q2</v>
      </c>
    </row>
    <row r="81" spans="1:28" x14ac:dyDescent="0.3">
      <c r="A81" t="s">
        <v>180</v>
      </c>
      <c r="B81" s="2">
        <v>45765</v>
      </c>
      <c r="C81" t="s">
        <v>31</v>
      </c>
      <c r="D81" t="s">
        <v>97</v>
      </c>
      <c r="E81" t="s">
        <v>62</v>
      </c>
      <c r="F81" t="s">
        <v>41</v>
      </c>
      <c r="G81" t="s">
        <v>67</v>
      </c>
      <c r="H81" t="s">
        <v>27</v>
      </c>
      <c r="I81" t="str">
        <f>IF('Cleaned Data'!H81="Emi","EMI",'Cleaned Data'!H81)</f>
        <v>Finance</v>
      </c>
      <c r="J81" t="s">
        <v>57</v>
      </c>
      <c r="K81" t="s">
        <v>104</v>
      </c>
      <c r="L81">
        <v>1</v>
      </c>
      <c r="M81" s="9">
        <v>122644</v>
      </c>
      <c r="N81" s="4">
        <v>0.107</v>
      </c>
      <c r="O81" s="4">
        <f t="shared" si="1"/>
        <v>0.107</v>
      </c>
      <c r="P81" s="11">
        <v>122644</v>
      </c>
      <c r="Q81" s="9">
        <v>13122.91</v>
      </c>
      <c r="R81" s="9">
        <v>109521.09</v>
      </c>
      <c r="S81">
        <v>2</v>
      </c>
      <c r="T81">
        <v>146</v>
      </c>
      <c r="U81">
        <v>4.5999999999999996</v>
      </c>
      <c r="V81">
        <v>4</v>
      </c>
      <c r="W81">
        <f>IF('Cleaned Data'!V81&lt;0,"Review",'Cleaned Data'!V81)</f>
        <v>4</v>
      </c>
      <c r="X81">
        <v>5</v>
      </c>
      <c r="Y81" s="7">
        <f>IFERROR('Cleaned Data'!R81/'Cleaned Data'!L81,0)</f>
        <v>109521.09</v>
      </c>
      <c r="Z81" t="str">
        <f>TEXT(EV_Sales[[#This Row],[Order_Date]],"mmm-yyyy")</f>
        <v>Apr-2025</v>
      </c>
      <c r="AA81">
        <f>MONTH(EV_Sales[[#This Row],[Order_Date]])</f>
        <v>4</v>
      </c>
      <c r="AB81" s="12" t="str">
        <f>"Q"&amp;ROUNDUP(MONTH(EV_Sales[[#This Row],[Order_Date]])/3,0)</f>
        <v>Q2</v>
      </c>
    </row>
    <row r="82" spans="1:28" x14ac:dyDescent="0.3">
      <c r="A82" t="s">
        <v>181</v>
      </c>
      <c r="B82" s="2">
        <v>45893</v>
      </c>
      <c r="C82" t="s">
        <v>87</v>
      </c>
      <c r="D82" t="s">
        <v>130</v>
      </c>
      <c r="E82" t="s">
        <v>24</v>
      </c>
      <c r="F82" t="s">
        <v>74</v>
      </c>
      <c r="G82" t="s">
        <v>56</v>
      </c>
      <c r="H82" t="s">
        <v>53</v>
      </c>
      <c r="I82" t="str">
        <f>IF('Cleaned Data'!H82="Emi","EMI",'Cleaned Data'!H82)</f>
        <v>Cash</v>
      </c>
      <c r="J82" t="s">
        <v>28</v>
      </c>
      <c r="K82" t="s">
        <v>85</v>
      </c>
      <c r="L82">
        <v>2</v>
      </c>
      <c r="M82" s="9">
        <v>116854</v>
      </c>
      <c r="N82" s="4">
        <v>0.11799999999999999</v>
      </c>
      <c r="O82" s="4">
        <f t="shared" si="1"/>
        <v>0.11799999999999999</v>
      </c>
      <c r="P82" s="11">
        <v>233708</v>
      </c>
      <c r="Q82" s="9">
        <v>27577.54</v>
      </c>
      <c r="R82" s="9">
        <v>206130.46</v>
      </c>
      <c r="S82">
        <v>4</v>
      </c>
      <c r="T82">
        <v>161</v>
      </c>
      <c r="U82">
        <v>3.3</v>
      </c>
      <c r="V82">
        <v>6</v>
      </c>
      <c r="W82">
        <f>IF('Cleaned Data'!V82&lt;0,"Review",'Cleaned Data'!V82)</f>
        <v>6</v>
      </c>
      <c r="X82">
        <v>2</v>
      </c>
      <c r="Y82" s="7">
        <f>IFERROR('Cleaned Data'!R82/'Cleaned Data'!L82,0)</f>
        <v>103065.23</v>
      </c>
      <c r="Z82" t="str">
        <f>TEXT(EV_Sales[[#This Row],[Order_Date]],"mmm-yyyy")</f>
        <v>Aug-2025</v>
      </c>
      <c r="AA82">
        <f>MONTH(EV_Sales[[#This Row],[Order_Date]])</f>
        <v>8</v>
      </c>
      <c r="AB82" s="12" t="str">
        <f>"Q"&amp;ROUNDUP(MONTH(EV_Sales[[#This Row],[Order_Date]])/3,0)</f>
        <v>Q3</v>
      </c>
    </row>
    <row r="83" spans="1:28" x14ac:dyDescent="0.3">
      <c r="A83" t="s">
        <v>182</v>
      </c>
      <c r="B83" s="2">
        <v>45981</v>
      </c>
      <c r="C83" t="s">
        <v>87</v>
      </c>
      <c r="D83" t="s">
        <v>88</v>
      </c>
      <c r="E83" t="s">
        <v>46</v>
      </c>
      <c r="F83" t="s">
        <v>25</v>
      </c>
      <c r="G83" t="s">
        <v>56</v>
      </c>
      <c r="H83" t="s">
        <v>27</v>
      </c>
      <c r="I83" t="str">
        <f>IF('Cleaned Data'!H83="Emi","EMI",'Cleaned Data'!H83)</f>
        <v>Finance</v>
      </c>
      <c r="J83" t="s">
        <v>28</v>
      </c>
      <c r="K83" t="s">
        <v>85</v>
      </c>
      <c r="L83">
        <v>2</v>
      </c>
      <c r="M83" s="9">
        <v>153371</v>
      </c>
      <c r="N83" s="4">
        <v>4.8000000000000001E-2</v>
      </c>
      <c r="O83" s="4">
        <f t="shared" si="1"/>
        <v>4.8000000000000001E-2</v>
      </c>
      <c r="P83" s="11">
        <v>306742</v>
      </c>
      <c r="Q83" s="9">
        <v>14723.62</v>
      </c>
      <c r="R83" s="9">
        <v>292018.38</v>
      </c>
      <c r="S83">
        <v>5</v>
      </c>
      <c r="T83">
        <v>188</v>
      </c>
      <c r="U83">
        <v>4</v>
      </c>
      <c r="V83">
        <v>12</v>
      </c>
      <c r="W83">
        <f>IF('Cleaned Data'!V83&lt;0,"Review",'Cleaned Data'!V83)</f>
        <v>12</v>
      </c>
      <c r="X83">
        <v>3</v>
      </c>
      <c r="Y83" s="7">
        <f>IFERROR('Cleaned Data'!R83/'Cleaned Data'!L83,0)</f>
        <v>146009.19</v>
      </c>
      <c r="Z83" t="str">
        <f>TEXT(EV_Sales[[#This Row],[Order_Date]],"mmm-yyyy")</f>
        <v>Nov-2025</v>
      </c>
      <c r="AA83">
        <f>MONTH(EV_Sales[[#This Row],[Order_Date]])</f>
        <v>11</v>
      </c>
      <c r="AB83" s="12" t="str">
        <f>"Q"&amp;ROUNDUP(MONTH(EV_Sales[[#This Row],[Order_Date]])/3,0)</f>
        <v>Q4</v>
      </c>
    </row>
    <row r="84" spans="1:28" x14ac:dyDescent="0.3">
      <c r="A84" t="s">
        <v>183</v>
      </c>
      <c r="B84" s="2">
        <v>45990</v>
      </c>
      <c r="C84" t="s">
        <v>39</v>
      </c>
      <c r="D84" t="s">
        <v>154</v>
      </c>
      <c r="E84" t="s">
        <v>24</v>
      </c>
      <c r="F84" t="s">
        <v>101</v>
      </c>
      <c r="G84" t="s">
        <v>56</v>
      </c>
      <c r="H84" t="s">
        <v>27</v>
      </c>
      <c r="I84" t="str">
        <f>IF('Cleaned Data'!H84="Emi","EMI",'Cleaned Data'!H84)</f>
        <v>Finance</v>
      </c>
      <c r="J84" t="s">
        <v>57</v>
      </c>
      <c r="K84" t="s">
        <v>157</v>
      </c>
      <c r="L84">
        <v>5</v>
      </c>
      <c r="M84" s="9">
        <v>187932</v>
      </c>
      <c r="N84" s="4">
        <v>2.5999999999999999E-2</v>
      </c>
      <c r="O84" s="4">
        <f t="shared" si="1"/>
        <v>2.5999999999999999E-2</v>
      </c>
      <c r="P84" s="11">
        <v>939660</v>
      </c>
      <c r="Q84" s="9">
        <v>24431.16</v>
      </c>
      <c r="R84" s="9">
        <v>915228.84</v>
      </c>
      <c r="S84">
        <v>3</v>
      </c>
      <c r="T84">
        <v>158</v>
      </c>
      <c r="U84">
        <v>4.4000000000000004</v>
      </c>
      <c r="V84">
        <v>4</v>
      </c>
      <c r="W84">
        <f>IF('Cleaned Data'!V84&lt;0,"Review",'Cleaned Data'!V84)</f>
        <v>4</v>
      </c>
      <c r="X84">
        <v>2</v>
      </c>
      <c r="Y84" s="7">
        <f>IFERROR('Cleaned Data'!R84/'Cleaned Data'!L84,0)</f>
        <v>183045.76799999998</v>
      </c>
      <c r="Z84" t="str">
        <f>TEXT(EV_Sales[[#This Row],[Order_Date]],"mmm-yyyy")</f>
        <v>Nov-2025</v>
      </c>
      <c r="AA84">
        <f>MONTH(EV_Sales[[#This Row],[Order_Date]])</f>
        <v>11</v>
      </c>
      <c r="AB84" s="12" t="str">
        <f>"Q"&amp;ROUNDUP(MONTH(EV_Sales[[#This Row],[Order_Date]])/3,0)</f>
        <v>Q4</v>
      </c>
    </row>
    <row r="85" spans="1:28" x14ac:dyDescent="0.3">
      <c r="A85" t="s">
        <v>184</v>
      </c>
      <c r="B85" s="2">
        <v>45916</v>
      </c>
      <c r="C85" t="s">
        <v>76</v>
      </c>
      <c r="D85" t="s">
        <v>77</v>
      </c>
      <c r="E85" t="s">
        <v>62</v>
      </c>
      <c r="F85" t="s">
        <v>101</v>
      </c>
      <c r="G85" t="s">
        <v>56</v>
      </c>
      <c r="H85" t="s">
        <v>27</v>
      </c>
      <c r="I85" t="str">
        <f>IF('Cleaned Data'!H85="Emi","EMI",'Cleaned Data'!H85)</f>
        <v>Finance</v>
      </c>
      <c r="J85" t="s">
        <v>48</v>
      </c>
      <c r="K85" t="s">
        <v>49</v>
      </c>
      <c r="L85">
        <v>3</v>
      </c>
      <c r="M85" s="9">
        <v>152555</v>
      </c>
      <c r="N85" s="4">
        <v>8.3000000000000004E-2</v>
      </c>
      <c r="O85" s="4">
        <f t="shared" si="1"/>
        <v>8.3000000000000004E-2</v>
      </c>
      <c r="P85" s="11">
        <v>457665</v>
      </c>
      <c r="Q85" s="9">
        <v>37986.19</v>
      </c>
      <c r="R85" s="9">
        <v>419678.81</v>
      </c>
      <c r="S85">
        <v>3</v>
      </c>
      <c r="T85">
        <v>194</v>
      </c>
      <c r="U85">
        <v>4.3</v>
      </c>
      <c r="V85">
        <v>2</v>
      </c>
      <c r="W85">
        <f>IF('Cleaned Data'!V85&lt;0,"Review",'Cleaned Data'!V85)</f>
        <v>2</v>
      </c>
      <c r="X85">
        <v>2</v>
      </c>
      <c r="Y85" s="7">
        <f>IFERROR('Cleaned Data'!R85/'Cleaned Data'!L85,0)</f>
        <v>139892.93666666668</v>
      </c>
      <c r="Z85" t="str">
        <f>TEXT(EV_Sales[[#This Row],[Order_Date]],"mmm-yyyy")</f>
        <v>Sep-2025</v>
      </c>
      <c r="AA85">
        <f>MONTH(EV_Sales[[#This Row],[Order_Date]])</f>
        <v>9</v>
      </c>
      <c r="AB85" s="12" t="str">
        <f>"Q"&amp;ROUNDUP(MONTH(EV_Sales[[#This Row],[Order_Date]])/3,0)</f>
        <v>Q3</v>
      </c>
    </row>
    <row r="86" spans="1:28" x14ac:dyDescent="0.3">
      <c r="A86" t="s">
        <v>185</v>
      </c>
      <c r="B86" s="2">
        <v>45817</v>
      </c>
      <c r="C86" t="s">
        <v>76</v>
      </c>
      <c r="D86" t="s">
        <v>117</v>
      </c>
      <c r="E86" t="s">
        <v>46</v>
      </c>
      <c r="F86" t="s">
        <v>33</v>
      </c>
      <c r="G86" t="s">
        <v>67</v>
      </c>
      <c r="H86" t="s">
        <v>27</v>
      </c>
      <c r="I86" t="str">
        <f>IF('Cleaned Data'!H86="Emi","EMI",'Cleaned Data'!H86)</f>
        <v>Finance</v>
      </c>
      <c r="J86" t="s">
        <v>36</v>
      </c>
      <c r="K86" t="s">
        <v>83</v>
      </c>
      <c r="L86">
        <v>1</v>
      </c>
      <c r="M86" s="9">
        <v>138673</v>
      </c>
      <c r="N86" s="4">
        <v>9.5000000000000001E-2</v>
      </c>
      <c r="O86" s="4">
        <f t="shared" si="1"/>
        <v>9.5000000000000001E-2</v>
      </c>
      <c r="P86" s="11">
        <v>138673</v>
      </c>
      <c r="Q86" s="9">
        <v>13173.93</v>
      </c>
      <c r="R86" s="9">
        <v>125499.07</v>
      </c>
      <c r="S86">
        <v>2</v>
      </c>
      <c r="T86">
        <v>119</v>
      </c>
      <c r="U86">
        <v>3.7</v>
      </c>
      <c r="V86">
        <v>12</v>
      </c>
      <c r="W86">
        <f>IF('Cleaned Data'!V86&lt;0,"Review",'Cleaned Data'!V86)</f>
        <v>12</v>
      </c>
      <c r="X86">
        <v>2</v>
      </c>
      <c r="Y86" s="7">
        <f>IFERROR('Cleaned Data'!R86/'Cleaned Data'!L86,0)</f>
        <v>125499.07</v>
      </c>
      <c r="Z86" t="str">
        <f>TEXT(EV_Sales[[#This Row],[Order_Date]],"mmm-yyyy")</f>
        <v>Jun-2025</v>
      </c>
      <c r="AA86">
        <f>MONTH(EV_Sales[[#This Row],[Order_Date]])</f>
        <v>6</v>
      </c>
      <c r="AB86" s="12" t="str">
        <f>"Q"&amp;ROUNDUP(MONTH(EV_Sales[[#This Row],[Order_Date]])/3,0)</f>
        <v>Q2</v>
      </c>
    </row>
    <row r="87" spans="1:28" x14ac:dyDescent="0.3">
      <c r="A87" t="s">
        <v>186</v>
      </c>
      <c r="B87" s="2">
        <v>45697</v>
      </c>
      <c r="C87" t="s">
        <v>76</v>
      </c>
      <c r="D87" t="s">
        <v>117</v>
      </c>
      <c r="E87" t="s">
        <v>46</v>
      </c>
      <c r="F87" t="s">
        <v>74</v>
      </c>
      <c r="G87" t="s">
        <v>26</v>
      </c>
      <c r="H87" t="s">
        <v>53</v>
      </c>
      <c r="I87" t="str">
        <f>IF('Cleaned Data'!H87="Emi","EMI",'Cleaned Data'!H87)</f>
        <v>Cash</v>
      </c>
      <c r="J87" t="s">
        <v>28</v>
      </c>
      <c r="K87" t="s">
        <v>104</v>
      </c>
      <c r="L87">
        <v>5</v>
      </c>
      <c r="M87" s="9">
        <v>140795</v>
      </c>
      <c r="N87" s="4">
        <v>4.8000000000000001E-2</v>
      </c>
      <c r="O87" s="4">
        <f t="shared" si="1"/>
        <v>4.8000000000000001E-2</v>
      </c>
      <c r="P87" s="11">
        <v>703975</v>
      </c>
      <c r="Q87" s="9">
        <v>33790.800000000003</v>
      </c>
      <c r="R87" s="9">
        <v>670184.19999999995</v>
      </c>
      <c r="S87">
        <v>3</v>
      </c>
      <c r="T87">
        <v>164</v>
      </c>
      <c r="U87">
        <v>3.8</v>
      </c>
      <c r="V87">
        <v>6</v>
      </c>
      <c r="W87">
        <f>IF('Cleaned Data'!V87&lt;0,"Review",'Cleaned Data'!V87)</f>
        <v>6</v>
      </c>
      <c r="X87">
        <v>2</v>
      </c>
      <c r="Y87" s="7">
        <f>IFERROR('Cleaned Data'!R87/'Cleaned Data'!L87,0)</f>
        <v>134036.84</v>
      </c>
      <c r="Z87" t="str">
        <f>TEXT(EV_Sales[[#This Row],[Order_Date]],"mmm-yyyy")</f>
        <v>Feb-2025</v>
      </c>
      <c r="AA87">
        <f>MONTH(EV_Sales[[#This Row],[Order_Date]])</f>
        <v>2</v>
      </c>
      <c r="AB87" s="12" t="str">
        <f>"Q"&amp;ROUNDUP(MONTH(EV_Sales[[#This Row],[Order_Date]])/3,0)</f>
        <v>Q1</v>
      </c>
    </row>
    <row r="88" spans="1:28" x14ac:dyDescent="0.3">
      <c r="A88" t="s">
        <v>187</v>
      </c>
      <c r="B88" s="2">
        <v>45980</v>
      </c>
      <c r="C88" t="s">
        <v>39</v>
      </c>
      <c r="D88" t="s">
        <v>154</v>
      </c>
      <c r="E88" t="s">
        <v>62</v>
      </c>
      <c r="F88" t="s">
        <v>70</v>
      </c>
      <c r="G88" t="s">
        <v>67</v>
      </c>
      <c r="H88" t="s">
        <v>809</v>
      </c>
      <c r="I88" t="str">
        <f>IF('Cleaned Data'!H88="Emi","EMI",'Cleaned Data'!H88)</f>
        <v>EMI</v>
      </c>
      <c r="J88" t="s">
        <v>94</v>
      </c>
      <c r="K88" t="s">
        <v>37</v>
      </c>
      <c r="L88">
        <v>1</v>
      </c>
      <c r="M88" s="9">
        <v>186286</v>
      </c>
      <c r="N88" s="4">
        <v>7.6999999999999999E-2</v>
      </c>
      <c r="O88" s="4">
        <f t="shared" si="1"/>
        <v>7.6999999999999999E-2</v>
      </c>
      <c r="P88" s="11">
        <v>186286</v>
      </c>
      <c r="Q88" s="9">
        <v>14344.02</v>
      </c>
      <c r="R88" s="9">
        <v>171941.98</v>
      </c>
      <c r="S88">
        <v>3</v>
      </c>
      <c r="T88">
        <v>166</v>
      </c>
      <c r="U88">
        <v>4.2</v>
      </c>
      <c r="V88">
        <v>9</v>
      </c>
      <c r="W88">
        <f>IF('Cleaned Data'!V88&lt;0,"Review",'Cleaned Data'!V88)</f>
        <v>9</v>
      </c>
      <c r="X88">
        <v>2</v>
      </c>
      <c r="Y88" s="7">
        <f>IFERROR('Cleaned Data'!R88/'Cleaned Data'!L88,0)</f>
        <v>171941.98</v>
      </c>
      <c r="Z88" t="str">
        <f>TEXT(EV_Sales[[#This Row],[Order_Date]],"mmm-yyyy")</f>
        <v>Nov-2025</v>
      </c>
      <c r="AA88">
        <f>MONTH(EV_Sales[[#This Row],[Order_Date]])</f>
        <v>11</v>
      </c>
      <c r="AB88" s="12" t="str">
        <f>"Q"&amp;ROUNDUP(MONTH(EV_Sales[[#This Row],[Order_Date]])/3,0)</f>
        <v>Q4</v>
      </c>
    </row>
    <row r="89" spans="1:28" x14ac:dyDescent="0.3">
      <c r="A89" t="s">
        <v>188</v>
      </c>
      <c r="B89" s="2">
        <v>46013</v>
      </c>
      <c r="C89" t="s">
        <v>60</v>
      </c>
      <c r="D89" t="s">
        <v>61</v>
      </c>
      <c r="E89" t="s">
        <v>24</v>
      </c>
      <c r="F89" t="s">
        <v>66</v>
      </c>
      <c r="G89" t="s">
        <v>56</v>
      </c>
      <c r="H89" t="s">
        <v>27</v>
      </c>
      <c r="I89" t="str">
        <f>IF('Cleaned Data'!H89="Emi","EMI",'Cleaned Data'!H89)</f>
        <v>Finance</v>
      </c>
      <c r="J89" t="s">
        <v>36</v>
      </c>
      <c r="K89" t="s">
        <v>29</v>
      </c>
      <c r="L89">
        <v>2</v>
      </c>
      <c r="M89" s="9">
        <v>120218</v>
      </c>
      <c r="N89" s="4">
        <v>3.5999999999999997E-2</v>
      </c>
      <c r="O89" s="4">
        <f t="shared" si="1"/>
        <v>3.5999999999999997E-2</v>
      </c>
      <c r="P89" s="11">
        <v>240436</v>
      </c>
      <c r="Q89" s="9">
        <v>8655.7000000000007</v>
      </c>
      <c r="R89" s="9">
        <v>231780.3</v>
      </c>
      <c r="S89">
        <v>5</v>
      </c>
      <c r="T89">
        <v>197</v>
      </c>
      <c r="U89">
        <v>4.2</v>
      </c>
      <c r="V89">
        <v>12</v>
      </c>
      <c r="W89">
        <f>IF('Cleaned Data'!V89&lt;0,"Review",'Cleaned Data'!V89)</f>
        <v>12</v>
      </c>
      <c r="X89">
        <v>2</v>
      </c>
      <c r="Y89" s="7">
        <f>IFERROR('Cleaned Data'!R89/'Cleaned Data'!L89,0)</f>
        <v>115890.15</v>
      </c>
      <c r="Z89" t="str">
        <f>TEXT(EV_Sales[[#This Row],[Order_Date]],"mmm-yyyy")</f>
        <v>Dec-2025</v>
      </c>
      <c r="AA89">
        <f>MONTH(EV_Sales[[#This Row],[Order_Date]])</f>
        <v>12</v>
      </c>
      <c r="AB89" s="12" t="str">
        <f>"Q"&amp;ROUNDUP(MONTH(EV_Sales[[#This Row],[Order_Date]])/3,0)</f>
        <v>Q4</v>
      </c>
    </row>
    <row r="90" spans="1:28" x14ac:dyDescent="0.3">
      <c r="A90" t="s">
        <v>189</v>
      </c>
      <c r="B90" s="2">
        <v>45669</v>
      </c>
      <c r="C90" t="s">
        <v>87</v>
      </c>
      <c r="D90" t="s">
        <v>130</v>
      </c>
      <c r="E90" t="s">
        <v>62</v>
      </c>
      <c r="F90" t="s">
        <v>80</v>
      </c>
      <c r="G90" t="s">
        <v>56</v>
      </c>
      <c r="H90" t="s">
        <v>27</v>
      </c>
      <c r="I90" t="str">
        <f>IF('Cleaned Data'!H90="Emi","EMI",'Cleaned Data'!H90)</f>
        <v>Finance</v>
      </c>
      <c r="J90" t="s">
        <v>48</v>
      </c>
      <c r="K90" t="s">
        <v>148</v>
      </c>
      <c r="L90">
        <v>1</v>
      </c>
      <c r="M90" s="9">
        <v>107820</v>
      </c>
      <c r="N90" s="4">
        <v>8.2000000000000003E-2</v>
      </c>
      <c r="O90" s="4">
        <f t="shared" si="1"/>
        <v>8.2000000000000003E-2</v>
      </c>
      <c r="P90" s="11">
        <v>107820</v>
      </c>
      <c r="Q90" s="9">
        <v>8841.24</v>
      </c>
      <c r="R90" s="9">
        <v>98978.76</v>
      </c>
      <c r="S90">
        <v>5</v>
      </c>
      <c r="T90">
        <v>183</v>
      </c>
      <c r="U90">
        <v>4.4000000000000004</v>
      </c>
      <c r="V90">
        <v>13</v>
      </c>
      <c r="W90">
        <f>IF('Cleaned Data'!V90&lt;0,"Review",'Cleaned Data'!V90)</f>
        <v>13</v>
      </c>
      <c r="X90">
        <v>2</v>
      </c>
      <c r="Y90" s="7">
        <f>IFERROR('Cleaned Data'!R90/'Cleaned Data'!L90,0)</f>
        <v>98978.76</v>
      </c>
      <c r="Z90" t="str">
        <f>TEXT(EV_Sales[[#This Row],[Order_Date]],"mmm-yyyy")</f>
        <v>Jan-2025</v>
      </c>
      <c r="AA90">
        <f>MONTH(EV_Sales[[#This Row],[Order_Date]])</f>
        <v>1</v>
      </c>
      <c r="AB90" s="12" t="str">
        <f>"Q"&amp;ROUNDUP(MONTH(EV_Sales[[#This Row],[Order_Date]])/3,0)</f>
        <v>Q1</v>
      </c>
    </row>
    <row r="91" spans="1:28" x14ac:dyDescent="0.3">
      <c r="A91" t="s">
        <v>190</v>
      </c>
      <c r="B91" s="2">
        <v>45976</v>
      </c>
      <c r="C91" t="s">
        <v>31</v>
      </c>
      <c r="D91" t="s">
        <v>32</v>
      </c>
      <c r="E91" t="s">
        <v>46</v>
      </c>
      <c r="F91" t="s">
        <v>80</v>
      </c>
      <c r="G91" t="s">
        <v>67</v>
      </c>
      <c r="H91" t="s">
        <v>27</v>
      </c>
      <c r="I91" t="str">
        <f>IF('Cleaned Data'!H91="Emi","EMI",'Cleaned Data'!H91)</f>
        <v>Finance</v>
      </c>
      <c r="J91" t="s">
        <v>28</v>
      </c>
      <c r="K91" t="s">
        <v>64</v>
      </c>
      <c r="L91">
        <v>1</v>
      </c>
      <c r="M91" s="9">
        <v>106164</v>
      </c>
      <c r="N91" s="4">
        <v>9.5000000000000001E-2</v>
      </c>
      <c r="O91" s="4">
        <f t="shared" si="1"/>
        <v>9.5000000000000001E-2</v>
      </c>
      <c r="P91" s="11">
        <v>106164</v>
      </c>
      <c r="Q91" s="9">
        <v>10085.58</v>
      </c>
      <c r="R91" s="9">
        <v>96078.42</v>
      </c>
      <c r="S91">
        <v>4</v>
      </c>
      <c r="T91">
        <v>188</v>
      </c>
      <c r="U91">
        <v>3.8</v>
      </c>
      <c r="V91">
        <v>5</v>
      </c>
      <c r="W91">
        <f>IF('Cleaned Data'!V91&lt;0,"Review",'Cleaned Data'!V91)</f>
        <v>5</v>
      </c>
      <c r="X91">
        <v>5</v>
      </c>
      <c r="Y91" s="7">
        <f>IFERROR('Cleaned Data'!R91/'Cleaned Data'!L91,0)</f>
        <v>96078.42</v>
      </c>
      <c r="Z91" t="str">
        <f>TEXT(EV_Sales[[#This Row],[Order_Date]],"mmm-yyyy")</f>
        <v>Nov-2025</v>
      </c>
      <c r="AA91">
        <f>MONTH(EV_Sales[[#This Row],[Order_Date]])</f>
        <v>11</v>
      </c>
      <c r="AB91" s="12" t="str">
        <f>"Q"&amp;ROUNDUP(MONTH(EV_Sales[[#This Row],[Order_Date]])/3,0)</f>
        <v>Q4</v>
      </c>
    </row>
    <row r="92" spans="1:28" x14ac:dyDescent="0.3">
      <c r="A92" t="s">
        <v>191</v>
      </c>
      <c r="B92" s="2">
        <v>45777</v>
      </c>
      <c r="C92" t="s">
        <v>87</v>
      </c>
      <c r="D92" t="s">
        <v>88</v>
      </c>
      <c r="E92" t="s">
        <v>46</v>
      </c>
      <c r="F92" t="s">
        <v>74</v>
      </c>
      <c r="G92" t="s">
        <v>26</v>
      </c>
      <c r="H92" t="s">
        <v>809</v>
      </c>
      <c r="I92" t="str">
        <f>IF('Cleaned Data'!H92="Emi","EMI",'Cleaned Data'!H92)</f>
        <v>EMI</v>
      </c>
      <c r="J92" t="s">
        <v>63</v>
      </c>
      <c r="K92" t="s">
        <v>138</v>
      </c>
      <c r="L92">
        <v>1</v>
      </c>
      <c r="M92" s="9">
        <v>159302</v>
      </c>
      <c r="N92" s="4">
        <v>0.11700000000000001</v>
      </c>
      <c r="O92" s="4">
        <f t="shared" si="1"/>
        <v>0.11700000000000001</v>
      </c>
      <c r="P92" s="11">
        <v>159302</v>
      </c>
      <c r="Q92" s="9">
        <v>18638.330000000002</v>
      </c>
      <c r="R92" s="9">
        <v>140663.67000000001</v>
      </c>
      <c r="S92">
        <v>5</v>
      </c>
      <c r="T92">
        <v>193</v>
      </c>
      <c r="U92">
        <v>4.3</v>
      </c>
      <c r="V92">
        <v>14</v>
      </c>
      <c r="W92">
        <f>IF('Cleaned Data'!V92&lt;0,"Review",'Cleaned Data'!V92)</f>
        <v>14</v>
      </c>
      <c r="X92">
        <v>5</v>
      </c>
      <c r="Y92" s="7">
        <f>IFERROR('Cleaned Data'!R92/'Cleaned Data'!L92,0)</f>
        <v>140663.67000000001</v>
      </c>
      <c r="Z92" t="str">
        <f>TEXT(EV_Sales[[#This Row],[Order_Date]],"mmm-yyyy")</f>
        <v>Apr-2025</v>
      </c>
      <c r="AA92">
        <f>MONTH(EV_Sales[[#This Row],[Order_Date]])</f>
        <v>4</v>
      </c>
      <c r="AB92" s="12" t="str">
        <f>"Q"&amp;ROUNDUP(MONTH(EV_Sales[[#This Row],[Order_Date]])/3,0)</f>
        <v>Q2</v>
      </c>
    </row>
    <row r="93" spans="1:28" x14ac:dyDescent="0.3">
      <c r="A93" t="s">
        <v>192</v>
      </c>
      <c r="B93" s="2">
        <v>45683</v>
      </c>
      <c r="C93" t="s">
        <v>99</v>
      </c>
      <c r="D93" t="s">
        <v>121</v>
      </c>
      <c r="E93" t="s">
        <v>62</v>
      </c>
      <c r="F93" t="s">
        <v>41</v>
      </c>
      <c r="G93" t="s">
        <v>34</v>
      </c>
      <c r="H93" t="s">
        <v>27</v>
      </c>
      <c r="I93" t="str">
        <f>IF('Cleaned Data'!H93="Emi","EMI",'Cleaned Data'!H93)</f>
        <v>Finance</v>
      </c>
      <c r="J93" t="s">
        <v>28</v>
      </c>
      <c r="K93" t="s">
        <v>81</v>
      </c>
      <c r="L93">
        <v>1</v>
      </c>
      <c r="M93" s="9">
        <v>105587</v>
      </c>
      <c r="N93" s="4">
        <v>0.114</v>
      </c>
      <c r="O93" s="4">
        <f t="shared" si="1"/>
        <v>0.114</v>
      </c>
      <c r="P93" s="11">
        <v>105587</v>
      </c>
      <c r="Q93" s="9">
        <v>12036.92</v>
      </c>
      <c r="R93" s="9">
        <v>93550.080000000002</v>
      </c>
      <c r="S93">
        <v>2</v>
      </c>
      <c r="T93">
        <v>147</v>
      </c>
      <c r="U93">
        <v>4.5999999999999996</v>
      </c>
      <c r="V93">
        <v>14</v>
      </c>
      <c r="W93">
        <f>IF('Cleaned Data'!V93&lt;0,"Review",'Cleaned Data'!V93)</f>
        <v>14</v>
      </c>
      <c r="X93">
        <v>2</v>
      </c>
      <c r="Y93" s="7">
        <f>IFERROR('Cleaned Data'!R93/'Cleaned Data'!L93,0)</f>
        <v>93550.080000000002</v>
      </c>
      <c r="Z93" t="str">
        <f>TEXT(EV_Sales[[#This Row],[Order_Date]],"mmm-yyyy")</f>
        <v>Jan-2025</v>
      </c>
      <c r="AA93">
        <f>MONTH(EV_Sales[[#This Row],[Order_Date]])</f>
        <v>1</v>
      </c>
      <c r="AB93" s="12" t="str">
        <f>"Q"&amp;ROUNDUP(MONTH(EV_Sales[[#This Row],[Order_Date]])/3,0)</f>
        <v>Q1</v>
      </c>
    </row>
    <row r="94" spans="1:28" x14ac:dyDescent="0.3">
      <c r="A94" t="s">
        <v>193</v>
      </c>
      <c r="B94" s="2">
        <v>45684</v>
      </c>
      <c r="C94" t="s">
        <v>87</v>
      </c>
      <c r="D94" t="s">
        <v>130</v>
      </c>
      <c r="E94" t="s">
        <v>62</v>
      </c>
      <c r="F94" t="s">
        <v>47</v>
      </c>
      <c r="G94" t="s">
        <v>67</v>
      </c>
      <c r="H94" t="s">
        <v>809</v>
      </c>
      <c r="I94" t="str">
        <f>IF('Cleaned Data'!H94="Emi","EMI",'Cleaned Data'!H94)</f>
        <v>EMI</v>
      </c>
      <c r="J94" t="s">
        <v>57</v>
      </c>
      <c r="K94" t="s">
        <v>37</v>
      </c>
      <c r="L94">
        <v>4</v>
      </c>
      <c r="M94" s="9">
        <v>118233</v>
      </c>
      <c r="N94" s="4">
        <v>2.3E-2</v>
      </c>
      <c r="O94" s="4">
        <f t="shared" si="1"/>
        <v>2.3E-2</v>
      </c>
      <c r="P94" s="11">
        <v>472932</v>
      </c>
      <c r="Q94" s="9">
        <v>10877.44</v>
      </c>
      <c r="R94" s="9">
        <v>462054.56</v>
      </c>
      <c r="S94">
        <v>4</v>
      </c>
      <c r="T94">
        <v>159</v>
      </c>
      <c r="U94">
        <v>3.8</v>
      </c>
      <c r="V94">
        <v>11</v>
      </c>
      <c r="W94">
        <f>IF('Cleaned Data'!V94&lt;0,"Review",'Cleaned Data'!V94)</f>
        <v>11</v>
      </c>
      <c r="X94">
        <v>3</v>
      </c>
      <c r="Y94" s="7">
        <f>IFERROR('Cleaned Data'!R94/'Cleaned Data'!L94,0)</f>
        <v>115513.64</v>
      </c>
      <c r="Z94" t="str">
        <f>TEXT(EV_Sales[[#This Row],[Order_Date]],"mmm-yyyy")</f>
        <v>Jan-2025</v>
      </c>
      <c r="AA94">
        <f>MONTH(EV_Sales[[#This Row],[Order_Date]])</f>
        <v>1</v>
      </c>
      <c r="AB94" s="12" t="str">
        <f>"Q"&amp;ROUNDUP(MONTH(EV_Sales[[#This Row],[Order_Date]])/3,0)</f>
        <v>Q1</v>
      </c>
    </row>
    <row r="95" spans="1:28" x14ac:dyDescent="0.3">
      <c r="A95" t="s">
        <v>194</v>
      </c>
      <c r="B95" s="2">
        <v>45931</v>
      </c>
      <c r="C95" t="s">
        <v>31</v>
      </c>
      <c r="D95" t="s">
        <v>32</v>
      </c>
      <c r="E95" t="s">
        <v>24</v>
      </c>
      <c r="F95" t="s">
        <v>41</v>
      </c>
      <c r="G95" t="s">
        <v>56</v>
      </c>
      <c r="H95" t="s">
        <v>809</v>
      </c>
      <c r="I95" t="str">
        <f>IF('Cleaned Data'!H95="Emi","EMI",'Cleaned Data'!H95)</f>
        <v>EMI</v>
      </c>
      <c r="J95" t="s">
        <v>94</v>
      </c>
      <c r="K95" t="s">
        <v>175</v>
      </c>
      <c r="L95">
        <v>4</v>
      </c>
      <c r="M95" s="9">
        <v>110687</v>
      </c>
      <c r="N95" s="4">
        <v>0.11700000000000001</v>
      </c>
      <c r="O95" s="4">
        <f t="shared" si="1"/>
        <v>0.11700000000000001</v>
      </c>
      <c r="P95" s="11">
        <v>442748</v>
      </c>
      <c r="Q95" s="9">
        <v>51801.52</v>
      </c>
      <c r="R95" s="9">
        <v>390946.48</v>
      </c>
      <c r="S95">
        <v>3</v>
      </c>
      <c r="T95">
        <v>168</v>
      </c>
      <c r="U95">
        <v>4.3</v>
      </c>
      <c r="V95">
        <v>12</v>
      </c>
      <c r="W95">
        <f>IF('Cleaned Data'!V95&lt;0,"Review",'Cleaned Data'!V95)</f>
        <v>12</v>
      </c>
      <c r="X95">
        <v>3</v>
      </c>
      <c r="Y95" s="7">
        <f>IFERROR('Cleaned Data'!R95/'Cleaned Data'!L95,0)</f>
        <v>97736.62</v>
      </c>
      <c r="Z95" t="str">
        <f>TEXT(EV_Sales[[#This Row],[Order_Date]],"mmm-yyyy")</f>
        <v>Oct-2025</v>
      </c>
      <c r="AA95">
        <f>MONTH(EV_Sales[[#This Row],[Order_Date]])</f>
        <v>10</v>
      </c>
      <c r="AB95" s="12" t="str">
        <f>"Q"&amp;ROUNDUP(MONTH(EV_Sales[[#This Row],[Order_Date]])/3,0)</f>
        <v>Q4</v>
      </c>
    </row>
    <row r="96" spans="1:28" x14ac:dyDescent="0.3">
      <c r="A96" t="s">
        <v>195</v>
      </c>
      <c r="B96" s="2">
        <v>45973</v>
      </c>
      <c r="C96" t="s">
        <v>60</v>
      </c>
      <c r="D96" t="s">
        <v>61</v>
      </c>
      <c r="E96" t="s">
        <v>24</v>
      </c>
      <c r="F96" t="s">
        <v>70</v>
      </c>
      <c r="G96" t="s">
        <v>34</v>
      </c>
      <c r="H96" t="s">
        <v>809</v>
      </c>
      <c r="I96" t="str">
        <f>IF('Cleaned Data'!H96="Emi","EMI",'Cleaned Data'!H96)</f>
        <v>EMI</v>
      </c>
      <c r="J96" t="s">
        <v>28</v>
      </c>
      <c r="K96" t="s">
        <v>109</v>
      </c>
      <c r="L96">
        <v>5</v>
      </c>
      <c r="M96" s="9">
        <v>111085</v>
      </c>
      <c r="N96" s="4">
        <v>6.6000000000000003E-2</v>
      </c>
      <c r="O96" s="4">
        <f t="shared" si="1"/>
        <v>6.6000000000000003E-2</v>
      </c>
      <c r="P96" s="11">
        <v>555425</v>
      </c>
      <c r="Q96" s="9">
        <v>36658.050000000003</v>
      </c>
      <c r="R96" s="9">
        <v>518766.95</v>
      </c>
      <c r="S96">
        <v>2</v>
      </c>
      <c r="T96">
        <v>165</v>
      </c>
      <c r="U96">
        <v>4.8</v>
      </c>
      <c r="V96">
        <v>5</v>
      </c>
      <c r="W96">
        <f>IF('Cleaned Data'!V96&lt;0,"Review",'Cleaned Data'!V96)</f>
        <v>5</v>
      </c>
      <c r="X96">
        <v>2</v>
      </c>
      <c r="Y96" s="7">
        <f>IFERROR('Cleaned Data'!R96/'Cleaned Data'!L96,0)</f>
        <v>103753.39</v>
      </c>
      <c r="Z96" t="str">
        <f>TEXT(EV_Sales[[#This Row],[Order_Date]],"mmm-yyyy")</f>
        <v>Nov-2025</v>
      </c>
      <c r="AA96">
        <f>MONTH(EV_Sales[[#This Row],[Order_Date]])</f>
        <v>11</v>
      </c>
      <c r="AB96" s="12" t="str">
        <f>"Q"&amp;ROUNDUP(MONTH(EV_Sales[[#This Row],[Order_Date]])/3,0)</f>
        <v>Q4</v>
      </c>
    </row>
    <row r="97" spans="1:28" x14ac:dyDescent="0.3">
      <c r="A97" t="s">
        <v>196</v>
      </c>
      <c r="B97" s="2">
        <v>46001</v>
      </c>
      <c r="C97" t="s">
        <v>60</v>
      </c>
      <c r="D97" t="s">
        <v>69</v>
      </c>
      <c r="E97" t="s">
        <v>46</v>
      </c>
      <c r="F97" t="s">
        <v>70</v>
      </c>
      <c r="G97" t="s">
        <v>67</v>
      </c>
      <c r="H97" t="s">
        <v>27</v>
      </c>
      <c r="I97" t="str">
        <f>IF('Cleaned Data'!H97="Emi","EMI",'Cleaned Data'!H97)</f>
        <v>Finance</v>
      </c>
      <c r="J97" t="s">
        <v>57</v>
      </c>
      <c r="K97" t="s">
        <v>197</v>
      </c>
      <c r="L97">
        <v>1</v>
      </c>
      <c r="M97" s="9">
        <v>113169</v>
      </c>
      <c r="N97" s="4">
        <v>3.5000000000000003E-2</v>
      </c>
      <c r="O97" s="4">
        <f t="shared" si="1"/>
        <v>3.5000000000000003E-2</v>
      </c>
      <c r="P97" s="11">
        <v>113169</v>
      </c>
      <c r="Q97" s="9">
        <v>3960.92</v>
      </c>
      <c r="R97" s="9">
        <v>109208.08</v>
      </c>
      <c r="S97">
        <v>3</v>
      </c>
      <c r="T97">
        <v>152</v>
      </c>
      <c r="U97">
        <v>4.8</v>
      </c>
      <c r="V97">
        <v>7</v>
      </c>
      <c r="W97">
        <f>IF('Cleaned Data'!V97&lt;0,"Review",'Cleaned Data'!V97)</f>
        <v>7</v>
      </c>
      <c r="X97">
        <v>5</v>
      </c>
      <c r="Y97" s="7">
        <f>IFERROR('Cleaned Data'!R97/'Cleaned Data'!L97,0)</f>
        <v>109208.08</v>
      </c>
      <c r="Z97" t="str">
        <f>TEXT(EV_Sales[[#This Row],[Order_Date]],"mmm-yyyy")</f>
        <v>Dec-2025</v>
      </c>
      <c r="AA97">
        <f>MONTH(EV_Sales[[#This Row],[Order_Date]])</f>
        <v>12</v>
      </c>
      <c r="AB97" s="12" t="str">
        <f>"Q"&amp;ROUNDUP(MONTH(EV_Sales[[#This Row],[Order_Date]])/3,0)</f>
        <v>Q4</v>
      </c>
    </row>
    <row r="98" spans="1:28" x14ac:dyDescent="0.3">
      <c r="A98" t="s">
        <v>198</v>
      </c>
      <c r="B98" s="2">
        <v>45836</v>
      </c>
      <c r="C98" t="s">
        <v>39</v>
      </c>
      <c r="D98" t="s">
        <v>154</v>
      </c>
      <c r="E98" t="s">
        <v>24</v>
      </c>
      <c r="F98" t="s">
        <v>52</v>
      </c>
      <c r="G98" t="s">
        <v>34</v>
      </c>
      <c r="H98" t="s">
        <v>27</v>
      </c>
      <c r="I98" t="str">
        <f>IF('Cleaned Data'!H98="Emi","EMI",'Cleaned Data'!H98)</f>
        <v>Finance</v>
      </c>
      <c r="J98" t="s">
        <v>36</v>
      </c>
      <c r="K98" t="s">
        <v>64</v>
      </c>
      <c r="L98">
        <v>1</v>
      </c>
      <c r="M98" s="9">
        <v>175299</v>
      </c>
      <c r="N98" s="4">
        <v>0.11899999999999999</v>
      </c>
      <c r="O98" s="4">
        <f t="shared" si="1"/>
        <v>0.11899999999999999</v>
      </c>
      <c r="P98" s="11">
        <v>175299</v>
      </c>
      <c r="Q98" s="9">
        <v>20860.580000000002</v>
      </c>
      <c r="R98" s="9">
        <v>154438.42000000001</v>
      </c>
      <c r="S98">
        <v>3</v>
      </c>
      <c r="T98">
        <v>192</v>
      </c>
      <c r="U98" t="s">
        <v>812</v>
      </c>
      <c r="V98">
        <v>5</v>
      </c>
      <c r="W98">
        <f>IF('Cleaned Data'!V98&lt;0,"Review",'Cleaned Data'!V98)</f>
        <v>5</v>
      </c>
      <c r="X98">
        <v>2</v>
      </c>
      <c r="Y98" s="7">
        <f>IFERROR('Cleaned Data'!R98/'Cleaned Data'!L98,0)</f>
        <v>154438.42000000001</v>
      </c>
      <c r="Z98" t="str">
        <f>TEXT(EV_Sales[[#This Row],[Order_Date]],"mmm-yyyy")</f>
        <v>Jun-2025</v>
      </c>
      <c r="AA98">
        <f>MONTH(EV_Sales[[#This Row],[Order_Date]])</f>
        <v>6</v>
      </c>
      <c r="AB98" s="12" t="str">
        <f>"Q"&amp;ROUNDUP(MONTH(EV_Sales[[#This Row],[Order_Date]])/3,0)</f>
        <v>Q2</v>
      </c>
    </row>
    <row r="99" spans="1:28" x14ac:dyDescent="0.3">
      <c r="A99" t="s">
        <v>199</v>
      </c>
      <c r="B99" s="2">
        <v>45946</v>
      </c>
      <c r="C99" t="s">
        <v>200</v>
      </c>
      <c r="D99" t="s">
        <v>141</v>
      </c>
      <c r="E99" t="s">
        <v>62</v>
      </c>
      <c r="F99" t="s">
        <v>74</v>
      </c>
      <c r="G99" t="s">
        <v>34</v>
      </c>
      <c r="H99" t="s">
        <v>809</v>
      </c>
      <c r="I99" t="str">
        <f>IF('Cleaned Data'!H99="Emi","EMI",'Cleaned Data'!H99)</f>
        <v>EMI</v>
      </c>
      <c r="J99" t="s">
        <v>94</v>
      </c>
      <c r="K99" t="s">
        <v>72</v>
      </c>
      <c r="L99">
        <v>4</v>
      </c>
      <c r="M99" s="9">
        <v>133217</v>
      </c>
      <c r="N99" s="4">
        <v>0.10199999999999999</v>
      </c>
      <c r="O99" s="4">
        <f t="shared" si="1"/>
        <v>0.10199999999999999</v>
      </c>
      <c r="P99" s="11">
        <v>532868</v>
      </c>
      <c r="Q99" s="9">
        <v>54352.54</v>
      </c>
      <c r="R99" s="9">
        <v>478515.46</v>
      </c>
      <c r="S99">
        <v>3</v>
      </c>
      <c r="T99">
        <v>171</v>
      </c>
      <c r="U99">
        <v>3.7</v>
      </c>
      <c r="V99">
        <v>3</v>
      </c>
      <c r="W99">
        <f>IF('Cleaned Data'!V99&lt;0,"Review",'Cleaned Data'!V99)</f>
        <v>3</v>
      </c>
      <c r="X99">
        <v>3</v>
      </c>
      <c r="Y99" s="7">
        <f>IFERROR('Cleaned Data'!R99/'Cleaned Data'!L99,0)</f>
        <v>119628.86500000001</v>
      </c>
      <c r="Z99" t="str">
        <f>TEXT(EV_Sales[[#This Row],[Order_Date]],"mmm-yyyy")</f>
        <v>Oct-2025</v>
      </c>
      <c r="AA99">
        <f>MONTH(EV_Sales[[#This Row],[Order_Date]])</f>
        <v>10</v>
      </c>
      <c r="AB99" s="12" t="str">
        <f>"Q"&amp;ROUNDUP(MONTH(EV_Sales[[#This Row],[Order_Date]])/3,0)</f>
        <v>Q4</v>
      </c>
    </row>
    <row r="100" spans="1:28" x14ac:dyDescent="0.3">
      <c r="A100" t="s">
        <v>201</v>
      </c>
      <c r="B100" s="2">
        <v>45666</v>
      </c>
      <c r="C100" t="s">
        <v>39</v>
      </c>
      <c r="D100" t="s">
        <v>154</v>
      </c>
      <c r="E100" t="s">
        <v>62</v>
      </c>
      <c r="F100" t="s">
        <v>66</v>
      </c>
      <c r="G100" t="s">
        <v>56</v>
      </c>
      <c r="H100" t="s">
        <v>27</v>
      </c>
      <c r="I100" t="str">
        <f>IF('Cleaned Data'!H100="Emi","EMI",'Cleaned Data'!H100)</f>
        <v>Finance</v>
      </c>
      <c r="J100" t="s">
        <v>48</v>
      </c>
      <c r="K100" t="s">
        <v>109</v>
      </c>
      <c r="L100">
        <v>5</v>
      </c>
      <c r="M100" s="9">
        <v>170509</v>
      </c>
      <c r="N100" s="4">
        <v>7.3999999999999996E-2</v>
      </c>
      <c r="O100" s="4">
        <f t="shared" si="1"/>
        <v>7.3999999999999996E-2</v>
      </c>
      <c r="P100" s="11">
        <v>852545</v>
      </c>
      <c r="Q100" s="9">
        <v>63088.33</v>
      </c>
      <c r="R100" s="9">
        <v>789456.67</v>
      </c>
      <c r="S100">
        <v>4</v>
      </c>
      <c r="T100">
        <v>186</v>
      </c>
      <c r="U100">
        <v>4.4000000000000004</v>
      </c>
      <c r="V100">
        <v>5</v>
      </c>
      <c r="W100">
        <f>IF('Cleaned Data'!V100&lt;0,"Review",'Cleaned Data'!V100)</f>
        <v>5</v>
      </c>
      <c r="X100">
        <v>3</v>
      </c>
      <c r="Y100" s="7">
        <f>IFERROR('Cleaned Data'!R100/'Cleaned Data'!L100,0)</f>
        <v>157891.334</v>
      </c>
      <c r="Z100" t="str">
        <f>TEXT(EV_Sales[[#This Row],[Order_Date]],"mmm-yyyy")</f>
        <v>Jan-2025</v>
      </c>
      <c r="AA100">
        <f>MONTH(EV_Sales[[#This Row],[Order_Date]])</f>
        <v>1</v>
      </c>
      <c r="AB100" s="12" t="str">
        <f>"Q"&amp;ROUNDUP(MONTH(EV_Sales[[#This Row],[Order_Date]])/3,0)</f>
        <v>Q1</v>
      </c>
    </row>
    <row r="101" spans="1:28" x14ac:dyDescent="0.3">
      <c r="A101" t="s">
        <v>202</v>
      </c>
      <c r="B101" s="2">
        <v>45660</v>
      </c>
      <c r="C101" t="s">
        <v>99</v>
      </c>
      <c r="D101" t="s">
        <v>121</v>
      </c>
      <c r="E101" t="s">
        <v>62</v>
      </c>
      <c r="F101" t="s">
        <v>101</v>
      </c>
      <c r="G101" t="s">
        <v>56</v>
      </c>
      <c r="H101" t="s">
        <v>809</v>
      </c>
      <c r="I101" t="str">
        <f>IF('Cleaned Data'!H101="Emi","EMI",'Cleaned Data'!H101)</f>
        <v>EMI</v>
      </c>
      <c r="J101" t="s">
        <v>28</v>
      </c>
      <c r="K101" t="s">
        <v>203</v>
      </c>
      <c r="L101">
        <v>1</v>
      </c>
      <c r="M101" s="9">
        <v>101110</v>
      </c>
      <c r="N101" s="4">
        <v>6.4000000000000001E-2</v>
      </c>
      <c r="O101" s="4">
        <f t="shared" si="1"/>
        <v>6.4000000000000001E-2</v>
      </c>
      <c r="P101" s="11">
        <v>101110</v>
      </c>
      <c r="Q101" s="9">
        <v>6471.04</v>
      </c>
      <c r="R101" s="9">
        <v>94638.96</v>
      </c>
      <c r="S101">
        <v>4</v>
      </c>
      <c r="T101">
        <v>202</v>
      </c>
      <c r="U101">
        <v>4.5999999999999996</v>
      </c>
      <c r="V101">
        <v>10</v>
      </c>
      <c r="W101">
        <f>IF('Cleaned Data'!V101&lt;0,"Review",'Cleaned Data'!V101)</f>
        <v>10</v>
      </c>
      <c r="X101">
        <v>2</v>
      </c>
      <c r="Y101" s="7">
        <f>IFERROR('Cleaned Data'!R101/'Cleaned Data'!L101,0)</f>
        <v>94638.96</v>
      </c>
      <c r="Z101" t="str">
        <f>TEXT(EV_Sales[[#This Row],[Order_Date]],"mmm-yyyy")</f>
        <v>Jan-2025</v>
      </c>
      <c r="AA101">
        <f>MONTH(EV_Sales[[#This Row],[Order_Date]])</f>
        <v>1</v>
      </c>
      <c r="AB101" s="12" t="str">
        <f>"Q"&amp;ROUNDUP(MONTH(EV_Sales[[#This Row],[Order_Date]])/3,0)</f>
        <v>Q1</v>
      </c>
    </row>
    <row r="102" spans="1:28" x14ac:dyDescent="0.3">
      <c r="A102" t="s">
        <v>204</v>
      </c>
      <c r="B102" s="2">
        <v>45878</v>
      </c>
      <c r="C102" t="s">
        <v>60</v>
      </c>
      <c r="D102" t="s">
        <v>61</v>
      </c>
      <c r="E102" t="s">
        <v>62</v>
      </c>
      <c r="F102" t="s">
        <v>33</v>
      </c>
      <c r="G102" t="s">
        <v>34</v>
      </c>
      <c r="H102" t="s">
        <v>27</v>
      </c>
      <c r="I102" t="str">
        <f>IF('Cleaned Data'!H102="Emi","EMI",'Cleaned Data'!H102)</f>
        <v>Finance</v>
      </c>
      <c r="J102" t="s">
        <v>63</v>
      </c>
      <c r="K102" t="s">
        <v>72</v>
      </c>
      <c r="L102">
        <v>3</v>
      </c>
      <c r="M102" s="9">
        <v>118705</v>
      </c>
      <c r="N102" s="4">
        <v>7.0000000000000007E-2</v>
      </c>
      <c r="O102" s="4">
        <f t="shared" si="1"/>
        <v>7.0000000000000007E-2</v>
      </c>
      <c r="P102" s="11">
        <v>356115</v>
      </c>
      <c r="Q102" s="9">
        <v>24928.05</v>
      </c>
      <c r="R102" s="9">
        <v>331186.95</v>
      </c>
      <c r="S102">
        <v>4</v>
      </c>
      <c r="T102">
        <v>170</v>
      </c>
      <c r="U102">
        <v>4.4000000000000004</v>
      </c>
      <c r="V102">
        <v>9</v>
      </c>
      <c r="W102">
        <f>IF('Cleaned Data'!V102&lt;0,"Review",'Cleaned Data'!V102)</f>
        <v>9</v>
      </c>
      <c r="X102">
        <v>2</v>
      </c>
      <c r="Y102" s="7">
        <f>IFERROR('Cleaned Data'!R102/'Cleaned Data'!L102,0)</f>
        <v>110395.65000000001</v>
      </c>
      <c r="Z102" t="str">
        <f>TEXT(EV_Sales[[#This Row],[Order_Date]],"mmm-yyyy")</f>
        <v>Aug-2025</v>
      </c>
      <c r="AA102">
        <f>MONTH(EV_Sales[[#This Row],[Order_Date]])</f>
        <v>8</v>
      </c>
      <c r="AB102" s="12" t="str">
        <f>"Q"&amp;ROUNDUP(MONTH(EV_Sales[[#This Row],[Order_Date]])/3,0)</f>
        <v>Q3</v>
      </c>
    </row>
    <row r="103" spans="1:28" x14ac:dyDescent="0.3">
      <c r="A103" t="s">
        <v>205</v>
      </c>
      <c r="B103" s="2">
        <v>45864</v>
      </c>
      <c r="C103" t="s">
        <v>60</v>
      </c>
      <c r="D103" t="s">
        <v>69</v>
      </c>
      <c r="E103" t="s">
        <v>24</v>
      </c>
      <c r="F103" t="s">
        <v>74</v>
      </c>
      <c r="G103" t="s">
        <v>56</v>
      </c>
      <c r="H103" t="s">
        <v>53</v>
      </c>
      <c r="I103" t="str">
        <f>IF('Cleaned Data'!H103="Emi","EMI",'Cleaned Data'!H103)</f>
        <v>Cash</v>
      </c>
      <c r="J103" t="s">
        <v>36</v>
      </c>
      <c r="K103" t="s">
        <v>157</v>
      </c>
      <c r="L103">
        <v>1</v>
      </c>
      <c r="M103" s="9">
        <v>105500</v>
      </c>
      <c r="N103" s="4">
        <v>0.107</v>
      </c>
      <c r="O103" s="4">
        <f t="shared" si="1"/>
        <v>0.107</v>
      </c>
      <c r="P103" s="11">
        <v>105500</v>
      </c>
      <c r="Q103" s="9">
        <v>11288.5</v>
      </c>
      <c r="R103" s="9">
        <v>94211.5</v>
      </c>
      <c r="S103">
        <v>4</v>
      </c>
      <c r="T103">
        <v>176</v>
      </c>
      <c r="U103">
        <v>4.8</v>
      </c>
      <c r="V103">
        <v>5</v>
      </c>
      <c r="W103">
        <f>IF('Cleaned Data'!V103&lt;0,"Review",'Cleaned Data'!V103)</f>
        <v>5</v>
      </c>
      <c r="X103">
        <v>3</v>
      </c>
      <c r="Y103" s="7">
        <f>IFERROR('Cleaned Data'!R103/'Cleaned Data'!L103,0)</f>
        <v>94211.5</v>
      </c>
      <c r="Z103" t="str">
        <f>TEXT(EV_Sales[[#This Row],[Order_Date]],"mmm-yyyy")</f>
        <v>Jul-2025</v>
      </c>
      <c r="AA103">
        <f>MONTH(EV_Sales[[#This Row],[Order_Date]])</f>
        <v>7</v>
      </c>
      <c r="AB103" s="12" t="str">
        <f>"Q"&amp;ROUNDUP(MONTH(EV_Sales[[#This Row],[Order_Date]])/3,0)</f>
        <v>Q3</v>
      </c>
    </row>
    <row r="104" spans="1:28" x14ac:dyDescent="0.3">
      <c r="A104" t="s">
        <v>206</v>
      </c>
      <c r="B104" s="2">
        <v>45885</v>
      </c>
      <c r="C104" t="s">
        <v>60</v>
      </c>
      <c r="D104" t="s">
        <v>61</v>
      </c>
      <c r="E104" t="s">
        <v>46</v>
      </c>
      <c r="F104" t="s">
        <v>47</v>
      </c>
      <c r="G104" t="s">
        <v>34</v>
      </c>
      <c r="H104" t="s">
        <v>53</v>
      </c>
      <c r="I104" t="str">
        <f>IF('Cleaned Data'!H104="Emi","EMI",'Cleaned Data'!H104)</f>
        <v>Cash</v>
      </c>
      <c r="J104" t="s">
        <v>57</v>
      </c>
      <c r="K104" t="s">
        <v>72</v>
      </c>
      <c r="L104">
        <v>4</v>
      </c>
      <c r="M104" s="9">
        <v>122601</v>
      </c>
      <c r="N104" s="4">
        <v>6.2E-2</v>
      </c>
      <c r="O104" s="4">
        <f t="shared" si="1"/>
        <v>6.2E-2</v>
      </c>
      <c r="P104" s="11">
        <v>490404</v>
      </c>
      <c r="Q104" s="9">
        <v>30405.05</v>
      </c>
      <c r="R104" s="9">
        <v>459998.95</v>
      </c>
      <c r="S104">
        <v>3</v>
      </c>
      <c r="T104">
        <v>173</v>
      </c>
      <c r="U104">
        <v>4.2</v>
      </c>
      <c r="V104">
        <v>13</v>
      </c>
      <c r="W104">
        <f>IF('Cleaned Data'!V104&lt;0,"Review",'Cleaned Data'!V104)</f>
        <v>13</v>
      </c>
      <c r="X104">
        <v>5</v>
      </c>
      <c r="Y104" s="7">
        <f>IFERROR('Cleaned Data'!R104/'Cleaned Data'!L104,0)</f>
        <v>114999.7375</v>
      </c>
      <c r="Z104" t="str">
        <f>TEXT(EV_Sales[[#This Row],[Order_Date]],"mmm-yyyy")</f>
        <v>Aug-2025</v>
      </c>
      <c r="AA104">
        <f>MONTH(EV_Sales[[#This Row],[Order_Date]])</f>
        <v>8</v>
      </c>
      <c r="AB104" s="12" t="str">
        <f>"Q"&amp;ROUNDUP(MONTH(EV_Sales[[#This Row],[Order_Date]])/3,0)</f>
        <v>Q3</v>
      </c>
    </row>
    <row r="105" spans="1:28" x14ac:dyDescent="0.3">
      <c r="A105" t="s">
        <v>207</v>
      </c>
      <c r="B105" s="2">
        <v>45744</v>
      </c>
      <c r="C105" t="s">
        <v>99</v>
      </c>
      <c r="D105" t="s">
        <v>100</v>
      </c>
      <c r="E105" t="s">
        <v>62</v>
      </c>
      <c r="F105" t="s">
        <v>52</v>
      </c>
      <c r="G105" t="s">
        <v>56</v>
      </c>
      <c r="H105" t="s">
        <v>53</v>
      </c>
      <c r="I105" t="str">
        <f>IF('Cleaned Data'!H105="Emi","EMI",'Cleaned Data'!H105)</f>
        <v>Cash</v>
      </c>
      <c r="J105" t="s">
        <v>36</v>
      </c>
      <c r="K105" t="s">
        <v>29</v>
      </c>
      <c r="L105">
        <v>2</v>
      </c>
      <c r="M105" s="9">
        <v>114102</v>
      </c>
      <c r="N105" s="4">
        <v>7.0999999999999994E-2</v>
      </c>
      <c r="O105" s="4">
        <f t="shared" si="1"/>
        <v>7.0999999999999994E-2</v>
      </c>
      <c r="P105" s="11">
        <v>228204</v>
      </c>
      <c r="Q105" s="9">
        <v>16202.48</v>
      </c>
      <c r="R105" s="9">
        <v>212001.52</v>
      </c>
      <c r="S105">
        <v>3</v>
      </c>
      <c r="T105">
        <v>162</v>
      </c>
      <c r="U105">
        <v>3.8</v>
      </c>
      <c r="V105">
        <v>7</v>
      </c>
      <c r="W105">
        <f>IF('Cleaned Data'!V105&lt;0,"Review",'Cleaned Data'!V105)</f>
        <v>7</v>
      </c>
      <c r="X105">
        <v>2</v>
      </c>
      <c r="Y105" s="7">
        <f>IFERROR('Cleaned Data'!R105/'Cleaned Data'!L105,0)</f>
        <v>106000.76</v>
      </c>
      <c r="Z105" t="str">
        <f>TEXT(EV_Sales[[#This Row],[Order_Date]],"mmm-yyyy")</f>
        <v>Mar-2025</v>
      </c>
      <c r="AA105">
        <f>MONTH(EV_Sales[[#This Row],[Order_Date]])</f>
        <v>3</v>
      </c>
      <c r="AB105" s="12" t="str">
        <f>"Q"&amp;ROUNDUP(MONTH(EV_Sales[[#This Row],[Order_Date]])/3,0)</f>
        <v>Q1</v>
      </c>
    </row>
    <row r="106" spans="1:28" x14ac:dyDescent="0.3">
      <c r="A106" t="s">
        <v>208</v>
      </c>
      <c r="B106" s="2">
        <v>45802</v>
      </c>
      <c r="C106" t="s">
        <v>22</v>
      </c>
      <c r="D106" t="s">
        <v>23</v>
      </c>
      <c r="E106" t="s">
        <v>62</v>
      </c>
      <c r="F106" t="s">
        <v>101</v>
      </c>
      <c r="G106" t="s">
        <v>56</v>
      </c>
      <c r="H106" t="s">
        <v>27</v>
      </c>
      <c r="I106" t="str">
        <f>IF('Cleaned Data'!H106="Emi","EMI",'Cleaned Data'!H106)</f>
        <v>Finance</v>
      </c>
      <c r="J106" t="s">
        <v>28</v>
      </c>
      <c r="K106" t="s">
        <v>89</v>
      </c>
      <c r="L106">
        <v>1</v>
      </c>
      <c r="M106" s="9">
        <v>129086</v>
      </c>
      <c r="N106" s="4">
        <v>4.5999999999999999E-2</v>
      </c>
      <c r="O106" s="4">
        <f t="shared" si="1"/>
        <v>4.5999999999999999E-2</v>
      </c>
      <c r="P106" s="11">
        <v>129086</v>
      </c>
      <c r="Q106" s="9">
        <v>5937.96</v>
      </c>
      <c r="R106" s="9">
        <v>123148.04</v>
      </c>
      <c r="S106">
        <v>4</v>
      </c>
      <c r="T106">
        <v>195</v>
      </c>
      <c r="U106">
        <v>3.8</v>
      </c>
      <c r="V106">
        <v>9</v>
      </c>
      <c r="W106">
        <f>IF('Cleaned Data'!V106&lt;0,"Review",'Cleaned Data'!V106)</f>
        <v>9</v>
      </c>
      <c r="X106">
        <v>2</v>
      </c>
      <c r="Y106" s="7">
        <f>IFERROR('Cleaned Data'!R106/'Cleaned Data'!L106,0)</f>
        <v>123148.04</v>
      </c>
      <c r="Z106" t="str">
        <f>TEXT(EV_Sales[[#This Row],[Order_Date]],"mmm-yyyy")</f>
        <v>May-2025</v>
      </c>
      <c r="AA106">
        <f>MONTH(EV_Sales[[#This Row],[Order_Date]])</f>
        <v>5</v>
      </c>
      <c r="AB106" s="12" t="str">
        <f>"Q"&amp;ROUNDUP(MONTH(EV_Sales[[#This Row],[Order_Date]])/3,0)</f>
        <v>Q2</v>
      </c>
    </row>
    <row r="107" spans="1:28" x14ac:dyDescent="0.3">
      <c r="A107" t="s">
        <v>209</v>
      </c>
      <c r="B107" s="2">
        <v>45923</v>
      </c>
      <c r="C107" t="s">
        <v>99</v>
      </c>
      <c r="D107" t="s">
        <v>141</v>
      </c>
      <c r="E107" t="s">
        <v>62</v>
      </c>
      <c r="F107" t="s">
        <v>25</v>
      </c>
      <c r="G107" t="s">
        <v>34</v>
      </c>
      <c r="H107" t="s">
        <v>53</v>
      </c>
      <c r="I107" t="str">
        <f>IF('Cleaned Data'!H107="Emi","EMI",'Cleaned Data'!H107)</f>
        <v>Cash</v>
      </c>
      <c r="J107" t="s">
        <v>57</v>
      </c>
      <c r="K107" t="s">
        <v>92</v>
      </c>
      <c r="L107">
        <v>2</v>
      </c>
      <c r="M107" s="9">
        <v>134456</v>
      </c>
      <c r="N107" s="4">
        <v>6.5000000000000002E-2</v>
      </c>
      <c r="O107" s="4">
        <f t="shared" si="1"/>
        <v>6.5000000000000002E-2</v>
      </c>
      <c r="P107" s="11">
        <v>268912</v>
      </c>
      <c r="Q107" s="9">
        <v>17479.28</v>
      </c>
      <c r="R107" s="9">
        <v>251432.72</v>
      </c>
      <c r="S107">
        <v>4</v>
      </c>
      <c r="T107">
        <v>166</v>
      </c>
      <c r="U107">
        <v>3.4</v>
      </c>
      <c r="V107">
        <v>12</v>
      </c>
      <c r="W107">
        <f>IF('Cleaned Data'!V107&lt;0,"Review",'Cleaned Data'!V107)</f>
        <v>12</v>
      </c>
      <c r="X107">
        <v>2</v>
      </c>
      <c r="Y107" s="7">
        <f>IFERROR('Cleaned Data'!R107/'Cleaned Data'!L107,0)</f>
        <v>125716.36</v>
      </c>
      <c r="Z107" t="str">
        <f>TEXT(EV_Sales[[#This Row],[Order_Date]],"mmm-yyyy")</f>
        <v>Sep-2025</v>
      </c>
      <c r="AA107">
        <f>MONTH(EV_Sales[[#This Row],[Order_Date]])</f>
        <v>9</v>
      </c>
      <c r="AB107" s="12" t="str">
        <f>"Q"&amp;ROUNDUP(MONTH(EV_Sales[[#This Row],[Order_Date]])/3,0)</f>
        <v>Q3</v>
      </c>
    </row>
    <row r="108" spans="1:28" x14ac:dyDescent="0.3">
      <c r="A108" t="s">
        <v>210</v>
      </c>
      <c r="B108" s="2">
        <v>45969</v>
      </c>
      <c r="C108" t="s">
        <v>31</v>
      </c>
      <c r="D108" t="s">
        <v>32</v>
      </c>
      <c r="E108" t="s">
        <v>46</v>
      </c>
      <c r="F108" t="s">
        <v>74</v>
      </c>
      <c r="G108" t="s">
        <v>56</v>
      </c>
      <c r="H108" t="s">
        <v>809</v>
      </c>
      <c r="I108" t="str">
        <f>IF('Cleaned Data'!H108="Emi","EMI",'Cleaned Data'!H108)</f>
        <v>EMI</v>
      </c>
      <c r="J108" t="s">
        <v>28</v>
      </c>
      <c r="K108" t="s">
        <v>131</v>
      </c>
      <c r="L108">
        <v>2</v>
      </c>
      <c r="M108" s="9">
        <v>116771</v>
      </c>
      <c r="N108" s="4">
        <v>4.1000000000000002E-2</v>
      </c>
      <c r="O108" s="4">
        <f t="shared" si="1"/>
        <v>4.1000000000000002E-2</v>
      </c>
      <c r="P108" s="11">
        <v>233542</v>
      </c>
      <c r="Q108" s="9">
        <v>9575.2199999999993</v>
      </c>
      <c r="R108" s="9">
        <v>223966.78</v>
      </c>
      <c r="S108">
        <v>2</v>
      </c>
      <c r="T108">
        <v>145</v>
      </c>
      <c r="U108">
        <v>4.0999999999999996</v>
      </c>
      <c r="V108">
        <v>6</v>
      </c>
      <c r="W108">
        <f>IF('Cleaned Data'!V108&lt;0,"Review",'Cleaned Data'!V108)</f>
        <v>6</v>
      </c>
      <c r="X108">
        <v>3</v>
      </c>
      <c r="Y108" s="7">
        <f>IFERROR('Cleaned Data'!R108/'Cleaned Data'!L108,0)</f>
        <v>111983.39</v>
      </c>
      <c r="Z108" t="str">
        <f>TEXT(EV_Sales[[#This Row],[Order_Date]],"mmm-yyyy")</f>
        <v>Nov-2025</v>
      </c>
      <c r="AA108">
        <f>MONTH(EV_Sales[[#This Row],[Order_Date]])</f>
        <v>11</v>
      </c>
      <c r="AB108" s="12" t="str">
        <f>"Q"&amp;ROUNDUP(MONTH(EV_Sales[[#This Row],[Order_Date]])/3,0)</f>
        <v>Q4</v>
      </c>
    </row>
    <row r="109" spans="1:28" x14ac:dyDescent="0.3">
      <c r="A109" t="s">
        <v>211</v>
      </c>
      <c r="B109" s="2">
        <v>45982</v>
      </c>
      <c r="C109" t="s">
        <v>60</v>
      </c>
      <c r="D109" t="s">
        <v>69</v>
      </c>
      <c r="E109" t="s">
        <v>24</v>
      </c>
      <c r="F109" t="s">
        <v>70</v>
      </c>
      <c r="G109" t="s">
        <v>56</v>
      </c>
      <c r="H109" t="s">
        <v>809</v>
      </c>
      <c r="I109" t="str">
        <f>IF('Cleaned Data'!H109="Emi","EMI",'Cleaned Data'!H109)</f>
        <v>EMI</v>
      </c>
      <c r="J109" t="s">
        <v>63</v>
      </c>
      <c r="K109" t="s">
        <v>212</v>
      </c>
      <c r="L109">
        <v>1</v>
      </c>
      <c r="M109" s="9">
        <v>107294</v>
      </c>
      <c r="N109" s="4">
        <v>8.8999999999999996E-2</v>
      </c>
      <c r="O109" s="4">
        <f t="shared" si="1"/>
        <v>8.8999999999999996E-2</v>
      </c>
      <c r="P109" s="11">
        <v>107294</v>
      </c>
      <c r="Q109" s="9">
        <v>9549.17</v>
      </c>
      <c r="R109" s="9">
        <v>97744.83</v>
      </c>
      <c r="S109">
        <v>3</v>
      </c>
      <c r="T109">
        <v>187</v>
      </c>
      <c r="U109">
        <v>4</v>
      </c>
      <c r="V109">
        <v>3</v>
      </c>
      <c r="W109">
        <f>IF('Cleaned Data'!V109&lt;0,"Review",'Cleaned Data'!V109)</f>
        <v>3</v>
      </c>
      <c r="X109">
        <v>2</v>
      </c>
      <c r="Y109" s="7">
        <f>IFERROR('Cleaned Data'!R109/'Cleaned Data'!L109,0)</f>
        <v>97744.83</v>
      </c>
      <c r="Z109" t="str">
        <f>TEXT(EV_Sales[[#This Row],[Order_Date]],"mmm-yyyy")</f>
        <v>Nov-2025</v>
      </c>
      <c r="AA109">
        <f>MONTH(EV_Sales[[#This Row],[Order_Date]])</f>
        <v>11</v>
      </c>
      <c r="AB109" s="12" t="str">
        <f>"Q"&amp;ROUNDUP(MONTH(EV_Sales[[#This Row],[Order_Date]])/3,0)</f>
        <v>Q4</v>
      </c>
    </row>
    <row r="110" spans="1:28" x14ac:dyDescent="0.3">
      <c r="A110" t="s">
        <v>213</v>
      </c>
      <c r="B110" s="2">
        <v>45951</v>
      </c>
      <c r="C110" t="s">
        <v>22</v>
      </c>
      <c r="D110" t="s">
        <v>23</v>
      </c>
      <c r="E110" t="s">
        <v>46</v>
      </c>
      <c r="F110" t="s">
        <v>66</v>
      </c>
      <c r="G110" t="s">
        <v>34</v>
      </c>
      <c r="H110" t="s">
        <v>53</v>
      </c>
      <c r="I110" t="str">
        <f>IF('Cleaned Data'!H110="Emi","EMI",'Cleaned Data'!H110)</f>
        <v>Cash</v>
      </c>
      <c r="J110" t="s">
        <v>28</v>
      </c>
      <c r="K110" t="s">
        <v>131</v>
      </c>
      <c r="L110">
        <v>1</v>
      </c>
      <c r="M110" s="9">
        <v>113303</v>
      </c>
      <c r="N110" s="4">
        <v>5.0999999999999997E-2</v>
      </c>
      <c r="O110" s="4">
        <f t="shared" si="1"/>
        <v>5.0999999999999997E-2</v>
      </c>
      <c r="P110" s="11">
        <v>113303</v>
      </c>
      <c r="Q110" s="9">
        <v>5778.45</v>
      </c>
      <c r="R110" s="9">
        <v>107524.55</v>
      </c>
      <c r="S110">
        <v>4</v>
      </c>
      <c r="T110">
        <v>189</v>
      </c>
      <c r="U110">
        <v>3.6</v>
      </c>
      <c r="V110">
        <v>3</v>
      </c>
      <c r="W110">
        <f>IF('Cleaned Data'!V110&lt;0,"Review",'Cleaned Data'!V110)</f>
        <v>3</v>
      </c>
      <c r="X110">
        <v>2</v>
      </c>
      <c r="Y110" s="7">
        <f>IFERROR('Cleaned Data'!R110/'Cleaned Data'!L110,0)</f>
        <v>107524.55</v>
      </c>
      <c r="Z110" t="str">
        <f>TEXT(EV_Sales[[#This Row],[Order_Date]],"mmm-yyyy")</f>
        <v>Oct-2025</v>
      </c>
      <c r="AA110">
        <f>MONTH(EV_Sales[[#This Row],[Order_Date]])</f>
        <v>10</v>
      </c>
      <c r="AB110" s="12" t="str">
        <f>"Q"&amp;ROUNDUP(MONTH(EV_Sales[[#This Row],[Order_Date]])/3,0)</f>
        <v>Q4</v>
      </c>
    </row>
    <row r="111" spans="1:28" x14ac:dyDescent="0.3">
      <c r="A111" t="s">
        <v>214</v>
      </c>
      <c r="B111" s="2">
        <v>45832</v>
      </c>
      <c r="C111" t="s">
        <v>22</v>
      </c>
      <c r="D111" t="s">
        <v>23</v>
      </c>
      <c r="E111" t="s">
        <v>46</v>
      </c>
      <c r="F111" t="s">
        <v>52</v>
      </c>
      <c r="G111" t="s">
        <v>67</v>
      </c>
      <c r="H111" t="s">
        <v>27</v>
      </c>
      <c r="I111" t="str">
        <f>IF('Cleaned Data'!H111="Emi","EMI",'Cleaned Data'!H111)</f>
        <v>Finance</v>
      </c>
      <c r="J111" t="s">
        <v>36</v>
      </c>
      <c r="K111" t="s">
        <v>64</v>
      </c>
      <c r="L111">
        <v>2</v>
      </c>
      <c r="M111" s="9">
        <v>126880</v>
      </c>
      <c r="N111" s="4">
        <v>0.114</v>
      </c>
      <c r="O111" s="4">
        <f t="shared" si="1"/>
        <v>0.114</v>
      </c>
      <c r="P111" s="11">
        <v>253760</v>
      </c>
      <c r="Q111" s="9">
        <v>28928.639999999999</v>
      </c>
      <c r="R111" s="9">
        <v>224831.35999999999</v>
      </c>
      <c r="S111">
        <v>4</v>
      </c>
      <c r="T111">
        <v>210</v>
      </c>
      <c r="U111">
        <v>4.0999999999999996</v>
      </c>
      <c r="V111">
        <v>9</v>
      </c>
      <c r="W111">
        <f>IF('Cleaned Data'!V111&lt;0,"Review",'Cleaned Data'!V111)</f>
        <v>9</v>
      </c>
      <c r="X111">
        <v>5</v>
      </c>
      <c r="Y111" s="7">
        <f>IFERROR('Cleaned Data'!R111/'Cleaned Data'!L111,0)</f>
        <v>112415.67999999999</v>
      </c>
      <c r="Z111" t="str">
        <f>TEXT(EV_Sales[[#This Row],[Order_Date]],"mmm-yyyy")</f>
        <v>Jun-2025</v>
      </c>
      <c r="AA111">
        <f>MONTH(EV_Sales[[#This Row],[Order_Date]])</f>
        <v>6</v>
      </c>
      <c r="AB111" s="12" t="str">
        <f>"Q"&amp;ROUNDUP(MONTH(EV_Sales[[#This Row],[Order_Date]])/3,0)</f>
        <v>Q2</v>
      </c>
    </row>
    <row r="112" spans="1:28" x14ac:dyDescent="0.3">
      <c r="A112" t="s">
        <v>215</v>
      </c>
      <c r="B112" s="2">
        <v>45944</v>
      </c>
      <c r="C112" t="s">
        <v>76</v>
      </c>
      <c r="D112" t="s">
        <v>117</v>
      </c>
      <c r="E112" t="s">
        <v>46</v>
      </c>
      <c r="F112" t="s">
        <v>70</v>
      </c>
      <c r="G112" t="s">
        <v>56</v>
      </c>
      <c r="H112" t="s">
        <v>27</v>
      </c>
      <c r="I112" t="str">
        <f>IF('Cleaned Data'!H112="Emi","EMI",'Cleaned Data'!H112)</f>
        <v>Finance</v>
      </c>
      <c r="J112" t="s">
        <v>94</v>
      </c>
      <c r="K112" t="s">
        <v>216</v>
      </c>
      <c r="L112">
        <v>2</v>
      </c>
      <c r="M112" s="9">
        <v>134344</v>
      </c>
      <c r="N112" s="4">
        <v>8.5000000000000006E-2</v>
      </c>
      <c r="O112" s="4">
        <f t="shared" si="1"/>
        <v>8.5000000000000006E-2</v>
      </c>
      <c r="P112" s="11">
        <v>268688</v>
      </c>
      <c r="Q112" s="9">
        <v>22838.48</v>
      </c>
      <c r="R112" s="9">
        <v>245849.52</v>
      </c>
      <c r="S112">
        <v>2</v>
      </c>
      <c r="T112">
        <v>158</v>
      </c>
      <c r="U112">
        <v>4</v>
      </c>
      <c r="V112">
        <v>10</v>
      </c>
      <c r="W112">
        <f>IF('Cleaned Data'!V112&lt;0,"Review",'Cleaned Data'!V112)</f>
        <v>10</v>
      </c>
      <c r="X112">
        <v>2</v>
      </c>
      <c r="Y112" s="7">
        <f>IFERROR('Cleaned Data'!R112/'Cleaned Data'!L112,0)</f>
        <v>122924.76</v>
      </c>
      <c r="Z112" t="str">
        <f>TEXT(EV_Sales[[#This Row],[Order_Date]],"mmm-yyyy")</f>
        <v>Oct-2025</v>
      </c>
      <c r="AA112">
        <f>MONTH(EV_Sales[[#This Row],[Order_Date]])</f>
        <v>10</v>
      </c>
      <c r="AB112" s="12" t="str">
        <f>"Q"&amp;ROUNDUP(MONTH(EV_Sales[[#This Row],[Order_Date]])/3,0)</f>
        <v>Q4</v>
      </c>
    </row>
    <row r="113" spans="1:28" x14ac:dyDescent="0.3">
      <c r="A113" t="s">
        <v>217</v>
      </c>
      <c r="B113" s="2">
        <v>45759</v>
      </c>
      <c r="C113" t="s">
        <v>87</v>
      </c>
      <c r="D113" t="s">
        <v>88</v>
      </c>
      <c r="E113" t="s">
        <v>46</v>
      </c>
      <c r="F113" t="s">
        <v>25</v>
      </c>
      <c r="G113" t="s">
        <v>56</v>
      </c>
      <c r="H113" t="s">
        <v>53</v>
      </c>
      <c r="I113" t="str">
        <f>IF('Cleaned Data'!H113="Emi","EMI",'Cleaned Data'!H113)</f>
        <v>Cash</v>
      </c>
      <c r="J113" t="s">
        <v>36</v>
      </c>
      <c r="K113" t="s">
        <v>157</v>
      </c>
      <c r="L113">
        <v>1</v>
      </c>
      <c r="M113" s="9">
        <v>159928</v>
      </c>
      <c r="N113" s="4">
        <v>0.108</v>
      </c>
      <c r="O113" s="4">
        <f t="shared" si="1"/>
        <v>0.108</v>
      </c>
      <c r="P113" s="11">
        <v>159928</v>
      </c>
      <c r="Q113" s="9">
        <v>17272.22</v>
      </c>
      <c r="R113" s="9">
        <v>142655.78</v>
      </c>
      <c r="S113">
        <v>3</v>
      </c>
      <c r="T113">
        <v>160</v>
      </c>
      <c r="U113">
        <v>4.5</v>
      </c>
      <c r="V113">
        <v>7</v>
      </c>
      <c r="W113">
        <f>IF('Cleaned Data'!V113&lt;0,"Review",'Cleaned Data'!V113)</f>
        <v>7</v>
      </c>
      <c r="X113">
        <v>5</v>
      </c>
      <c r="Y113" s="7">
        <f>IFERROR('Cleaned Data'!R113/'Cleaned Data'!L113,0)</f>
        <v>142655.78</v>
      </c>
      <c r="Z113" t="str">
        <f>TEXT(EV_Sales[[#This Row],[Order_Date]],"mmm-yyyy")</f>
        <v>Apr-2025</v>
      </c>
      <c r="AA113">
        <f>MONTH(EV_Sales[[#This Row],[Order_Date]])</f>
        <v>4</v>
      </c>
      <c r="AB113" s="12" t="str">
        <f>"Q"&amp;ROUNDUP(MONTH(EV_Sales[[#This Row],[Order_Date]])/3,0)</f>
        <v>Q2</v>
      </c>
    </row>
    <row r="114" spans="1:28" x14ac:dyDescent="0.3">
      <c r="A114" t="s">
        <v>218</v>
      </c>
      <c r="B114" s="2">
        <v>45973</v>
      </c>
      <c r="C114" t="s">
        <v>22</v>
      </c>
      <c r="D114" t="s">
        <v>107</v>
      </c>
      <c r="E114" t="s">
        <v>24</v>
      </c>
      <c r="F114" t="s">
        <v>101</v>
      </c>
      <c r="G114" t="s">
        <v>26</v>
      </c>
      <c r="H114" t="s">
        <v>27</v>
      </c>
      <c r="I114" t="str">
        <f>IF('Cleaned Data'!H114="Emi","EMI",'Cleaned Data'!H114)</f>
        <v>Finance</v>
      </c>
      <c r="J114" t="s">
        <v>57</v>
      </c>
      <c r="K114" t="s">
        <v>72</v>
      </c>
      <c r="L114">
        <v>2</v>
      </c>
      <c r="M114" s="9">
        <v>143291</v>
      </c>
      <c r="N114" s="4">
        <v>7.4999999999999997E-2</v>
      </c>
      <c r="O114" s="4">
        <f t="shared" si="1"/>
        <v>7.4999999999999997E-2</v>
      </c>
      <c r="P114" s="11">
        <v>286582</v>
      </c>
      <c r="Q114" s="9">
        <v>21493.65</v>
      </c>
      <c r="R114" s="9">
        <v>265088.34999999998</v>
      </c>
      <c r="S114">
        <v>3</v>
      </c>
      <c r="T114">
        <v>164</v>
      </c>
      <c r="U114">
        <v>4</v>
      </c>
      <c r="V114">
        <v>9</v>
      </c>
      <c r="W114">
        <f>IF('Cleaned Data'!V114&lt;0,"Review",'Cleaned Data'!V114)</f>
        <v>9</v>
      </c>
      <c r="X114">
        <v>3</v>
      </c>
      <c r="Y114" s="7">
        <f>IFERROR('Cleaned Data'!R114/'Cleaned Data'!L114,0)</f>
        <v>132544.17499999999</v>
      </c>
      <c r="Z114" t="str">
        <f>TEXT(EV_Sales[[#This Row],[Order_Date]],"mmm-yyyy")</f>
        <v>Nov-2025</v>
      </c>
      <c r="AA114">
        <f>MONTH(EV_Sales[[#This Row],[Order_Date]])</f>
        <v>11</v>
      </c>
      <c r="AB114" s="12" t="str">
        <f>"Q"&amp;ROUNDUP(MONTH(EV_Sales[[#This Row],[Order_Date]])/3,0)</f>
        <v>Q4</v>
      </c>
    </row>
    <row r="115" spans="1:28" x14ac:dyDescent="0.3">
      <c r="A115" t="s">
        <v>219</v>
      </c>
      <c r="B115" s="2">
        <v>45985</v>
      </c>
      <c r="C115" t="s">
        <v>60</v>
      </c>
      <c r="D115" t="s">
        <v>61</v>
      </c>
      <c r="E115" t="s">
        <v>62</v>
      </c>
      <c r="F115" t="s">
        <v>66</v>
      </c>
      <c r="G115" t="s">
        <v>26</v>
      </c>
      <c r="H115" t="s">
        <v>27</v>
      </c>
      <c r="I115" t="str">
        <f>IF('Cleaned Data'!H115="Emi","EMI",'Cleaned Data'!H115)</f>
        <v>Finance</v>
      </c>
      <c r="J115" t="s">
        <v>48</v>
      </c>
      <c r="K115" t="s">
        <v>175</v>
      </c>
      <c r="L115">
        <v>2</v>
      </c>
      <c r="M115" s="9">
        <v>115814</v>
      </c>
      <c r="N115" s="4">
        <v>2.3E-2</v>
      </c>
      <c r="O115" s="4">
        <f t="shared" si="1"/>
        <v>2.3E-2</v>
      </c>
      <c r="P115" s="11">
        <v>231628</v>
      </c>
      <c r="Q115" s="9">
        <v>5327.44</v>
      </c>
      <c r="R115" s="9">
        <v>226300.56</v>
      </c>
      <c r="S115">
        <v>3</v>
      </c>
      <c r="T115">
        <v>147</v>
      </c>
      <c r="U115">
        <v>3.4</v>
      </c>
      <c r="V115">
        <v>6</v>
      </c>
      <c r="W115">
        <f>IF('Cleaned Data'!V115&lt;0,"Review",'Cleaned Data'!V115)</f>
        <v>6</v>
      </c>
      <c r="X115">
        <v>5</v>
      </c>
      <c r="Y115" s="7">
        <f>IFERROR('Cleaned Data'!R115/'Cleaned Data'!L115,0)</f>
        <v>113150.28</v>
      </c>
      <c r="Z115" t="str">
        <f>TEXT(EV_Sales[[#This Row],[Order_Date]],"mmm-yyyy")</f>
        <v>Nov-2025</v>
      </c>
      <c r="AA115">
        <f>MONTH(EV_Sales[[#This Row],[Order_Date]])</f>
        <v>11</v>
      </c>
      <c r="AB115" s="12" t="str">
        <f>"Q"&amp;ROUNDUP(MONTH(EV_Sales[[#This Row],[Order_Date]])/3,0)</f>
        <v>Q4</v>
      </c>
    </row>
    <row r="116" spans="1:28" x14ac:dyDescent="0.3">
      <c r="A116" t="s">
        <v>220</v>
      </c>
      <c r="B116" s="2">
        <v>45678</v>
      </c>
      <c r="C116" t="s">
        <v>39</v>
      </c>
      <c r="D116" t="s">
        <v>40</v>
      </c>
      <c r="E116" t="s">
        <v>46</v>
      </c>
      <c r="F116" t="s">
        <v>80</v>
      </c>
      <c r="G116" t="s">
        <v>56</v>
      </c>
      <c r="H116" t="s">
        <v>27</v>
      </c>
      <c r="I116" t="str">
        <f>IF('Cleaned Data'!H116="Emi","EMI",'Cleaned Data'!H116)</f>
        <v>Finance</v>
      </c>
      <c r="J116" t="s">
        <v>28</v>
      </c>
      <c r="K116" t="s">
        <v>104</v>
      </c>
      <c r="L116">
        <v>1</v>
      </c>
      <c r="M116" s="9">
        <v>117632</v>
      </c>
      <c r="N116" s="4">
        <v>8.5000000000000006E-2</v>
      </c>
      <c r="O116" s="4">
        <f t="shared" si="1"/>
        <v>8.5000000000000006E-2</v>
      </c>
      <c r="P116" s="11">
        <v>117632</v>
      </c>
      <c r="Q116" s="9">
        <v>9998.7199999999993</v>
      </c>
      <c r="R116" s="9">
        <v>107633.28</v>
      </c>
      <c r="S116">
        <v>5</v>
      </c>
      <c r="T116">
        <v>201</v>
      </c>
      <c r="U116">
        <v>4.0999999999999996</v>
      </c>
      <c r="V116">
        <v>5</v>
      </c>
      <c r="W116">
        <f>IF('Cleaned Data'!V116&lt;0,"Review",'Cleaned Data'!V116)</f>
        <v>5</v>
      </c>
      <c r="X116">
        <v>2</v>
      </c>
      <c r="Y116" s="7">
        <f>IFERROR('Cleaned Data'!R116/'Cleaned Data'!L116,0)</f>
        <v>107633.28</v>
      </c>
      <c r="Z116" t="str">
        <f>TEXT(EV_Sales[[#This Row],[Order_Date]],"mmm-yyyy")</f>
        <v>Jan-2025</v>
      </c>
      <c r="AA116">
        <f>MONTH(EV_Sales[[#This Row],[Order_Date]])</f>
        <v>1</v>
      </c>
      <c r="AB116" s="12" t="str">
        <f>"Q"&amp;ROUNDUP(MONTH(EV_Sales[[#This Row],[Order_Date]])/3,0)</f>
        <v>Q1</v>
      </c>
    </row>
    <row r="117" spans="1:28" x14ac:dyDescent="0.3">
      <c r="A117" t="s">
        <v>221</v>
      </c>
      <c r="B117" s="2">
        <v>45709</v>
      </c>
      <c r="C117" t="s">
        <v>44</v>
      </c>
      <c r="D117" t="s">
        <v>51</v>
      </c>
      <c r="E117" t="s">
        <v>46</v>
      </c>
      <c r="F117" t="s">
        <v>41</v>
      </c>
      <c r="G117" t="s">
        <v>26</v>
      </c>
      <c r="H117" t="s">
        <v>53</v>
      </c>
      <c r="I117" t="str">
        <f>IF('Cleaned Data'!H117="Emi","EMI",'Cleaned Data'!H117)</f>
        <v>Cash</v>
      </c>
      <c r="J117" t="s">
        <v>28</v>
      </c>
      <c r="K117" t="s">
        <v>138</v>
      </c>
      <c r="L117">
        <v>2</v>
      </c>
      <c r="M117" s="9">
        <v>128417</v>
      </c>
      <c r="N117" s="4">
        <v>7.2999999999999995E-2</v>
      </c>
      <c r="O117" s="4">
        <f t="shared" si="1"/>
        <v>7.2999999999999995E-2</v>
      </c>
      <c r="P117" s="11">
        <v>256834</v>
      </c>
      <c r="Q117" s="9">
        <v>18748.88</v>
      </c>
      <c r="R117" s="9">
        <v>238085.12</v>
      </c>
      <c r="S117">
        <v>4</v>
      </c>
      <c r="T117">
        <v>185</v>
      </c>
      <c r="U117">
        <v>3.9</v>
      </c>
      <c r="V117">
        <v>3</v>
      </c>
      <c r="W117">
        <f>IF('Cleaned Data'!V117&lt;0,"Review",'Cleaned Data'!V117)</f>
        <v>3</v>
      </c>
      <c r="X117">
        <v>2</v>
      </c>
      <c r="Y117" s="7">
        <f>IFERROR('Cleaned Data'!R117/'Cleaned Data'!L117,0)</f>
        <v>119042.56</v>
      </c>
      <c r="Z117" t="str">
        <f>TEXT(EV_Sales[[#This Row],[Order_Date]],"mmm-yyyy")</f>
        <v>Feb-2025</v>
      </c>
      <c r="AA117">
        <f>MONTH(EV_Sales[[#This Row],[Order_Date]])</f>
        <v>2</v>
      </c>
      <c r="AB117" s="12" t="str">
        <f>"Q"&amp;ROUNDUP(MONTH(EV_Sales[[#This Row],[Order_Date]])/3,0)</f>
        <v>Q1</v>
      </c>
    </row>
    <row r="118" spans="1:28" x14ac:dyDescent="0.3">
      <c r="A118" t="s">
        <v>222</v>
      </c>
      <c r="B118" s="2">
        <v>45765</v>
      </c>
      <c r="C118" t="s">
        <v>22</v>
      </c>
      <c r="D118" t="s">
        <v>107</v>
      </c>
      <c r="E118" t="s">
        <v>62</v>
      </c>
      <c r="F118" t="s">
        <v>80</v>
      </c>
      <c r="G118" t="s">
        <v>67</v>
      </c>
      <c r="H118" t="s">
        <v>53</v>
      </c>
      <c r="I118" t="str">
        <f>IF('Cleaned Data'!H118="Emi","EMI",'Cleaned Data'!H118)</f>
        <v>Cash</v>
      </c>
      <c r="J118" t="s">
        <v>48</v>
      </c>
      <c r="K118" t="s">
        <v>143</v>
      </c>
      <c r="L118">
        <v>1</v>
      </c>
      <c r="M118" s="9">
        <v>141893</v>
      </c>
      <c r="N118" s="4">
        <v>9.0999999999999998E-2</v>
      </c>
      <c r="O118" s="4">
        <f t="shared" si="1"/>
        <v>9.0999999999999998E-2</v>
      </c>
      <c r="P118" s="11">
        <v>141893</v>
      </c>
      <c r="Q118" s="9">
        <v>12912.26</v>
      </c>
      <c r="R118" s="9">
        <v>128980.74</v>
      </c>
      <c r="S118">
        <v>2</v>
      </c>
      <c r="T118">
        <v>126</v>
      </c>
      <c r="U118">
        <v>4.3</v>
      </c>
      <c r="V118">
        <v>5</v>
      </c>
      <c r="W118">
        <f>IF('Cleaned Data'!V118&lt;0,"Review",'Cleaned Data'!V118)</f>
        <v>5</v>
      </c>
      <c r="X118">
        <v>3</v>
      </c>
      <c r="Y118" s="7">
        <f>IFERROR('Cleaned Data'!R118/'Cleaned Data'!L118,0)</f>
        <v>128980.74</v>
      </c>
      <c r="Z118" t="str">
        <f>TEXT(EV_Sales[[#This Row],[Order_Date]],"mmm-yyyy")</f>
        <v>Apr-2025</v>
      </c>
      <c r="AA118">
        <f>MONTH(EV_Sales[[#This Row],[Order_Date]])</f>
        <v>4</v>
      </c>
      <c r="AB118" s="12" t="str">
        <f>"Q"&amp;ROUNDUP(MONTH(EV_Sales[[#This Row],[Order_Date]])/3,0)</f>
        <v>Q2</v>
      </c>
    </row>
    <row r="119" spans="1:28" x14ac:dyDescent="0.3">
      <c r="A119" t="s">
        <v>223</v>
      </c>
      <c r="B119" s="2">
        <v>45775</v>
      </c>
      <c r="C119" t="s">
        <v>39</v>
      </c>
      <c r="D119" t="s">
        <v>40</v>
      </c>
      <c r="E119" t="s">
        <v>24</v>
      </c>
      <c r="F119" t="s">
        <v>25</v>
      </c>
      <c r="G119" t="s">
        <v>34</v>
      </c>
      <c r="H119" t="s">
        <v>27</v>
      </c>
      <c r="I119" t="str">
        <f>IF('Cleaned Data'!H119="Emi","EMI",'Cleaned Data'!H119)</f>
        <v>Finance</v>
      </c>
      <c r="J119" t="s">
        <v>63</v>
      </c>
      <c r="K119" t="s">
        <v>203</v>
      </c>
      <c r="L119">
        <v>2</v>
      </c>
      <c r="M119" s="9">
        <v>127886</v>
      </c>
      <c r="N119" s="4">
        <v>9.9000000000000005E-2</v>
      </c>
      <c r="O119" s="4">
        <f t="shared" si="1"/>
        <v>9.9000000000000005E-2</v>
      </c>
      <c r="P119" s="11">
        <v>255772</v>
      </c>
      <c r="Q119" s="9">
        <v>25321.43</v>
      </c>
      <c r="R119" s="9">
        <v>230450.57</v>
      </c>
      <c r="S119">
        <v>4</v>
      </c>
      <c r="T119">
        <v>176</v>
      </c>
      <c r="U119">
        <v>3.6</v>
      </c>
      <c r="V119">
        <v>11</v>
      </c>
      <c r="W119">
        <f>IF('Cleaned Data'!V119&lt;0,"Review",'Cleaned Data'!V119)</f>
        <v>11</v>
      </c>
      <c r="X119">
        <v>2</v>
      </c>
      <c r="Y119" s="7">
        <f>IFERROR('Cleaned Data'!R119/'Cleaned Data'!L119,0)</f>
        <v>115225.285</v>
      </c>
      <c r="Z119" t="str">
        <f>TEXT(EV_Sales[[#This Row],[Order_Date]],"mmm-yyyy")</f>
        <v>Apr-2025</v>
      </c>
      <c r="AA119">
        <f>MONTH(EV_Sales[[#This Row],[Order_Date]])</f>
        <v>4</v>
      </c>
      <c r="AB119" s="12" t="str">
        <f>"Q"&amp;ROUNDUP(MONTH(EV_Sales[[#This Row],[Order_Date]])/3,0)</f>
        <v>Q2</v>
      </c>
    </row>
    <row r="120" spans="1:28" x14ac:dyDescent="0.3">
      <c r="A120" t="s">
        <v>224</v>
      </c>
      <c r="B120" s="2">
        <v>45859</v>
      </c>
      <c r="C120" t="s">
        <v>44</v>
      </c>
      <c r="D120" t="s">
        <v>45</v>
      </c>
      <c r="E120" t="s">
        <v>46</v>
      </c>
      <c r="F120" t="s">
        <v>66</v>
      </c>
      <c r="G120" t="s">
        <v>67</v>
      </c>
      <c r="H120" t="s">
        <v>53</v>
      </c>
      <c r="I120" t="str">
        <f>IF('Cleaned Data'!H120="Emi","EMI",'Cleaned Data'!H120)</f>
        <v>Cash</v>
      </c>
      <c r="J120" t="s">
        <v>28</v>
      </c>
      <c r="K120" t="s">
        <v>89</v>
      </c>
      <c r="L120">
        <v>3</v>
      </c>
      <c r="M120" s="9">
        <v>157099</v>
      </c>
      <c r="N120" s="4">
        <v>3.5000000000000003E-2</v>
      </c>
      <c r="O120" s="4">
        <f t="shared" si="1"/>
        <v>3.5000000000000003E-2</v>
      </c>
      <c r="P120" s="11">
        <v>471297</v>
      </c>
      <c r="Q120" s="9">
        <v>16495.400000000001</v>
      </c>
      <c r="R120" s="9">
        <v>454801.6</v>
      </c>
      <c r="S120">
        <v>3</v>
      </c>
      <c r="T120">
        <v>158</v>
      </c>
      <c r="U120">
        <v>3.8</v>
      </c>
      <c r="V120">
        <v>13</v>
      </c>
      <c r="W120">
        <f>IF('Cleaned Data'!V120&lt;0,"Review",'Cleaned Data'!V120)</f>
        <v>13</v>
      </c>
      <c r="X120">
        <v>3</v>
      </c>
      <c r="Y120" s="7">
        <f>IFERROR('Cleaned Data'!R120/'Cleaned Data'!L120,0)</f>
        <v>151600.53333333333</v>
      </c>
      <c r="Z120" t="str">
        <f>TEXT(EV_Sales[[#This Row],[Order_Date]],"mmm-yyyy")</f>
        <v>Jul-2025</v>
      </c>
      <c r="AA120">
        <f>MONTH(EV_Sales[[#This Row],[Order_Date]])</f>
        <v>7</v>
      </c>
      <c r="AB120" s="12" t="str">
        <f>"Q"&amp;ROUNDUP(MONTH(EV_Sales[[#This Row],[Order_Date]])/3,0)</f>
        <v>Q3</v>
      </c>
    </row>
    <row r="121" spans="1:28" x14ac:dyDescent="0.3">
      <c r="A121" t="s">
        <v>225</v>
      </c>
      <c r="B121" s="2">
        <v>45817</v>
      </c>
      <c r="C121" t="s">
        <v>60</v>
      </c>
      <c r="D121" t="s">
        <v>69</v>
      </c>
      <c r="E121" t="s">
        <v>24</v>
      </c>
      <c r="F121" t="s">
        <v>33</v>
      </c>
      <c r="G121" t="s">
        <v>26</v>
      </c>
      <c r="H121" t="s">
        <v>27</v>
      </c>
      <c r="I121" t="str">
        <f>IF('Cleaned Data'!H121="Emi","EMI",'Cleaned Data'!H121)</f>
        <v>Finance</v>
      </c>
      <c r="J121" t="s">
        <v>94</v>
      </c>
      <c r="K121" t="s">
        <v>42</v>
      </c>
      <c r="L121">
        <v>2</v>
      </c>
      <c r="M121" s="9">
        <v>102476</v>
      </c>
      <c r="N121" s="4">
        <v>8.3000000000000004E-2</v>
      </c>
      <c r="O121" s="4">
        <f t="shared" si="1"/>
        <v>8.3000000000000004E-2</v>
      </c>
      <c r="P121" s="11">
        <v>204952</v>
      </c>
      <c r="Q121" s="9">
        <v>17011.02</v>
      </c>
      <c r="R121" s="9">
        <v>187940.98</v>
      </c>
      <c r="S121">
        <v>2</v>
      </c>
      <c r="T121">
        <v>140</v>
      </c>
      <c r="U121">
        <v>3.8</v>
      </c>
      <c r="V121">
        <v>8</v>
      </c>
      <c r="W121">
        <f>IF('Cleaned Data'!V121&lt;0,"Review",'Cleaned Data'!V121)</f>
        <v>8</v>
      </c>
      <c r="X121">
        <v>2</v>
      </c>
      <c r="Y121" s="7">
        <f>IFERROR('Cleaned Data'!R121/'Cleaned Data'!L121,0)</f>
        <v>93970.49</v>
      </c>
      <c r="Z121" t="str">
        <f>TEXT(EV_Sales[[#This Row],[Order_Date]],"mmm-yyyy")</f>
        <v>Jun-2025</v>
      </c>
      <c r="AA121">
        <f>MONTH(EV_Sales[[#This Row],[Order_Date]])</f>
        <v>6</v>
      </c>
      <c r="AB121" s="12" t="str">
        <f>"Q"&amp;ROUNDUP(MONTH(EV_Sales[[#This Row],[Order_Date]])/3,0)</f>
        <v>Q2</v>
      </c>
    </row>
    <row r="122" spans="1:28" x14ac:dyDescent="0.3">
      <c r="A122" t="s">
        <v>226</v>
      </c>
      <c r="B122" s="2">
        <v>45937</v>
      </c>
      <c r="C122" t="s">
        <v>76</v>
      </c>
      <c r="D122" t="s">
        <v>77</v>
      </c>
      <c r="E122" t="s">
        <v>46</v>
      </c>
      <c r="F122" t="s">
        <v>41</v>
      </c>
      <c r="G122" t="s">
        <v>56</v>
      </c>
      <c r="H122" t="s">
        <v>53</v>
      </c>
      <c r="I122" t="str">
        <f>IF('Cleaned Data'!H122="Emi","EMI",'Cleaned Data'!H122)</f>
        <v>Cash</v>
      </c>
      <c r="J122" t="s">
        <v>57</v>
      </c>
      <c r="K122" t="s">
        <v>58</v>
      </c>
      <c r="L122">
        <v>1</v>
      </c>
      <c r="M122" s="9">
        <v>138413</v>
      </c>
      <c r="N122" s="4">
        <v>9.1999999999999998E-2</v>
      </c>
      <c r="O122" s="4">
        <f t="shared" si="1"/>
        <v>9.1999999999999998E-2</v>
      </c>
      <c r="P122" s="11">
        <v>138413</v>
      </c>
      <c r="Q122" s="9">
        <v>12734</v>
      </c>
      <c r="R122" s="9">
        <v>125679</v>
      </c>
      <c r="S122">
        <v>4</v>
      </c>
      <c r="T122">
        <v>177</v>
      </c>
      <c r="U122">
        <v>4</v>
      </c>
      <c r="V122">
        <v>9</v>
      </c>
      <c r="W122">
        <f>IF('Cleaned Data'!V122&lt;0,"Review",'Cleaned Data'!V122)</f>
        <v>9</v>
      </c>
      <c r="X122">
        <v>2</v>
      </c>
      <c r="Y122" s="7">
        <f>IFERROR('Cleaned Data'!R122/'Cleaned Data'!L122,0)</f>
        <v>125679</v>
      </c>
      <c r="Z122" t="str">
        <f>TEXT(EV_Sales[[#This Row],[Order_Date]],"mmm-yyyy")</f>
        <v>Oct-2025</v>
      </c>
      <c r="AA122">
        <f>MONTH(EV_Sales[[#This Row],[Order_Date]])</f>
        <v>10</v>
      </c>
      <c r="AB122" s="12" t="str">
        <f>"Q"&amp;ROUNDUP(MONTH(EV_Sales[[#This Row],[Order_Date]])/3,0)</f>
        <v>Q4</v>
      </c>
    </row>
    <row r="123" spans="1:28" x14ac:dyDescent="0.3">
      <c r="A123" t="s">
        <v>227</v>
      </c>
      <c r="B123" s="2">
        <v>45853</v>
      </c>
      <c r="C123" t="s">
        <v>87</v>
      </c>
      <c r="D123" t="s">
        <v>130</v>
      </c>
      <c r="E123" t="s">
        <v>62</v>
      </c>
      <c r="F123" t="s">
        <v>80</v>
      </c>
      <c r="G123" t="s">
        <v>34</v>
      </c>
      <c r="H123" t="s">
        <v>53</v>
      </c>
      <c r="I123" t="str">
        <f>IF('Cleaned Data'!H123="Emi","EMI",'Cleaned Data'!H123)</f>
        <v>Cash</v>
      </c>
      <c r="J123" t="s">
        <v>48</v>
      </c>
      <c r="K123" t="s">
        <v>72</v>
      </c>
      <c r="L123">
        <v>1</v>
      </c>
      <c r="M123" s="9">
        <v>116210</v>
      </c>
      <c r="N123" s="4">
        <v>8.6999999999999994E-2</v>
      </c>
      <c r="O123" s="4">
        <f t="shared" si="1"/>
        <v>8.6999999999999994E-2</v>
      </c>
      <c r="P123" s="11">
        <v>116210</v>
      </c>
      <c r="Q123" s="9">
        <v>10110.27</v>
      </c>
      <c r="R123" s="9">
        <v>106099.73</v>
      </c>
      <c r="S123">
        <v>2</v>
      </c>
      <c r="T123">
        <v>129</v>
      </c>
      <c r="U123">
        <v>4.5</v>
      </c>
      <c r="V123">
        <v>9</v>
      </c>
      <c r="W123">
        <f>IF('Cleaned Data'!V123&lt;0,"Review",'Cleaned Data'!V123)</f>
        <v>9</v>
      </c>
      <c r="X123">
        <v>3</v>
      </c>
      <c r="Y123" s="7">
        <f>IFERROR('Cleaned Data'!R123/'Cleaned Data'!L123,0)</f>
        <v>106099.73</v>
      </c>
      <c r="Z123" t="str">
        <f>TEXT(EV_Sales[[#This Row],[Order_Date]],"mmm-yyyy")</f>
        <v>Jul-2025</v>
      </c>
      <c r="AA123">
        <f>MONTH(EV_Sales[[#This Row],[Order_Date]])</f>
        <v>7</v>
      </c>
      <c r="AB123" s="12" t="str">
        <f>"Q"&amp;ROUNDUP(MONTH(EV_Sales[[#This Row],[Order_Date]])/3,0)</f>
        <v>Q3</v>
      </c>
    </row>
    <row r="124" spans="1:28" x14ac:dyDescent="0.3">
      <c r="A124" t="s">
        <v>228</v>
      </c>
      <c r="B124" s="2">
        <v>45787</v>
      </c>
      <c r="C124" t="s">
        <v>87</v>
      </c>
      <c r="D124" t="s">
        <v>88</v>
      </c>
      <c r="E124" t="s">
        <v>46</v>
      </c>
      <c r="F124" t="s">
        <v>70</v>
      </c>
      <c r="G124" t="s">
        <v>56</v>
      </c>
      <c r="H124" t="s">
        <v>27</v>
      </c>
      <c r="I124" t="str">
        <f>IF('Cleaned Data'!H124="Emi","EMI",'Cleaned Data'!H124)</f>
        <v>Finance</v>
      </c>
      <c r="J124" t="s">
        <v>28</v>
      </c>
      <c r="K124" t="s">
        <v>49</v>
      </c>
      <c r="L124">
        <v>5</v>
      </c>
      <c r="M124" s="9">
        <v>154898</v>
      </c>
      <c r="N124" s="4">
        <v>7.5999999999999998E-2</v>
      </c>
      <c r="O124" s="4">
        <f t="shared" si="1"/>
        <v>7.5999999999999998E-2</v>
      </c>
      <c r="P124" s="11">
        <v>774490</v>
      </c>
      <c r="Q124" s="9">
        <v>58861.24</v>
      </c>
      <c r="R124" s="9">
        <v>715628.76</v>
      </c>
      <c r="S124">
        <v>4</v>
      </c>
      <c r="T124">
        <v>173</v>
      </c>
      <c r="U124">
        <v>4.0999999999999996</v>
      </c>
      <c r="V124">
        <v>13</v>
      </c>
      <c r="W124">
        <f>IF('Cleaned Data'!V124&lt;0,"Review",'Cleaned Data'!V124)</f>
        <v>13</v>
      </c>
      <c r="X124">
        <v>3</v>
      </c>
      <c r="Y124" s="7">
        <f>IFERROR('Cleaned Data'!R124/'Cleaned Data'!L124,0)</f>
        <v>143125.75200000001</v>
      </c>
      <c r="Z124" t="str">
        <f>TEXT(EV_Sales[[#This Row],[Order_Date]],"mmm-yyyy")</f>
        <v>May-2025</v>
      </c>
      <c r="AA124">
        <f>MONTH(EV_Sales[[#This Row],[Order_Date]])</f>
        <v>5</v>
      </c>
      <c r="AB124" s="12" t="str">
        <f>"Q"&amp;ROUNDUP(MONTH(EV_Sales[[#This Row],[Order_Date]])/3,0)</f>
        <v>Q2</v>
      </c>
    </row>
    <row r="125" spans="1:28" x14ac:dyDescent="0.3">
      <c r="A125" t="s">
        <v>229</v>
      </c>
      <c r="B125" s="2">
        <v>45669</v>
      </c>
      <c r="C125" t="s">
        <v>76</v>
      </c>
      <c r="D125" t="s">
        <v>117</v>
      </c>
      <c r="E125" t="s">
        <v>46</v>
      </c>
      <c r="F125" t="s">
        <v>41</v>
      </c>
      <c r="G125" t="s">
        <v>34</v>
      </c>
      <c r="H125" t="s">
        <v>53</v>
      </c>
      <c r="I125" t="str">
        <f>IF('Cleaned Data'!H125="Emi","EMI",'Cleaned Data'!H125)</f>
        <v>Cash</v>
      </c>
      <c r="J125" t="s">
        <v>57</v>
      </c>
      <c r="K125" t="s">
        <v>49</v>
      </c>
      <c r="L125">
        <v>1</v>
      </c>
      <c r="M125" s="9">
        <v>139466</v>
      </c>
      <c r="N125" s="4">
        <v>0.1</v>
      </c>
      <c r="O125" s="4">
        <f t="shared" si="1"/>
        <v>0.1</v>
      </c>
      <c r="P125" s="11">
        <v>139466</v>
      </c>
      <c r="Q125" s="9">
        <v>13946.6</v>
      </c>
      <c r="R125" s="9">
        <v>125519.4</v>
      </c>
      <c r="S125">
        <v>5</v>
      </c>
      <c r="T125">
        <v>193</v>
      </c>
      <c r="U125">
        <v>3.5</v>
      </c>
      <c r="V125">
        <v>9</v>
      </c>
      <c r="W125">
        <f>IF('Cleaned Data'!V125&lt;0,"Review",'Cleaned Data'!V125)</f>
        <v>9</v>
      </c>
      <c r="X125">
        <v>3</v>
      </c>
      <c r="Y125" s="7">
        <f>IFERROR('Cleaned Data'!R125/'Cleaned Data'!L125,0)</f>
        <v>125519.4</v>
      </c>
      <c r="Z125" t="str">
        <f>TEXT(EV_Sales[[#This Row],[Order_Date]],"mmm-yyyy")</f>
        <v>Jan-2025</v>
      </c>
      <c r="AA125">
        <f>MONTH(EV_Sales[[#This Row],[Order_Date]])</f>
        <v>1</v>
      </c>
      <c r="AB125" s="12" t="str">
        <f>"Q"&amp;ROUNDUP(MONTH(EV_Sales[[#This Row],[Order_Date]])/3,0)</f>
        <v>Q1</v>
      </c>
    </row>
    <row r="126" spans="1:28" x14ac:dyDescent="0.3">
      <c r="A126" t="s">
        <v>230</v>
      </c>
      <c r="B126" s="2">
        <v>45888</v>
      </c>
      <c r="C126" t="s">
        <v>60</v>
      </c>
      <c r="D126" t="s">
        <v>61</v>
      </c>
      <c r="E126" t="s">
        <v>24</v>
      </c>
      <c r="F126" t="s">
        <v>70</v>
      </c>
      <c r="G126" t="s">
        <v>67</v>
      </c>
      <c r="H126" t="s">
        <v>53</v>
      </c>
      <c r="I126" t="str">
        <f>IF('Cleaned Data'!H126="Emi","EMI",'Cleaned Data'!H126)</f>
        <v>Cash</v>
      </c>
      <c r="J126" t="s">
        <v>63</v>
      </c>
      <c r="K126" t="s">
        <v>72</v>
      </c>
      <c r="L126">
        <v>4</v>
      </c>
      <c r="M126" s="9">
        <v>117896</v>
      </c>
      <c r="N126" s="4">
        <v>7.0999999999999994E-2</v>
      </c>
      <c r="O126" s="4">
        <f t="shared" si="1"/>
        <v>7.0999999999999994E-2</v>
      </c>
      <c r="P126" s="11">
        <v>471584</v>
      </c>
      <c r="Q126" s="9">
        <v>33482.46</v>
      </c>
      <c r="R126" s="9">
        <v>438101.54</v>
      </c>
      <c r="S126">
        <v>3</v>
      </c>
      <c r="T126">
        <v>155</v>
      </c>
      <c r="U126">
        <v>3.6</v>
      </c>
      <c r="V126">
        <v>10</v>
      </c>
      <c r="W126">
        <f>IF('Cleaned Data'!V126&lt;0,"Review",'Cleaned Data'!V126)</f>
        <v>10</v>
      </c>
      <c r="X126">
        <v>2</v>
      </c>
      <c r="Y126" s="7">
        <f>IFERROR('Cleaned Data'!R126/'Cleaned Data'!L126,0)</f>
        <v>109525.38499999999</v>
      </c>
      <c r="Z126" t="str">
        <f>TEXT(EV_Sales[[#This Row],[Order_Date]],"mmm-yyyy")</f>
        <v>Aug-2025</v>
      </c>
      <c r="AA126">
        <f>MONTH(EV_Sales[[#This Row],[Order_Date]])</f>
        <v>8</v>
      </c>
      <c r="AB126" s="12" t="str">
        <f>"Q"&amp;ROUNDUP(MONTH(EV_Sales[[#This Row],[Order_Date]])/3,0)</f>
        <v>Q3</v>
      </c>
    </row>
    <row r="127" spans="1:28" x14ac:dyDescent="0.3">
      <c r="A127" t="s">
        <v>231</v>
      </c>
      <c r="B127" s="2">
        <v>45811</v>
      </c>
      <c r="C127" t="s">
        <v>44</v>
      </c>
      <c r="D127" t="s">
        <v>51</v>
      </c>
      <c r="E127" t="s">
        <v>24</v>
      </c>
      <c r="F127" t="s">
        <v>80</v>
      </c>
      <c r="G127" t="s">
        <v>56</v>
      </c>
      <c r="H127" t="s">
        <v>809</v>
      </c>
      <c r="I127" t="str">
        <f>IF('Cleaned Data'!H127="Emi","EMI",'Cleaned Data'!H127)</f>
        <v>EMI</v>
      </c>
      <c r="J127" t="s">
        <v>36</v>
      </c>
      <c r="K127" t="s">
        <v>118</v>
      </c>
      <c r="L127">
        <v>2</v>
      </c>
      <c r="M127" s="9">
        <v>121463</v>
      </c>
      <c r="N127" s="4">
        <v>0.112</v>
      </c>
      <c r="O127" s="4">
        <f t="shared" si="1"/>
        <v>0.112</v>
      </c>
      <c r="P127" s="11">
        <v>242926</v>
      </c>
      <c r="Q127" s="9">
        <v>27207.71</v>
      </c>
      <c r="R127" s="9">
        <v>215718.29</v>
      </c>
      <c r="S127">
        <v>3</v>
      </c>
      <c r="T127">
        <v>164</v>
      </c>
      <c r="U127">
        <v>4.0999999999999996</v>
      </c>
      <c r="V127">
        <v>4</v>
      </c>
      <c r="W127">
        <f>IF('Cleaned Data'!V127&lt;0,"Review",'Cleaned Data'!V127)</f>
        <v>4</v>
      </c>
      <c r="X127">
        <v>3</v>
      </c>
      <c r="Y127" s="7">
        <f>IFERROR('Cleaned Data'!R127/'Cleaned Data'!L127,0)</f>
        <v>107859.145</v>
      </c>
      <c r="Z127" t="str">
        <f>TEXT(EV_Sales[[#This Row],[Order_Date]],"mmm-yyyy")</f>
        <v>Jun-2025</v>
      </c>
      <c r="AA127">
        <f>MONTH(EV_Sales[[#This Row],[Order_Date]])</f>
        <v>6</v>
      </c>
      <c r="AB127" s="12" t="str">
        <f>"Q"&amp;ROUNDUP(MONTH(EV_Sales[[#This Row],[Order_Date]])/3,0)</f>
        <v>Q2</v>
      </c>
    </row>
    <row r="128" spans="1:28" x14ac:dyDescent="0.3">
      <c r="A128" t="s">
        <v>232</v>
      </c>
      <c r="B128" s="2">
        <v>45820</v>
      </c>
      <c r="C128" t="s">
        <v>76</v>
      </c>
      <c r="D128" t="s">
        <v>117</v>
      </c>
      <c r="E128" t="s">
        <v>24</v>
      </c>
      <c r="F128" t="s">
        <v>74</v>
      </c>
      <c r="G128" t="s">
        <v>34</v>
      </c>
      <c r="H128" t="s">
        <v>809</v>
      </c>
      <c r="I128" t="str">
        <f>IF('Cleaned Data'!H128="Emi","EMI",'Cleaned Data'!H128)</f>
        <v>EMI</v>
      </c>
      <c r="J128" t="s">
        <v>28</v>
      </c>
      <c r="K128" t="s">
        <v>64</v>
      </c>
      <c r="L128">
        <v>1</v>
      </c>
      <c r="M128" s="9">
        <v>140034</v>
      </c>
      <c r="N128" s="4">
        <v>5.5E-2</v>
      </c>
      <c r="O128" s="4">
        <f t="shared" si="1"/>
        <v>5.5E-2</v>
      </c>
      <c r="P128" s="11">
        <v>140034</v>
      </c>
      <c r="Q128" s="9">
        <v>7701.87</v>
      </c>
      <c r="R128" s="9">
        <v>132332.13</v>
      </c>
      <c r="S128">
        <v>5</v>
      </c>
      <c r="T128">
        <v>213</v>
      </c>
      <c r="U128">
        <v>4.3</v>
      </c>
      <c r="V128">
        <v>10</v>
      </c>
      <c r="W128">
        <f>IF('Cleaned Data'!V128&lt;0,"Review",'Cleaned Data'!V128)</f>
        <v>10</v>
      </c>
      <c r="X128">
        <v>2</v>
      </c>
      <c r="Y128" s="7">
        <f>IFERROR('Cleaned Data'!R128/'Cleaned Data'!L128,0)</f>
        <v>132332.13</v>
      </c>
      <c r="Z128" t="str">
        <f>TEXT(EV_Sales[[#This Row],[Order_Date]],"mmm-yyyy")</f>
        <v>Jun-2025</v>
      </c>
      <c r="AA128">
        <f>MONTH(EV_Sales[[#This Row],[Order_Date]])</f>
        <v>6</v>
      </c>
      <c r="AB128" s="12" t="str">
        <f>"Q"&amp;ROUNDUP(MONTH(EV_Sales[[#This Row],[Order_Date]])/3,0)</f>
        <v>Q2</v>
      </c>
    </row>
    <row r="129" spans="1:28" x14ac:dyDescent="0.3">
      <c r="A129" t="s">
        <v>233</v>
      </c>
      <c r="B129" s="2">
        <v>45967</v>
      </c>
      <c r="C129" t="s">
        <v>87</v>
      </c>
      <c r="D129" t="s">
        <v>88</v>
      </c>
      <c r="E129" t="s">
        <v>46</v>
      </c>
      <c r="F129" t="s">
        <v>41</v>
      </c>
      <c r="G129" t="s">
        <v>67</v>
      </c>
      <c r="H129" t="s">
        <v>53</v>
      </c>
      <c r="I129" t="str">
        <f>IF('Cleaned Data'!H129="Emi","EMI",'Cleaned Data'!H129)</f>
        <v>Cash</v>
      </c>
      <c r="J129" t="s">
        <v>28</v>
      </c>
      <c r="K129" t="s">
        <v>81</v>
      </c>
      <c r="L129">
        <v>3</v>
      </c>
      <c r="M129" s="9">
        <v>147668</v>
      </c>
      <c r="N129" s="4">
        <v>0.115</v>
      </c>
      <c r="O129" s="4">
        <f t="shared" si="1"/>
        <v>0.115</v>
      </c>
      <c r="P129" s="11">
        <v>443004</v>
      </c>
      <c r="Q129" s="9">
        <v>50945.46</v>
      </c>
      <c r="R129" s="9">
        <v>392058.54</v>
      </c>
      <c r="S129">
        <v>4</v>
      </c>
      <c r="T129">
        <v>172</v>
      </c>
      <c r="U129">
        <v>4.3</v>
      </c>
      <c r="V129">
        <v>6</v>
      </c>
      <c r="W129">
        <f>IF('Cleaned Data'!V129&lt;0,"Review",'Cleaned Data'!V129)</f>
        <v>6</v>
      </c>
      <c r="X129">
        <v>3</v>
      </c>
      <c r="Y129" s="7">
        <f>IFERROR('Cleaned Data'!R129/'Cleaned Data'!L129,0)</f>
        <v>130686.18</v>
      </c>
      <c r="Z129" t="str">
        <f>TEXT(EV_Sales[[#This Row],[Order_Date]],"mmm-yyyy")</f>
        <v>Nov-2025</v>
      </c>
      <c r="AA129">
        <f>MONTH(EV_Sales[[#This Row],[Order_Date]])</f>
        <v>11</v>
      </c>
      <c r="AB129" s="12" t="str">
        <f>"Q"&amp;ROUNDUP(MONTH(EV_Sales[[#This Row],[Order_Date]])/3,0)</f>
        <v>Q4</v>
      </c>
    </row>
    <row r="130" spans="1:28" x14ac:dyDescent="0.3">
      <c r="A130" t="s">
        <v>234</v>
      </c>
      <c r="B130" s="2">
        <v>45973</v>
      </c>
      <c r="C130" t="s">
        <v>99</v>
      </c>
      <c r="D130" t="s">
        <v>141</v>
      </c>
      <c r="E130" t="s">
        <v>24</v>
      </c>
      <c r="F130" t="s">
        <v>101</v>
      </c>
      <c r="G130" t="s">
        <v>67</v>
      </c>
      <c r="H130" t="s">
        <v>810</v>
      </c>
      <c r="I130" t="str">
        <f>IF('Cleaned Data'!H130="Emi","EMI",'Cleaned Data'!H130)</f>
        <v xml:space="preserve"> Emi </v>
      </c>
      <c r="J130" t="s">
        <v>28</v>
      </c>
      <c r="K130" t="s">
        <v>138</v>
      </c>
      <c r="L130">
        <v>4</v>
      </c>
      <c r="M130" s="9">
        <v>131606</v>
      </c>
      <c r="N130" s="4">
        <v>2.1999999999999999E-2</v>
      </c>
      <c r="O130" s="4">
        <f t="shared" ref="O130:O193" si="2">IF(TRIM(N130&amp;"")="","missing",N130)</f>
        <v>2.1999999999999999E-2</v>
      </c>
      <c r="P130" s="11">
        <v>526424</v>
      </c>
      <c r="Q130" s="9">
        <v>11581.33</v>
      </c>
      <c r="R130" s="9">
        <v>514842.67</v>
      </c>
      <c r="S130">
        <v>4</v>
      </c>
      <c r="T130">
        <v>166</v>
      </c>
      <c r="U130">
        <v>3.4</v>
      </c>
      <c r="V130">
        <v>6</v>
      </c>
      <c r="W130">
        <f>IF('Cleaned Data'!V130&lt;0,"Review",'Cleaned Data'!V130)</f>
        <v>6</v>
      </c>
      <c r="X130">
        <v>5</v>
      </c>
      <c r="Y130" s="7">
        <f>IFERROR('Cleaned Data'!R130/'Cleaned Data'!L130,0)</f>
        <v>128710.6675</v>
      </c>
      <c r="Z130" t="str">
        <f>TEXT(EV_Sales[[#This Row],[Order_Date]],"mmm-yyyy")</f>
        <v>Nov-2025</v>
      </c>
      <c r="AA130">
        <f>MONTH(EV_Sales[[#This Row],[Order_Date]])</f>
        <v>11</v>
      </c>
      <c r="AB130" s="12" t="str">
        <f>"Q"&amp;ROUNDUP(MONTH(EV_Sales[[#This Row],[Order_Date]])/3,0)</f>
        <v>Q4</v>
      </c>
    </row>
    <row r="131" spans="1:28" x14ac:dyDescent="0.3">
      <c r="A131" t="s">
        <v>236</v>
      </c>
      <c r="B131" s="2">
        <v>45713</v>
      </c>
      <c r="C131" t="s">
        <v>99</v>
      </c>
      <c r="D131" t="s">
        <v>141</v>
      </c>
      <c r="E131" t="s">
        <v>62</v>
      </c>
      <c r="F131" t="s">
        <v>52</v>
      </c>
      <c r="G131" t="s">
        <v>67</v>
      </c>
      <c r="H131" t="s">
        <v>53</v>
      </c>
      <c r="I131" t="str">
        <f>IF('Cleaned Data'!H131="Emi","EMI",'Cleaned Data'!H131)</f>
        <v>Cash</v>
      </c>
      <c r="J131" t="s">
        <v>36</v>
      </c>
      <c r="K131" t="s">
        <v>81</v>
      </c>
      <c r="L131">
        <v>1</v>
      </c>
      <c r="M131" s="9">
        <v>140034</v>
      </c>
      <c r="N131" s="4">
        <v>3.6999999999999998E-2</v>
      </c>
      <c r="O131" s="4">
        <f t="shared" si="2"/>
        <v>3.6999999999999998E-2</v>
      </c>
      <c r="P131" s="11">
        <v>140034</v>
      </c>
      <c r="Q131" s="9">
        <v>5181.26</v>
      </c>
      <c r="R131" s="9">
        <v>134852.74</v>
      </c>
      <c r="S131">
        <v>2</v>
      </c>
      <c r="T131">
        <v>137</v>
      </c>
      <c r="U131">
        <v>4.5</v>
      </c>
      <c r="V131">
        <v>8</v>
      </c>
      <c r="W131">
        <f>IF('Cleaned Data'!V131&lt;0,"Review",'Cleaned Data'!V131)</f>
        <v>8</v>
      </c>
      <c r="X131">
        <v>2</v>
      </c>
      <c r="Y131" s="7">
        <f>IFERROR('Cleaned Data'!R131/'Cleaned Data'!L131,0)</f>
        <v>134852.74</v>
      </c>
      <c r="Z131" t="str">
        <f>TEXT(EV_Sales[[#This Row],[Order_Date]],"mmm-yyyy")</f>
        <v>Feb-2025</v>
      </c>
      <c r="AA131">
        <f>MONTH(EV_Sales[[#This Row],[Order_Date]])</f>
        <v>2</v>
      </c>
      <c r="AB131" s="12" t="str">
        <f>"Q"&amp;ROUNDUP(MONTH(EV_Sales[[#This Row],[Order_Date]])/3,0)</f>
        <v>Q1</v>
      </c>
    </row>
    <row r="132" spans="1:28" x14ac:dyDescent="0.3">
      <c r="A132" t="s">
        <v>237</v>
      </c>
      <c r="B132" s="2">
        <v>45781</v>
      </c>
      <c r="C132" t="s">
        <v>60</v>
      </c>
      <c r="D132" t="s">
        <v>61</v>
      </c>
      <c r="E132" t="s">
        <v>24</v>
      </c>
      <c r="F132" t="s">
        <v>66</v>
      </c>
      <c r="G132" t="s">
        <v>67</v>
      </c>
      <c r="H132" t="s">
        <v>53</v>
      </c>
      <c r="I132" t="str">
        <f>IF('Cleaned Data'!H132="Emi","EMI",'Cleaned Data'!H132)</f>
        <v>Cash</v>
      </c>
      <c r="J132" t="s">
        <v>28</v>
      </c>
      <c r="K132" t="s">
        <v>131</v>
      </c>
      <c r="L132">
        <v>3</v>
      </c>
      <c r="M132" s="9">
        <v>119761</v>
      </c>
      <c r="N132" s="4">
        <v>9.9000000000000005E-2</v>
      </c>
      <c r="O132" s="4">
        <f t="shared" si="2"/>
        <v>9.9000000000000005E-2</v>
      </c>
      <c r="P132" s="11">
        <v>359283</v>
      </c>
      <c r="Q132" s="9">
        <v>35569.019999999997</v>
      </c>
      <c r="R132" s="9">
        <v>323713.98</v>
      </c>
      <c r="S132">
        <v>3</v>
      </c>
      <c r="T132">
        <v>148</v>
      </c>
      <c r="U132">
        <v>4.7</v>
      </c>
      <c r="V132">
        <v>12</v>
      </c>
      <c r="W132">
        <f>IF('Cleaned Data'!V132&lt;0,"Review",'Cleaned Data'!V132)</f>
        <v>12</v>
      </c>
      <c r="X132">
        <v>3</v>
      </c>
      <c r="Y132" s="7">
        <f>IFERROR('Cleaned Data'!R132/'Cleaned Data'!L132,0)</f>
        <v>107904.65999999999</v>
      </c>
      <c r="Z132" t="str">
        <f>TEXT(EV_Sales[[#This Row],[Order_Date]],"mmm-yyyy")</f>
        <v>May-2025</v>
      </c>
      <c r="AA132">
        <f>MONTH(EV_Sales[[#This Row],[Order_Date]])</f>
        <v>5</v>
      </c>
      <c r="AB132" s="12" t="str">
        <f>"Q"&amp;ROUNDUP(MONTH(EV_Sales[[#This Row],[Order_Date]])/3,0)</f>
        <v>Q2</v>
      </c>
    </row>
    <row r="133" spans="1:28" x14ac:dyDescent="0.3">
      <c r="A133" t="s">
        <v>238</v>
      </c>
      <c r="B133" s="2">
        <v>45719</v>
      </c>
      <c r="C133" t="s">
        <v>87</v>
      </c>
      <c r="D133" t="s">
        <v>130</v>
      </c>
      <c r="E133" t="s">
        <v>46</v>
      </c>
      <c r="F133" t="s">
        <v>101</v>
      </c>
      <c r="G133" t="s">
        <v>26</v>
      </c>
      <c r="H133" t="s">
        <v>53</v>
      </c>
      <c r="I133" t="str">
        <f>IF('Cleaned Data'!H133="Emi","EMI",'Cleaned Data'!H133)</f>
        <v>Cash</v>
      </c>
      <c r="J133" t="s">
        <v>94</v>
      </c>
      <c r="K133" t="s">
        <v>95</v>
      </c>
      <c r="L133">
        <v>1</v>
      </c>
      <c r="M133" s="9">
        <v>103695</v>
      </c>
      <c r="N133" s="4">
        <v>4.5999999999999999E-2</v>
      </c>
      <c r="O133" s="4">
        <f t="shared" si="2"/>
        <v>4.5999999999999999E-2</v>
      </c>
      <c r="P133" s="11">
        <v>103695</v>
      </c>
      <c r="Q133" s="9">
        <v>4769.97</v>
      </c>
      <c r="R133" s="9">
        <v>98925.03</v>
      </c>
      <c r="S133">
        <v>4</v>
      </c>
      <c r="T133">
        <v>183</v>
      </c>
      <c r="U133">
        <v>3.6</v>
      </c>
      <c r="V133">
        <v>2</v>
      </c>
      <c r="W133">
        <f>IF('Cleaned Data'!V133&lt;0,"Review",'Cleaned Data'!V133)</f>
        <v>2</v>
      </c>
      <c r="X133">
        <v>2</v>
      </c>
      <c r="Y133" s="7">
        <f>IFERROR('Cleaned Data'!R133/'Cleaned Data'!L133,0)</f>
        <v>98925.03</v>
      </c>
      <c r="Z133" t="str">
        <f>TEXT(EV_Sales[[#This Row],[Order_Date]],"mmm-yyyy")</f>
        <v>Mar-2025</v>
      </c>
      <c r="AA133">
        <f>MONTH(EV_Sales[[#This Row],[Order_Date]])</f>
        <v>3</v>
      </c>
      <c r="AB133" s="12" t="str">
        <f>"Q"&amp;ROUNDUP(MONTH(EV_Sales[[#This Row],[Order_Date]])/3,0)</f>
        <v>Q1</v>
      </c>
    </row>
    <row r="134" spans="1:28" x14ac:dyDescent="0.3">
      <c r="A134" t="s">
        <v>239</v>
      </c>
      <c r="B134" s="2">
        <v>45830</v>
      </c>
      <c r="C134" t="s">
        <v>99</v>
      </c>
      <c r="D134" t="s">
        <v>141</v>
      </c>
      <c r="E134" t="s">
        <v>24</v>
      </c>
      <c r="F134" t="s">
        <v>41</v>
      </c>
      <c r="G134" t="s">
        <v>26</v>
      </c>
      <c r="H134" t="s">
        <v>27</v>
      </c>
      <c r="I134" t="str">
        <f>IF('Cleaned Data'!H134="Emi","EMI",'Cleaned Data'!H134)</f>
        <v>Finance</v>
      </c>
      <c r="J134" t="s">
        <v>63</v>
      </c>
      <c r="K134" t="s">
        <v>148</v>
      </c>
      <c r="L134">
        <v>1</v>
      </c>
      <c r="M134" s="9">
        <v>138879</v>
      </c>
      <c r="N134" s="4">
        <v>4.7E-2</v>
      </c>
      <c r="O134" s="4">
        <f t="shared" si="2"/>
        <v>4.7E-2</v>
      </c>
      <c r="P134" s="11">
        <v>138879</v>
      </c>
      <c r="Q134" s="9">
        <v>6527.31</v>
      </c>
      <c r="R134" s="9">
        <v>132351.69</v>
      </c>
      <c r="S134">
        <v>4</v>
      </c>
      <c r="T134">
        <v>161</v>
      </c>
      <c r="U134">
        <v>4.0999999999999996</v>
      </c>
      <c r="V134">
        <v>6</v>
      </c>
      <c r="W134">
        <f>IF('Cleaned Data'!V134&lt;0,"Review",'Cleaned Data'!V134)</f>
        <v>6</v>
      </c>
      <c r="X134">
        <v>3</v>
      </c>
      <c r="Y134" s="7">
        <f>IFERROR('Cleaned Data'!R134/'Cleaned Data'!L134,0)</f>
        <v>132351.69</v>
      </c>
      <c r="Z134" t="str">
        <f>TEXT(EV_Sales[[#This Row],[Order_Date]],"mmm-yyyy")</f>
        <v>Jun-2025</v>
      </c>
      <c r="AA134">
        <f>MONTH(EV_Sales[[#This Row],[Order_Date]])</f>
        <v>6</v>
      </c>
      <c r="AB134" s="12" t="str">
        <f>"Q"&amp;ROUNDUP(MONTH(EV_Sales[[#This Row],[Order_Date]])/3,0)</f>
        <v>Q2</v>
      </c>
    </row>
    <row r="135" spans="1:28" x14ac:dyDescent="0.3">
      <c r="A135" t="s">
        <v>240</v>
      </c>
      <c r="B135" s="2">
        <v>45699</v>
      </c>
      <c r="C135" t="s">
        <v>60</v>
      </c>
      <c r="D135" t="s">
        <v>61</v>
      </c>
      <c r="E135" t="s">
        <v>46</v>
      </c>
      <c r="F135" t="s">
        <v>101</v>
      </c>
      <c r="G135" t="s">
        <v>26</v>
      </c>
      <c r="H135" t="s">
        <v>27</v>
      </c>
      <c r="I135" t="str">
        <f>IF('Cleaned Data'!H135="Emi","EMI",'Cleaned Data'!H135)</f>
        <v>Finance</v>
      </c>
      <c r="J135" t="s">
        <v>36</v>
      </c>
      <c r="K135" t="s">
        <v>197</v>
      </c>
      <c r="L135">
        <v>3</v>
      </c>
      <c r="M135" s="9">
        <v>122462</v>
      </c>
      <c r="N135" s="4">
        <v>0.11600000000000001</v>
      </c>
      <c r="O135" s="4">
        <f t="shared" si="2"/>
        <v>0.11600000000000001</v>
      </c>
      <c r="P135" s="11">
        <v>367386</v>
      </c>
      <c r="Q135" s="9">
        <v>42616.78</v>
      </c>
      <c r="R135" s="9">
        <v>324769.21999999997</v>
      </c>
      <c r="S135">
        <v>4</v>
      </c>
      <c r="T135">
        <v>195</v>
      </c>
      <c r="U135">
        <v>3.6</v>
      </c>
      <c r="V135">
        <v>13</v>
      </c>
      <c r="W135">
        <f>IF('Cleaned Data'!V135&lt;0,"Review",'Cleaned Data'!V135)</f>
        <v>13</v>
      </c>
      <c r="X135">
        <v>2</v>
      </c>
      <c r="Y135" s="7">
        <f>IFERROR('Cleaned Data'!R135/'Cleaned Data'!L135,0)</f>
        <v>108256.40666666666</v>
      </c>
      <c r="Z135" t="str">
        <f>TEXT(EV_Sales[[#This Row],[Order_Date]],"mmm-yyyy")</f>
        <v>Feb-2025</v>
      </c>
      <c r="AA135">
        <f>MONTH(EV_Sales[[#This Row],[Order_Date]])</f>
        <v>2</v>
      </c>
      <c r="AB135" s="12" t="str">
        <f>"Q"&amp;ROUNDUP(MONTH(EV_Sales[[#This Row],[Order_Date]])/3,0)</f>
        <v>Q1</v>
      </c>
    </row>
    <row r="136" spans="1:28" x14ac:dyDescent="0.3">
      <c r="A136" t="s">
        <v>241</v>
      </c>
      <c r="B136" s="2">
        <v>45860</v>
      </c>
      <c r="C136" t="s">
        <v>60</v>
      </c>
      <c r="D136" t="s">
        <v>61</v>
      </c>
      <c r="E136" t="s">
        <v>46</v>
      </c>
      <c r="F136" t="s">
        <v>74</v>
      </c>
      <c r="G136" t="s">
        <v>56</v>
      </c>
      <c r="H136" t="s">
        <v>53</v>
      </c>
      <c r="I136" t="str">
        <f>IF('Cleaned Data'!H136="Emi","EMI",'Cleaned Data'!H136)</f>
        <v>Cash</v>
      </c>
      <c r="J136" t="s">
        <v>94</v>
      </c>
      <c r="K136" t="s">
        <v>197</v>
      </c>
      <c r="L136">
        <v>1</v>
      </c>
      <c r="M136" s="9">
        <v>114320</v>
      </c>
      <c r="N136" s="4">
        <v>6.5000000000000002E-2</v>
      </c>
      <c r="O136" s="4">
        <f t="shared" si="2"/>
        <v>6.5000000000000002E-2</v>
      </c>
      <c r="P136" s="11">
        <v>114320</v>
      </c>
      <c r="Q136" s="9">
        <v>7430.8</v>
      </c>
      <c r="R136" s="9">
        <v>106889.2</v>
      </c>
      <c r="S136">
        <v>3</v>
      </c>
      <c r="T136">
        <v>162</v>
      </c>
      <c r="U136">
        <v>4.5</v>
      </c>
      <c r="V136">
        <v>14</v>
      </c>
      <c r="W136">
        <f>IF('Cleaned Data'!V136&lt;0,"Review",'Cleaned Data'!V136)</f>
        <v>14</v>
      </c>
      <c r="X136">
        <v>5</v>
      </c>
      <c r="Y136" s="7">
        <f>IFERROR('Cleaned Data'!R136/'Cleaned Data'!L136,0)</f>
        <v>106889.2</v>
      </c>
      <c r="Z136" t="str">
        <f>TEXT(EV_Sales[[#This Row],[Order_Date]],"mmm-yyyy")</f>
        <v>Jul-2025</v>
      </c>
      <c r="AA136">
        <f>MONTH(EV_Sales[[#This Row],[Order_Date]])</f>
        <v>7</v>
      </c>
      <c r="AB136" s="12" t="str">
        <f>"Q"&amp;ROUNDUP(MONTH(EV_Sales[[#This Row],[Order_Date]])/3,0)</f>
        <v>Q3</v>
      </c>
    </row>
    <row r="137" spans="1:28" x14ac:dyDescent="0.3">
      <c r="A137" t="s">
        <v>242</v>
      </c>
      <c r="B137" s="2">
        <v>45700</v>
      </c>
      <c r="C137" t="s">
        <v>76</v>
      </c>
      <c r="D137" t="s">
        <v>117</v>
      </c>
      <c r="E137" t="s">
        <v>62</v>
      </c>
      <c r="F137" t="s">
        <v>33</v>
      </c>
      <c r="G137" t="s">
        <v>56</v>
      </c>
      <c r="H137" t="s">
        <v>809</v>
      </c>
      <c r="I137" t="str">
        <f>IF('Cleaned Data'!H137="Emi","EMI",'Cleaned Data'!H137)</f>
        <v>EMI</v>
      </c>
      <c r="J137" t="s">
        <v>36</v>
      </c>
      <c r="K137" t="s">
        <v>123</v>
      </c>
      <c r="L137">
        <v>2</v>
      </c>
      <c r="M137" s="9">
        <v>142060</v>
      </c>
      <c r="N137" s="4">
        <v>3.1E-2</v>
      </c>
      <c r="O137" s="4">
        <f t="shared" si="2"/>
        <v>3.1E-2</v>
      </c>
      <c r="P137" s="11">
        <v>284120</v>
      </c>
      <c r="Q137" s="9">
        <v>8807.7199999999993</v>
      </c>
      <c r="R137" s="9">
        <v>275312.28000000003</v>
      </c>
      <c r="S137">
        <v>2</v>
      </c>
      <c r="T137">
        <v>116</v>
      </c>
      <c r="U137">
        <v>4.2</v>
      </c>
      <c r="V137">
        <v>5</v>
      </c>
      <c r="W137">
        <f>IF('Cleaned Data'!V137&lt;0,"Review",'Cleaned Data'!V137)</f>
        <v>5</v>
      </c>
      <c r="X137">
        <v>5</v>
      </c>
      <c r="Y137" s="7">
        <f>IFERROR('Cleaned Data'!R137/'Cleaned Data'!L137,0)</f>
        <v>137656.14000000001</v>
      </c>
      <c r="Z137" t="str">
        <f>TEXT(EV_Sales[[#This Row],[Order_Date]],"mmm-yyyy")</f>
        <v>Feb-2025</v>
      </c>
      <c r="AA137">
        <f>MONTH(EV_Sales[[#This Row],[Order_Date]])</f>
        <v>2</v>
      </c>
      <c r="AB137" s="12" t="str">
        <f>"Q"&amp;ROUNDUP(MONTH(EV_Sales[[#This Row],[Order_Date]])/3,0)</f>
        <v>Q1</v>
      </c>
    </row>
    <row r="138" spans="1:28" x14ac:dyDescent="0.3">
      <c r="A138" t="s">
        <v>243</v>
      </c>
      <c r="B138" s="2">
        <v>45918</v>
      </c>
      <c r="C138" t="s">
        <v>39</v>
      </c>
      <c r="D138" t="s">
        <v>154</v>
      </c>
      <c r="E138" t="s">
        <v>46</v>
      </c>
      <c r="F138" t="s">
        <v>70</v>
      </c>
      <c r="G138" t="s">
        <v>26</v>
      </c>
      <c r="H138" t="s">
        <v>809</v>
      </c>
      <c r="I138" t="str">
        <f>IF('Cleaned Data'!H138="Emi","EMI",'Cleaned Data'!H138)</f>
        <v>EMI</v>
      </c>
      <c r="J138" t="s">
        <v>48</v>
      </c>
      <c r="K138" t="s">
        <v>72</v>
      </c>
      <c r="L138">
        <v>2</v>
      </c>
      <c r="M138" s="9">
        <v>190129</v>
      </c>
      <c r="N138" s="4">
        <v>2.7E-2</v>
      </c>
      <c r="O138" s="4">
        <f t="shared" si="2"/>
        <v>2.7E-2</v>
      </c>
      <c r="P138" s="11">
        <v>380258</v>
      </c>
      <c r="Q138" s="9">
        <v>10266.969999999999</v>
      </c>
      <c r="R138" s="9">
        <v>369991.03</v>
      </c>
      <c r="S138">
        <v>3</v>
      </c>
      <c r="T138">
        <v>164</v>
      </c>
      <c r="U138">
        <v>3.7</v>
      </c>
      <c r="V138">
        <v>2</v>
      </c>
      <c r="W138">
        <f>IF('Cleaned Data'!V138&lt;0,"Review",'Cleaned Data'!V138)</f>
        <v>2</v>
      </c>
      <c r="X138">
        <v>5</v>
      </c>
      <c r="Y138" s="7">
        <f>IFERROR('Cleaned Data'!R138/'Cleaned Data'!L138,0)</f>
        <v>184995.51500000001</v>
      </c>
      <c r="Z138" t="str">
        <f>TEXT(EV_Sales[[#This Row],[Order_Date]],"mmm-yyyy")</f>
        <v>Sep-2025</v>
      </c>
      <c r="AA138">
        <f>MONTH(EV_Sales[[#This Row],[Order_Date]])</f>
        <v>9</v>
      </c>
      <c r="AB138" s="12" t="str">
        <f>"Q"&amp;ROUNDUP(MONTH(EV_Sales[[#This Row],[Order_Date]])/3,0)</f>
        <v>Q3</v>
      </c>
    </row>
    <row r="139" spans="1:28" x14ac:dyDescent="0.3">
      <c r="A139" t="s">
        <v>244</v>
      </c>
      <c r="B139" s="2">
        <v>45981</v>
      </c>
      <c r="C139" t="s">
        <v>76</v>
      </c>
      <c r="D139" t="s">
        <v>115</v>
      </c>
      <c r="E139" t="s">
        <v>62</v>
      </c>
      <c r="F139" t="s">
        <v>101</v>
      </c>
      <c r="G139" t="s">
        <v>56</v>
      </c>
      <c r="H139" t="s">
        <v>53</v>
      </c>
      <c r="I139" t="str">
        <f>IF('Cleaned Data'!H139="Emi","EMI",'Cleaned Data'!H139)</f>
        <v>Cash</v>
      </c>
      <c r="J139" t="s">
        <v>48</v>
      </c>
      <c r="K139" t="s">
        <v>78</v>
      </c>
      <c r="L139">
        <v>3</v>
      </c>
      <c r="M139" s="9">
        <v>133919</v>
      </c>
      <c r="N139" s="4">
        <v>7.2999999999999995E-2</v>
      </c>
      <c r="O139" s="4">
        <f t="shared" si="2"/>
        <v>7.2999999999999995E-2</v>
      </c>
      <c r="P139" s="11">
        <v>401757</v>
      </c>
      <c r="Q139" s="9">
        <v>29328.26</v>
      </c>
      <c r="R139" s="9">
        <v>372428.74</v>
      </c>
      <c r="S139">
        <v>2</v>
      </c>
      <c r="T139">
        <v>163</v>
      </c>
      <c r="U139">
        <v>4.9000000000000004</v>
      </c>
      <c r="V139">
        <v>13</v>
      </c>
      <c r="W139">
        <f>IF('Cleaned Data'!V139&lt;0,"Review",'Cleaned Data'!V139)</f>
        <v>13</v>
      </c>
      <c r="X139">
        <v>3</v>
      </c>
      <c r="Y139" s="7">
        <f>IFERROR('Cleaned Data'!R139/'Cleaned Data'!L139,0)</f>
        <v>124142.91333333333</v>
      </c>
      <c r="Z139" t="str">
        <f>TEXT(EV_Sales[[#This Row],[Order_Date]],"mmm-yyyy")</f>
        <v>Nov-2025</v>
      </c>
      <c r="AA139">
        <f>MONTH(EV_Sales[[#This Row],[Order_Date]])</f>
        <v>11</v>
      </c>
      <c r="AB139" s="12" t="str">
        <f>"Q"&amp;ROUNDUP(MONTH(EV_Sales[[#This Row],[Order_Date]])/3,0)</f>
        <v>Q4</v>
      </c>
    </row>
    <row r="140" spans="1:28" x14ac:dyDescent="0.3">
      <c r="A140" t="s">
        <v>245</v>
      </c>
      <c r="B140" s="2">
        <v>45972</v>
      </c>
      <c r="C140" t="s">
        <v>76</v>
      </c>
      <c r="D140" t="s">
        <v>77</v>
      </c>
      <c r="E140" t="s">
        <v>46</v>
      </c>
      <c r="F140" t="s">
        <v>52</v>
      </c>
      <c r="G140" t="s">
        <v>67</v>
      </c>
      <c r="H140" t="s">
        <v>809</v>
      </c>
      <c r="I140" t="str">
        <f>IF('Cleaned Data'!H140="Emi","EMI",'Cleaned Data'!H140)</f>
        <v>EMI</v>
      </c>
      <c r="J140" t="s">
        <v>48</v>
      </c>
      <c r="K140" t="s">
        <v>49</v>
      </c>
      <c r="L140">
        <v>2</v>
      </c>
      <c r="M140" s="9">
        <v>144189</v>
      </c>
      <c r="N140" s="4">
        <v>3.5999999999999997E-2</v>
      </c>
      <c r="O140" s="4">
        <f t="shared" si="2"/>
        <v>3.5999999999999997E-2</v>
      </c>
      <c r="P140" s="11">
        <v>288378</v>
      </c>
      <c r="Q140" s="9">
        <v>10381.61</v>
      </c>
      <c r="R140" s="9">
        <v>277996.39</v>
      </c>
      <c r="S140">
        <v>3</v>
      </c>
      <c r="T140">
        <v>166</v>
      </c>
      <c r="U140">
        <v>4.3</v>
      </c>
      <c r="V140">
        <v>4</v>
      </c>
      <c r="W140">
        <f>IF('Cleaned Data'!V140&lt;0,"Review",'Cleaned Data'!V140)</f>
        <v>4</v>
      </c>
      <c r="X140">
        <v>3</v>
      </c>
      <c r="Y140" s="7">
        <f>IFERROR('Cleaned Data'!R140/'Cleaned Data'!L140,0)</f>
        <v>138998.19500000001</v>
      </c>
      <c r="Z140" t="str">
        <f>TEXT(EV_Sales[[#This Row],[Order_Date]],"mmm-yyyy")</f>
        <v>Nov-2025</v>
      </c>
      <c r="AA140">
        <f>MONTH(EV_Sales[[#This Row],[Order_Date]])</f>
        <v>11</v>
      </c>
      <c r="AB140" s="12" t="str">
        <f>"Q"&amp;ROUNDUP(MONTH(EV_Sales[[#This Row],[Order_Date]])/3,0)</f>
        <v>Q4</v>
      </c>
    </row>
    <row r="141" spans="1:28" x14ac:dyDescent="0.3">
      <c r="A141" t="s">
        <v>246</v>
      </c>
      <c r="B141" s="2">
        <v>45925</v>
      </c>
      <c r="C141" t="s">
        <v>22</v>
      </c>
      <c r="D141" t="s">
        <v>107</v>
      </c>
      <c r="E141" t="s">
        <v>62</v>
      </c>
      <c r="F141" t="s">
        <v>80</v>
      </c>
      <c r="G141" t="s">
        <v>26</v>
      </c>
      <c r="H141" t="s">
        <v>809</v>
      </c>
      <c r="I141" t="str">
        <f>IF('Cleaned Data'!H141="Emi","EMI",'Cleaned Data'!H141)</f>
        <v>EMI</v>
      </c>
      <c r="J141" t="s">
        <v>57</v>
      </c>
      <c r="K141" t="s">
        <v>109</v>
      </c>
      <c r="L141">
        <v>4</v>
      </c>
      <c r="M141" s="9">
        <v>136543</v>
      </c>
      <c r="N141" s="4">
        <v>9.6000000000000002E-2</v>
      </c>
      <c r="O141" s="4">
        <f t="shared" si="2"/>
        <v>9.6000000000000002E-2</v>
      </c>
      <c r="P141" s="11">
        <v>546172</v>
      </c>
      <c r="Q141" s="9">
        <v>52432.51</v>
      </c>
      <c r="R141" s="9">
        <v>493739.49</v>
      </c>
      <c r="S141">
        <v>3</v>
      </c>
      <c r="T141">
        <v>169</v>
      </c>
      <c r="U141">
        <v>4.4000000000000004</v>
      </c>
      <c r="V141">
        <v>8</v>
      </c>
      <c r="W141">
        <f>IF('Cleaned Data'!V141&lt;0,"Review",'Cleaned Data'!V141)</f>
        <v>8</v>
      </c>
      <c r="X141">
        <v>5</v>
      </c>
      <c r="Y141" s="7">
        <f>IFERROR('Cleaned Data'!R141/'Cleaned Data'!L141,0)</f>
        <v>123434.8725</v>
      </c>
      <c r="Z141" t="str">
        <f>TEXT(EV_Sales[[#This Row],[Order_Date]],"mmm-yyyy")</f>
        <v>Sep-2025</v>
      </c>
      <c r="AA141">
        <f>MONTH(EV_Sales[[#This Row],[Order_Date]])</f>
        <v>9</v>
      </c>
      <c r="AB141" s="12" t="str">
        <f>"Q"&amp;ROUNDUP(MONTH(EV_Sales[[#This Row],[Order_Date]])/3,0)</f>
        <v>Q3</v>
      </c>
    </row>
    <row r="142" spans="1:28" x14ac:dyDescent="0.3">
      <c r="A142" t="s">
        <v>247</v>
      </c>
      <c r="B142" s="2">
        <v>45926</v>
      </c>
      <c r="C142" t="s">
        <v>44</v>
      </c>
      <c r="D142" t="s">
        <v>45</v>
      </c>
      <c r="E142" t="s">
        <v>24</v>
      </c>
      <c r="F142" t="s">
        <v>25</v>
      </c>
      <c r="G142" t="s">
        <v>67</v>
      </c>
      <c r="H142" t="s">
        <v>53</v>
      </c>
      <c r="I142" t="str">
        <f>IF('Cleaned Data'!H142="Emi","EMI",'Cleaned Data'!H142)</f>
        <v>Cash</v>
      </c>
      <c r="J142" t="s">
        <v>63</v>
      </c>
      <c r="K142" t="s">
        <v>109</v>
      </c>
      <c r="L142">
        <v>1</v>
      </c>
      <c r="M142" s="9">
        <v>143766</v>
      </c>
      <c r="N142" s="4">
        <v>9.2999999999999999E-2</v>
      </c>
      <c r="O142" s="4">
        <f t="shared" si="2"/>
        <v>9.2999999999999999E-2</v>
      </c>
      <c r="P142" s="11">
        <v>143766</v>
      </c>
      <c r="Q142" s="9">
        <v>13370.24</v>
      </c>
      <c r="R142" s="9">
        <v>130395.76</v>
      </c>
      <c r="S142">
        <v>4</v>
      </c>
      <c r="T142">
        <v>182</v>
      </c>
      <c r="U142">
        <v>3.4</v>
      </c>
      <c r="V142">
        <v>9</v>
      </c>
      <c r="W142">
        <f>IF('Cleaned Data'!V142&lt;0,"Review",'Cleaned Data'!V142)</f>
        <v>9</v>
      </c>
      <c r="X142">
        <v>2</v>
      </c>
      <c r="Y142" s="7">
        <f>IFERROR('Cleaned Data'!R142/'Cleaned Data'!L142,0)</f>
        <v>130395.76</v>
      </c>
      <c r="Z142" t="str">
        <f>TEXT(EV_Sales[[#This Row],[Order_Date]],"mmm-yyyy")</f>
        <v>Sep-2025</v>
      </c>
      <c r="AA142">
        <f>MONTH(EV_Sales[[#This Row],[Order_Date]])</f>
        <v>9</v>
      </c>
      <c r="AB142" s="12" t="str">
        <f>"Q"&amp;ROUNDUP(MONTH(EV_Sales[[#This Row],[Order_Date]])/3,0)</f>
        <v>Q3</v>
      </c>
    </row>
    <row r="143" spans="1:28" x14ac:dyDescent="0.3">
      <c r="A143" t="s">
        <v>248</v>
      </c>
      <c r="B143" s="2">
        <v>45687</v>
      </c>
      <c r="C143" t="s">
        <v>39</v>
      </c>
      <c r="D143" t="s">
        <v>40</v>
      </c>
      <c r="E143" t="s">
        <v>62</v>
      </c>
      <c r="F143" t="s">
        <v>74</v>
      </c>
      <c r="G143" t="s">
        <v>34</v>
      </c>
      <c r="H143" t="s">
        <v>809</v>
      </c>
      <c r="I143" t="str">
        <f>IF('Cleaned Data'!H143="Emi","EMI",'Cleaned Data'!H143)</f>
        <v>EMI</v>
      </c>
      <c r="J143" t="s">
        <v>48</v>
      </c>
      <c r="K143" t="s">
        <v>29</v>
      </c>
      <c r="L143">
        <v>4</v>
      </c>
      <c r="M143" s="9">
        <v>128635</v>
      </c>
      <c r="N143" s="4">
        <v>9.6000000000000002E-2</v>
      </c>
      <c r="O143" s="4">
        <f t="shared" si="2"/>
        <v>9.6000000000000002E-2</v>
      </c>
      <c r="P143" s="11">
        <v>514540</v>
      </c>
      <c r="Q143" s="9">
        <v>49395.839999999997</v>
      </c>
      <c r="R143" s="9">
        <v>465144.16</v>
      </c>
      <c r="S143">
        <v>3</v>
      </c>
      <c r="T143">
        <v>160</v>
      </c>
      <c r="U143">
        <v>4.0999999999999996</v>
      </c>
      <c r="V143">
        <v>2</v>
      </c>
      <c r="W143">
        <f>IF('Cleaned Data'!V143&lt;0,"Review",'Cleaned Data'!V143)</f>
        <v>2</v>
      </c>
      <c r="X143">
        <v>2</v>
      </c>
      <c r="Y143" s="7">
        <f>IFERROR('Cleaned Data'!R143/'Cleaned Data'!L143,0)</f>
        <v>116286.04</v>
      </c>
      <c r="Z143" t="str">
        <f>TEXT(EV_Sales[[#This Row],[Order_Date]],"mmm-yyyy")</f>
        <v>Jan-2025</v>
      </c>
      <c r="AA143">
        <f>MONTH(EV_Sales[[#This Row],[Order_Date]])</f>
        <v>1</v>
      </c>
      <c r="AB143" s="12" t="str">
        <f>"Q"&amp;ROUNDUP(MONTH(EV_Sales[[#This Row],[Order_Date]])/3,0)</f>
        <v>Q1</v>
      </c>
    </row>
    <row r="144" spans="1:28" x14ac:dyDescent="0.3">
      <c r="A144" t="s">
        <v>249</v>
      </c>
      <c r="B144" s="2">
        <v>45667</v>
      </c>
      <c r="C144" t="s">
        <v>39</v>
      </c>
      <c r="D144" t="s">
        <v>40</v>
      </c>
      <c r="E144" t="s">
        <v>24</v>
      </c>
      <c r="F144" t="s">
        <v>101</v>
      </c>
      <c r="G144" t="s">
        <v>26</v>
      </c>
      <c r="H144" t="s">
        <v>27</v>
      </c>
      <c r="I144" t="str">
        <f>IF('Cleaned Data'!H144="Emi","EMI",'Cleaned Data'!H144)</f>
        <v>Finance</v>
      </c>
      <c r="J144" t="s">
        <v>36</v>
      </c>
      <c r="K144" t="s">
        <v>92</v>
      </c>
      <c r="L144">
        <v>2</v>
      </c>
      <c r="M144" s="9">
        <v>131764</v>
      </c>
      <c r="N144" s="4">
        <v>8.1000000000000003E-2</v>
      </c>
      <c r="O144" s="4">
        <f t="shared" si="2"/>
        <v>8.1000000000000003E-2</v>
      </c>
      <c r="P144" s="11">
        <v>263528</v>
      </c>
      <c r="Q144" s="9">
        <v>21345.77</v>
      </c>
      <c r="R144" s="9">
        <v>242182.23</v>
      </c>
      <c r="S144">
        <v>4</v>
      </c>
      <c r="T144">
        <v>190</v>
      </c>
      <c r="U144">
        <v>3.1</v>
      </c>
      <c r="V144">
        <v>5</v>
      </c>
      <c r="W144">
        <f>IF('Cleaned Data'!V144&lt;0,"Review",'Cleaned Data'!V144)</f>
        <v>5</v>
      </c>
      <c r="X144">
        <v>3</v>
      </c>
      <c r="Y144" s="7">
        <f>IFERROR('Cleaned Data'!R144/'Cleaned Data'!L144,0)</f>
        <v>121091.11500000001</v>
      </c>
      <c r="Z144" t="str">
        <f>TEXT(EV_Sales[[#This Row],[Order_Date]],"mmm-yyyy")</f>
        <v>Jan-2025</v>
      </c>
      <c r="AA144">
        <f>MONTH(EV_Sales[[#This Row],[Order_Date]])</f>
        <v>1</v>
      </c>
      <c r="AB144" s="12" t="str">
        <f>"Q"&amp;ROUNDUP(MONTH(EV_Sales[[#This Row],[Order_Date]])/3,0)</f>
        <v>Q1</v>
      </c>
    </row>
    <row r="145" spans="1:28" x14ac:dyDescent="0.3">
      <c r="A145" t="s">
        <v>250</v>
      </c>
      <c r="B145" s="2">
        <v>45778</v>
      </c>
      <c r="C145" t="s">
        <v>87</v>
      </c>
      <c r="D145" t="s">
        <v>88</v>
      </c>
      <c r="E145" t="s">
        <v>62</v>
      </c>
      <c r="F145" t="s">
        <v>41</v>
      </c>
      <c r="G145" t="s">
        <v>34</v>
      </c>
      <c r="H145" t="s">
        <v>27</v>
      </c>
      <c r="I145" t="str">
        <f>IF('Cleaned Data'!H145="Emi","EMI",'Cleaned Data'!H145)</f>
        <v>Finance</v>
      </c>
      <c r="J145" t="s">
        <v>28</v>
      </c>
      <c r="K145" t="s">
        <v>72</v>
      </c>
      <c r="L145">
        <v>5</v>
      </c>
      <c r="M145" s="9">
        <v>148726</v>
      </c>
      <c r="N145" s="4">
        <v>5.2999999999999999E-2</v>
      </c>
      <c r="O145" s="4">
        <f t="shared" si="2"/>
        <v>5.2999999999999999E-2</v>
      </c>
      <c r="P145" s="11">
        <v>743630</v>
      </c>
      <c r="Q145" s="9">
        <v>39412.39</v>
      </c>
      <c r="R145" s="9">
        <v>704217.61</v>
      </c>
      <c r="S145">
        <v>3</v>
      </c>
      <c r="T145">
        <v>172</v>
      </c>
      <c r="U145">
        <v>3.9</v>
      </c>
      <c r="V145">
        <v>6</v>
      </c>
      <c r="W145">
        <f>IF('Cleaned Data'!V145&lt;0,"Review",'Cleaned Data'!V145)</f>
        <v>6</v>
      </c>
      <c r="X145">
        <v>3</v>
      </c>
      <c r="Y145" s="7">
        <f>IFERROR('Cleaned Data'!R145/'Cleaned Data'!L145,0)</f>
        <v>140843.522</v>
      </c>
      <c r="Z145" t="str">
        <f>TEXT(EV_Sales[[#This Row],[Order_Date]],"mmm-yyyy")</f>
        <v>May-2025</v>
      </c>
      <c r="AA145">
        <f>MONTH(EV_Sales[[#This Row],[Order_Date]])</f>
        <v>5</v>
      </c>
      <c r="AB145" s="12" t="str">
        <f>"Q"&amp;ROUNDUP(MONTH(EV_Sales[[#This Row],[Order_Date]])/3,0)</f>
        <v>Q2</v>
      </c>
    </row>
    <row r="146" spans="1:28" x14ac:dyDescent="0.3">
      <c r="A146" t="s">
        <v>251</v>
      </c>
      <c r="B146" s="2">
        <v>45887</v>
      </c>
      <c r="C146" t="s">
        <v>99</v>
      </c>
      <c r="D146" t="s">
        <v>141</v>
      </c>
      <c r="E146" t="s">
        <v>62</v>
      </c>
      <c r="F146" t="s">
        <v>66</v>
      </c>
      <c r="G146" t="s">
        <v>34</v>
      </c>
      <c r="H146" t="s">
        <v>53</v>
      </c>
      <c r="I146" t="str">
        <f>IF('Cleaned Data'!H146="Emi","EMI",'Cleaned Data'!H146)</f>
        <v>Cash</v>
      </c>
      <c r="J146" t="s">
        <v>28</v>
      </c>
      <c r="K146" t="s">
        <v>72</v>
      </c>
      <c r="L146">
        <v>1</v>
      </c>
      <c r="M146" s="9">
        <v>145234</v>
      </c>
      <c r="N146" s="4">
        <v>0.02</v>
      </c>
      <c r="O146" s="4">
        <f t="shared" si="2"/>
        <v>0.02</v>
      </c>
      <c r="P146" s="11">
        <v>145234</v>
      </c>
      <c r="Q146" s="9">
        <v>2904.68</v>
      </c>
      <c r="R146" s="9">
        <v>142329.32</v>
      </c>
      <c r="S146">
        <v>4</v>
      </c>
      <c r="T146">
        <v>195</v>
      </c>
      <c r="U146">
        <v>3.8</v>
      </c>
      <c r="V146">
        <v>5</v>
      </c>
      <c r="W146">
        <f>IF('Cleaned Data'!V146&lt;0,"Review",'Cleaned Data'!V146)</f>
        <v>5</v>
      </c>
      <c r="X146">
        <v>2</v>
      </c>
      <c r="Y146" s="7">
        <f>IFERROR('Cleaned Data'!R146/'Cleaned Data'!L146,0)</f>
        <v>142329.32</v>
      </c>
      <c r="Z146" t="str">
        <f>TEXT(EV_Sales[[#This Row],[Order_Date]],"mmm-yyyy")</f>
        <v>Aug-2025</v>
      </c>
      <c r="AA146">
        <f>MONTH(EV_Sales[[#This Row],[Order_Date]])</f>
        <v>8</v>
      </c>
      <c r="AB146" s="12" t="str">
        <f>"Q"&amp;ROUNDUP(MONTH(EV_Sales[[#This Row],[Order_Date]])/3,0)</f>
        <v>Q3</v>
      </c>
    </row>
    <row r="147" spans="1:28" x14ac:dyDescent="0.3">
      <c r="A147" t="s">
        <v>252</v>
      </c>
      <c r="B147" s="2">
        <v>45993</v>
      </c>
      <c r="C147" t="s">
        <v>31</v>
      </c>
      <c r="D147" t="s">
        <v>97</v>
      </c>
      <c r="E147" t="s">
        <v>46</v>
      </c>
      <c r="F147" t="s">
        <v>33</v>
      </c>
      <c r="G147" t="s">
        <v>26</v>
      </c>
      <c r="H147" t="s">
        <v>53</v>
      </c>
      <c r="I147" t="str">
        <f>IF('Cleaned Data'!H147="Emi","EMI",'Cleaned Data'!H147)</f>
        <v>Cash</v>
      </c>
      <c r="J147" t="s">
        <v>36</v>
      </c>
      <c r="K147" t="s">
        <v>49</v>
      </c>
      <c r="L147">
        <v>1</v>
      </c>
      <c r="M147" s="9">
        <v>134993</v>
      </c>
      <c r="N147" s="4">
        <v>2.5000000000000001E-2</v>
      </c>
      <c r="O147" s="4">
        <f t="shared" si="2"/>
        <v>2.5000000000000001E-2</v>
      </c>
      <c r="P147" s="11">
        <v>134993</v>
      </c>
      <c r="Q147" s="9">
        <v>3374.83</v>
      </c>
      <c r="R147" s="9">
        <v>131618.17000000001</v>
      </c>
      <c r="S147">
        <v>3</v>
      </c>
      <c r="T147">
        <v>183</v>
      </c>
      <c r="U147">
        <v>4.8</v>
      </c>
      <c r="V147">
        <v>13</v>
      </c>
      <c r="W147">
        <f>IF('Cleaned Data'!V147&lt;0,"Review",'Cleaned Data'!V147)</f>
        <v>13</v>
      </c>
      <c r="X147">
        <v>5</v>
      </c>
      <c r="Y147" s="7">
        <f>IFERROR('Cleaned Data'!R147/'Cleaned Data'!L147,0)</f>
        <v>131618.17000000001</v>
      </c>
      <c r="Z147" t="str">
        <f>TEXT(EV_Sales[[#This Row],[Order_Date]],"mmm-yyyy")</f>
        <v>Dec-2025</v>
      </c>
      <c r="AA147">
        <f>MONTH(EV_Sales[[#This Row],[Order_Date]])</f>
        <v>12</v>
      </c>
      <c r="AB147" s="12" t="str">
        <f>"Q"&amp;ROUNDUP(MONTH(EV_Sales[[#This Row],[Order_Date]])/3,0)</f>
        <v>Q4</v>
      </c>
    </row>
    <row r="148" spans="1:28" x14ac:dyDescent="0.3">
      <c r="A148" t="s">
        <v>253</v>
      </c>
      <c r="B148" s="2">
        <v>45774</v>
      </c>
      <c r="C148" t="s">
        <v>99</v>
      </c>
      <c r="D148" t="s">
        <v>100</v>
      </c>
      <c r="E148" t="s">
        <v>46</v>
      </c>
      <c r="F148" t="s">
        <v>70</v>
      </c>
      <c r="G148" t="s">
        <v>34</v>
      </c>
      <c r="H148" t="s">
        <v>27</v>
      </c>
      <c r="I148" t="str">
        <f>IF('Cleaned Data'!H148="Emi","EMI",'Cleaned Data'!H148)</f>
        <v>Finance</v>
      </c>
      <c r="J148" t="s">
        <v>94</v>
      </c>
      <c r="K148" t="s">
        <v>64</v>
      </c>
      <c r="L148">
        <v>3</v>
      </c>
      <c r="M148" s="9">
        <v>116428</v>
      </c>
      <c r="N148" s="4">
        <v>6.4000000000000001E-2</v>
      </c>
      <c r="O148" s="4">
        <f t="shared" si="2"/>
        <v>6.4000000000000001E-2</v>
      </c>
      <c r="P148" s="11">
        <v>349284</v>
      </c>
      <c r="Q148" s="9">
        <v>22354.18</v>
      </c>
      <c r="R148" s="9">
        <v>326929.82</v>
      </c>
      <c r="S148">
        <v>3</v>
      </c>
      <c r="T148">
        <v>155</v>
      </c>
      <c r="U148">
        <v>3.3</v>
      </c>
      <c r="V148">
        <v>3</v>
      </c>
      <c r="W148">
        <f>IF('Cleaned Data'!V148&lt;0,"Review",'Cleaned Data'!V148)</f>
        <v>3</v>
      </c>
      <c r="X148">
        <v>5</v>
      </c>
      <c r="Y148" s="7">
        <f>IFERROR('Cleaned Data'!R148/'Cleaned Data'!L148,0)</f>
        <v>108976.60666666667</v>
      </c>
      <c r="Z148" t="str">
        <f>TEXT(EV_Sales[[#This Row],[Order_Date]],"mmm-yyyy")</f>
        <v>Apr-2025</v>
      </c>
      <c r="AA148">
        <f>MONTH(EV_Sales[[#This Row],[Order_Date]])</f>
        <v>4</v>
      </c>
      <c r="AB148" s="12" t="str">
        <f>"Q"&amp;ROUNDUP(MONTH(EV_Sales[[#This Row],[Order_Date]])/3,0)</f>
        <v>Q2</v>
      </c>
    </row>
    <row r="149" spans="1:28" x14ac:dyDescent="0.3">
      <c r="A149" t="s">
        <v>254</v>
      </c>
      <c r="B149" s="2">
        <v>45917</v>
      </c>
      <c r="C149" t="s">
        <v>76</v>
      </c>
      <c r="D149" t="s">
        <v>115</v>
      </c>
      <c r="E149" t="s">
        <v>46</v>
      </c>
      <c r="F149" t="s">
        <v>41</v>
      </c>
      <c r="G149" t="s">
        <v>67</v>
      </c>
      <c r="H149" t="s">
        <v>27</v>
      </c>
      <c r="I149" t="str">
        <f>IF('Cleaned Data'!H149="Emi","EMI",'Cleaned Data'!H149)</f>
        <v>Finance</v>
      </c>
      <c r="J149" t="s">
        <v>48</v>
      </c>
      <c r="K149" t="s">
        <v>72</v>
      </c>
      <c r="L149">
        <v>1</v>
      </c>
      <c r="M149" s="9">
        <v>125444</v>
      </c>
      <c r="N149" s="4">
        <v>8.8999999999999996E-2</v>
      </c>
      <c r="O149" s="4">
        <f t="shared" si="2"/>
        <v>8.8999999999999996E-2</v>
      </c>
      <c r="P149" s="11">
        <v>125444</v>
      </c>
      <c r="Q149" s="9">
        <v>11164.52</v>
      </c>
      <c r="R149" s="9">
        <v>114279.48</v>
      </c>
      <c r="S149">
        <v>5</v>
      </c>
      <c r="T149">
        <v>210</v>
      </c>
      <c r="U149">
        <v>4.5</v>
      </c>
      <c r="V149">
        <v>11</v>
      </c>
      <c r="W149">
        <f>IF('Cleaned Data'!V149&lt;0,"Review",'Cleaned Data'!V149)</f>
        <v>11</v>
      </c>
      <c r="X149">
        <v>2</v>
      </c>
      <c r="Y149" s="7">
        <f>IFERROR('Cleaned Data'!R149/'Cleaned Data'!L149,0)</f>
        <v>114279.48</v>
      </c>
      <c r="Z149" t="str">
        <f>TEXT(EV_Sales[[#This Row],[Order_Date]],"mmm-yyyy")</f>
        <v>Sep-2025</v>
      </c>
      <c r="AA149">
        <f>MONTH(EV_Sales[[#This Row],[Order_Date]])</f>
        <v>9</v>
      </c>
      <c r="AB149" s="12" t="str">
        <f>"Q"&amp;ROUNDUP(MONTH(EV_Sales[[#This Row],[Order_Date]])/3,0)</f>
        <v>Q3</v>
      </c>
    </row>
    <row r="150" spans="1:28" x14ac:dyDescent="0.3">
      <c r="A150" t="s">
        <v>255</v>
      </c>
      <c r="B150" s="2">
        <v>45770</v>
      </c>
      <c r="C150" t="s">
        <v>60</v>
      </c>
      <c r="D150" t="s">
        <v>69</v>
      </c>
      <c r="E150" t="s">
        <v>46</v>
      </c>
      <c r="F150" t="s">
        <v>41</v>
      </c>
      <c r="G150" t="s">
        <v>67</v>
      </c>
      <c r="H150" t="s">
        <v>53</v>
      </c>
      <c r="I150" t="str">
        <f>IF('Cleaned Data'!H150="Emi","EMI",'Cleaned Data'!H150)</f>
        <v>Cash</v>
      </c>
      <c r="J150" t="s">
        <v>48</v>
      </c>
      <c r="K150" t="s">
        <v>131</v>
      </c>
      <c r="L150">
        <v>2</v>
      </c>
      <c r="M150" s="9">
        <v>107321</v>
      </c>
      <c r="N150" s="4">
        <v>0.09</v>
      </c>
      <c r="O150" s="4">
        <f t="shared" si="2"/>
        <v>0.09</v>
      </c>
      <c r="P150" s="11">
        <v>214642</v>
      </c>
      <c r="Q150" s="9">
        <v>19317.78</v>
      </c>
      <c r="R150" s="9">
        <v>195324.22</v>
      </c>
      <c r="S150">
        <v>5</v>
      </c>
      <c r="T150">
        <v>195</v>
      </c>
      <c r="U150">
        <v>4.3</v>
      </c>
      <c r="V150">
        <v>6</v>
      </c>
      <c r="W150">
        <f>IF('Cleaned Data'!V150&lt;0,"Review",'Cleaned Data'!V150)</f>
        <v>6</v>
      </c>
      <c r="X150">
        <v>2</v>
      </c>
      <c r="Y150" s="7">
        <f>IFERROR('Cleaned Data'!R150/'Cleaned Data'!L150,0)</f>
        <v>97662.11</v>
      </c>
      <c r="Z150" t="str">
        <f>TEXT(EV_Sales[[#This Row],[Order_Date]],"mmm-yyyy")</f>
        <v>Apr-2025</v>
      </c>
      <c r="AA150">
        <f>MONTH(EV_Sales[[#This Row],[Order_Date]])</f>
        <v>4</v>
      </c>
      <c r="AB150" s="12" t="str">
        <f>"Q"&amp;ROUNDUP(MONTH(EV_Sales[[#This Row],[Order_Date]])/3,0)</f>
        <v>Q2</v>
      </c>
    </row>
    <row r="151" spans="1:28" x14ac:dyDescent="0.3">
      <c r="A151" t="s">
        <v>256</v>
      </c>
      <c r="B151" s="2">
        <v>45747</v>
      </c>
      <c r="C151" t="s">
        <v>44</v>
      </c>
      <c r="D151" t="s">
        <v>51</v>
      </c>
      <c r="E151" t="s">
        <v>46</v>
      </c>
      <c r="F151" t="s">
        <v>41</v>
      </c>
      <c r="G151" t="s">
        <v>34</v>
      </c>
      <c r="H151" t="s">
        <v>53</v>
      </c>
      <c r="I151" t="str">
        <f>IF('Cleaned Data'!H151="Emi","EMI",'Cleaned Data'!H151)</f>
        <v>Cash</v>
      </c>
      <c r="J151" t="s">
        <v>36</v>
      </c>
      <c r="K151" t="s">
        <v>95</v>
      </c>
      <c r="L151">
        <v>1</v>
      </c>
      <c r="M151" s="9">
        <v>125029</v>
      </c>
      <c r="N151" s="4">
        <v>7.0000000000000007E-2</v>
      </c>
      <c r="O151" s="4">
        <f t="shared" si="2"/>
        <v>7.0000000000000007E-2</v>
      </c>
      <c r="P151" s="11">
        <v>125029</v>
      </c>
      <c r="Q151" s="9">
        <v>8752.0300000000007</v>
      </c>
      <c r="R151" s="9">
        <v>116276.97</v>
      </c>
      <c r="S151">
        <v>3</v>
      </c>
      <c r="T151">
        <v>174</v>
      </c>
      <c r="U151">
        <v>4.5</v>
      </c>
      <c r="V151">
        <v>7</v>
      </c>
      <c r="W151">
        <f>IF('Cleaned Data'!V151&lt;0,"Review",'Cleaned Data'!V151)</f>
        <v>7</v>
      </c>
      <c r="X151">
        <v>3</v>
      </c>
      <c r="Y151" s="7">
        <f>IFERROR('Cleaned Data'!R151/'Cleaned Data'!L151,0)</f>
        <v>116276.97</v>
      </c>
      <c r="Z151" t="str">
        <f>TEXT(EV_Sales[[#This Row],[Order_Date]],"mmm-yyyy")</f>
        <v>Mar-2025</v>
      </c>
      <c r="AA151">
        <f>MONTH(EV_Sales[[#This Row],[Order_Date]])</f>
        <v>3</v>
      </c>
      <c r="AB151" s="12" t="str">
        <f>"Q"&amp;ROUNDUP(MONTH(EV_Sales[[#This Row],[Order_Date]])/3,0)</f>
        <v>Q1</v>
      </c>
    </row>
    <row r="152" spans="1:28" x14ac:dyDescent="0.3">
      <c r="A152" t="s">
        <v>257</v>
      </c>
      <c r="B152" s="2">
        <v>46021</v>
      </c>
      <c r="C152" t="s">
        <v>87</v>
      </c>
      <c r="D152" t="s">
        <v>88</v>
      </c>
      <c r="E152" t="s">
        <v>24</v>
      </c>
      <c r="F152" t="s">
        <v>70</v>
      </c>
      <c r="G152" t="s">
        <v>67</v>
      </c>
      <c r="H152" t="s">
        <v>809</v>
      </c>
      <c r="I152" t="str">
        <f>IF('Cleaned Data'!H152="Emi","EMI",'Cleaned Data'!H152)</f>
        <v>EMI</v>
      </c>
      <c r="J152" t="s">
        <v>36</v>
      </c>
      <c r="K152" t="s">
        <v>212</v>
      </c>
      <c r="L152">
        <v>1</v>
      </c>
      <c r="M152" s="9">
        <v>141762</v>
      </c>
      <c r="N152" s="4">
        <v>4.8000000000000001E-2</v>
      </c>
      <c r="O152" s="4">
        <f t="shared" si="2"/>
        <v>4.8000000000000001E-2</v>
      </c>
      <c r="P152" s="11">
        <v>141762</v>
      </c>
      <c r="Q152" s="9">
        <v>6804.58</v>
      </c>
      <c r="R152" s="9">
        <v>134957.42000000001</v>
      </c>
      <c r="S152">
        <v>3</v>
      </c>
      <c r="T152">
        <v>151</v>
      </c>
      <c r="U152">
        <v>3.2</v>
      </c>
      <c r="V152">
        <v>10</v>
      </c>
      <c r="W152">
        <f>IF('Cleaned Data'!V152&lt;0,"Review",'Cleaned Data'!V152)</f>
        <v>10</v>
      </c>
      <c r="X152">
        <v>2</v>
      </c>
      <c r="Y152" s="7">
        <f>IFERROR('Cleaned Data'!R152/'Cleaned Data'!L152,0)</f>
        <v>134957.42000000001</v>
      </c>
      <c r="Z152" t="str">
        <f>TEXT(EV_Sales[[#This Row],[Order_Date]],"mmm-yyyy")</f>
        <v>Dec-2025</v>
      </c>
      <c r="AA152">
        <f>MONTH(EV_Sales[[#This Row],[Order_Date]])</f>
        <v>12</v>
      </c>
      <c r="AB152" s="12" t="str">
        <f>"Q"&amp;ROUNDUP(MONTH(EV_Sales[[#This Row],[Order_Date]])/3,0)</f>
        <v>Q4</v>
      </c>
    </row>
    <row r="153" spans="1:28" x14ac:dyDescent="0.3">
      <c r="A153" t="s">
        <v>258</v>
      </c>
      <c r="B153" s="2">
        <v>45678</v>
      </c>
      <c r="C153" t="s">
        <v>99</v>
      </c>
      <c r="D153" t="s">
        <v>121</v>
      </c>
      <c r="E153" t="s">
        <v>24</v>
      </c>
      <c r="F153" t="s">
        <v>101</v>
      </c>
      <c r="G153" t="s">
        <v>34</v>
      </c>
      <c r="H153" t="s">
        <v>27</v>
      </c>
      <c r="I153" t="str">
        <f>IF('Cleaned Data'!H153="Emi","EMI",'Cleaned Data'!H153)</f>
        <v>Finance</v>
      </c>
      <c r="J153" t="s">
        <v>57</v>
      </c>
      <c r="K153" t="s">
        <v>131</v>
      </c>
      <c r="L153">
        <v>2</v>
      </c>
      <c r="M153" s="9">
        <v>104743</v>
      </c>
      <c r="N153" s="4">
        <v>5.5E-2</v>
      </c>
      <c r="O153" s="4">
        <f t="shared" si="2"/>
        <v>5.5E-2</v>
      </c>
      <c r="P153" s="11">
        <v>209486</v>
      </c>
      <c r="Q153" s="9">
        <v>11521.73</v>
      </c>
      <c r="R153" s="9">
        <v>197964.27</v>
      </c>
      <c r="S153">
        <v>5</v>
      </c>
      <c r="T153">
        <v>200</v>
      </c>
      <c r="U153">
        <v>4.3</v>
      </c>
      <c r="V153">
        <v>8</v>
      </c>
      <c r="W153">
        <f>IF('Cleaned Data'!V153&lt;0,"Review",'Cleaned Data'!V153)</f>
        <v>8</v>
      </c>
      <c r="X153">
        <v>2</v>
      </c>
      <c r="Y153" s="7">
        <f>IFERROR('Cleaned Data'!R153/'Cleaned Data'!L153,0)</f>
        <v>98982.134999999995</v>
      </c>
      <c r="Z153" t="str">
        <f>TEXT(EV_Sales[[#This Row],[Order_Date]],"mmm-yyyy")</f>
        <v>Jan-2025</v>
      </c>
      <c r="AA153">
        <f>MONTH(EV_Sales[[#This Row],[Order_Date]])</f>
        <v>1</v>
      </c>
      <c r="AB153" s="12" t="str">
        <f>"Q"&amp;ROUNDUP(MONTH(EV_Sales[[#This Row],[Order_Date]])/3,0)</f>
        <v>Q1</v>
      </c>
    </row>
    <row r="154" spans="1:28" x14ac:dyDescent="0.3">
      <c r="A154" t="s">
        <v>259</v>
      </c>
      <c r="B154" s="2">
        <v>45739</v>
      </c>
      <c r="C154" t="s">
        <v>99</v>
      </c>
      <c r="D154" t="s">
        <v>141</v>
      </c>
      <c r="E154" t="s">
        <v>46</v>
      </c>
      <c r="F154" t="s">
        <v>70</v>
      </c>
      <c r="G154" t="s">
        <v>67</v>
      </c>
      <c r="H154" t="s">
        <v>27</v>
      </c>
      <c r="I154" t="str">
        <f>IF('Cleaned Data'!H154="Emi","EMI",'Cleaned Data'!H154)</f>
        <v>Finance</v>
      </c>
      <c r="J154" t="s">
        <v>94</v>
      </c>
      <c r="K154" t="s">
        <v>203</v>
      </c>
      <c r="L154">
        <v>1</v>
      </c>
      <c r="M154" s="9">
        <v>145813</v>
      </c>
      <c r="N154" s="4">
        <v>3.9E-2</v>
      </c>
      <c r="O154" s="4">
        <f t="shared" si="2"/>
        <v>3.9E-2</v>
      </c>
      <c r="P154" s="11">
        <v>145813</v>
      </c>
      <c r="Q154" s="9">
        <v>5686.71</v>
      </c>
      <c r="R154" s="9">
        <v>140126.29</v>
      </c>
      <c r="S154">
        <v>3</v>
      </c>
      <c r="T154">
        <v>167</v>
      </c>
      <c r="U154">
        <v>4</v>
      </c>
      <c r="V154">
        <v>13</v>
      </c>
      <c r="W154">
        <f>IF('Cleaned Data'!V154&lt;0,"Review",'Cleaned Data'!V154)</f>
        <v>13</v>
      </c>
      <c r="X154">
        <v>2</v>
      </c>
      <c r="Y154" s="7">
        <f>IFERROR('Cleaned Data'!R154/'Cleaned Data'!L154,0)</f>
        <v>140126.29</v>
      </c>
      <c r="Z154" t="str">
        <f>TEXT(EV_Sales[[#This Row],[Order_Date]],"mmm-yyyy")</f>
        <v>Mar-2025</v>
      </c>
      <c r="AA154">
        <f>MONTH(EV_Sales[[#This Row],[Order_Date]])</f>
        <v>3</v>
      </c>
      <c r="AB154" s="12" t="str">
        <f>"Q"&amp;ROUNDUP(MONTH(EV_Sales[[#This Row],[Order_Date]])/3,0)</f>
        <v>Q1</v>
      </c>
    </row>
    <row r="155" spans="1:28" x14ac:dyDescent="0.3">
      <c r="A155" t="s">
        <v>260</v>
      </c>
      <c r="B155" s="2">
        <v>45984</v>
      </c>
      <c r="C155" t="s">
        <v>22</v>
      </c>
      <c r="D155" t="s">
        <v>23</v>
      </c>
      <c r="E155" t="s">
        <v>46</v>
      </c>
      <c r="F155" t="s">
        <v>74</v>
      </c>
      <c r="G155" t="s">
        <v>26</v>
      </c>
      <c r="H155" t="s">
        <v>27</v>
      </c>
      <c r="I155" t="str">
        <f>IF('Cleaned Data'!H155="Emi","EMI",'Cleaned Data'!H155)</f>
        <v>Finance</v>
      </c>
      <c r="J155" t="s">
        <v>28</v>
      </c>
      <c r="K155" t="s">
        <v>216</v>
      </c>
      <c r="L155">
        <v>2</v>
      </c>
      <c r="M155" s="9">
        <v>121957</v>
      </c>
      <c r="N155" s="4">
        <v>0.11799999999999999</v>
      </c>
      <c r="O155" s="4">
        <f t="shared" si="2"/>
        <v>0.11799999999999999</v>
      </c>
      <c r="P155" s="11">
        <v>243914</v>
      </c>
      <c r="Q155" s="9">
        <v>28781.85</v>
      </c>
      <c r="R155" s="9">
        <v>215132.15</v>
      </c>
      <c r="S155">
        <v>3</v>
      </c>
      <c r="T155">
        <v>176</v>
      </c>
      <c r="U155">
        <v>3.1</v>
      </c>
      <c r="V155">
        <v>8</v>
      </c>
      <c r="W155">
        <f>IF('Cleaned Data'!V155&lt;0,"Review",'Cleaned Data'!V155)</f>
        <v>8</v>
      </c>
      <c r="X155">
        <v>3</v>
      </c>
      <c r="Y155" s="7">
        <f>IFERROR('Cleaned Data'!R155/'Cleaned Data'!L155,0)</f>
        <v>107566.075</v>
      </c>
      <c r="Z155" t="str">
        <f>TEXT(EV_Sales[[#This Row],[Order_Date]],"mmm-yyyy")</f>
        <v>Nov-2025</v>
      </c>
      <c r="AA155">
        <f>MONTH(EV_Sales[[#This Row],[Order_Date]])</f>
        <v>11</v>
      </c>
      <c r="AB155" s="12" t="str">
        <f>"Q"&amp;ROUNDUP(MONTH(EV_Sales[[#This Row],[Order_Date]])/3,0)</f>
        <v>Q4</v>
      </c>
    </row>
    <row r="156" spans="1:28" x14ac:dyDescent="0.3">
      <c r="A156" t="s">
        <v>261</v>
      </c>
      <c r="B156" s="2">
        <v>45987</v>
      </c>
      <c r="C156" t="s">
        <v>99</v>
      </c>
      <c r="D156" t="s">
        <v>141</v>
      </c>
      <c r="E156" t="s">
        <v>24</v>
      </c>
      <c r="F156" t="s">
        <v>52</v>
      </c>
      <c r="G156" t="s">
        <v>56</v>
      </c>
      <c r="H156" t="s">
        <v>27</v>
      </c>
      <c r="I156" t="str">
        <f>IF('Cleaned Data'!H156="Emi","EMI",'Cleaned Data'!H156)</f>
        <v>Finance</v>
      </c>
      <c r="J156" t="s">
        <v>36</v>
      </c>
      <c r="K156" t="s">
        <v>58</v>
      </c>
      <c r="L156">
        <v>1</v>
      </c>
      <c r="M156" s="9">
        <v>150135</v>
      </c>
      <c r="N156" s="4">
        <v>0.105</v>
      </c>
      <c r="O156" s="4">
        <f t="shared" si="2"/>
        <v>0.105</v>
      </c>
      <c r="P156" s="11">
        <v>150135</v>
      </c>
      <c r="Q156" s="9">
        <v>15764.17</v>
      </c>
      <c r="R156" s="9">
        <v>134370.82999999999</v>
      </c>
      <c r="S156">
        <v>4</v>
      </c>
      <c r="T156">
        <v>153</v>
      </c>
      <c r="U156">
        <v>3.6</v>
      </c>
      <c r="V156">
        <v>14</v>
      </c>
      <c r="W156">
        <f>IF('Cleaned Data'!V156&lt;0,"Review",'Cleaned Data'!V156)</f>
        <v>14</v>
      </c>
      <c r="X156">
        <v>5</v>
      </c>
      <c r="Y156" s="7">
        <f>IFERROR('Cleaned Data'!R156/'Cleaned Data'!L156,0)</f>
        <v>134370.82999999999</v>
      </c>
      <c r="Z156" t="str">
        <f>TEXT(EV_Sales[[#This Row],[Order_Date]],"mmm-yyyy")</f>
        <v>Nov-2025</v>
      </c>
      <c r="AA156">
        <f>MONTH(EV_Sales[[#This Row],[Order_Date]])</f>
        <v>11</v>
      </c>
      <c r="AB156" s="12" t="str">
        <f>"Q"&amp;ROUNDUP(MONTH(EV_Sales[[#This Row],[Order_Date]])/3,0)</f>
        <v>Q4</v>
      </c>
    </row>
    <row r="157" spans="1:28" x14ac:dyDescent="0.3">
      <c r="A157" t="s">
        <v>262</v>
      </c>
      <c r="B157" s="2">
        <v>45849</v>
      </c>
      <c r="C157" t="s">
        <v>99</v>
      </c>
      <c r="D157" t="s">
        <v>121</v>
      </c>
      <c r="E157" t="s">
        <v>62</v>
      </c>
      <c r="F157" t="s">
        <v>52</v>
      </c>
      <c r="G157" t="s">
        <v>34</v>
      </c>
      <c r="H157" t="s">
        <v>53</v>
      </c>
      <c r="I157" t="str">
        <f>IF('Cleaned Data'!H157="Emi","EMI",'Cleaned Data'!H157)</f>
        <v>Cash</v>
      </c>
      <c r="J157" t="s">
        <v>28</v>
      </c>
      <c r="K157" t="s">
        <v>81</v>
      </c>
      <c r="L157">
        <v>3</v>
      </c>
      <c r="M157" s="9">
        <v>106009</v>
      </c>
      <c r="N157" s="4">
        <v>5.3999999999999999E-2</v>
      </c>
      <c r="O157" s="4">
        <f t="shared" si="2"/>
        <v>5.3999999999999999E-2</v>
      </c>
      <c r="P157" s="11">
        <v>318027</v>
      </c>
      <c r="Q157" s="9">
        <v>17173.46</v>
      </c>
      <c r="R157" s="9">
        <v>300853.53999999998</v>
      </c>
      <c r="S157">
        <v>5</v>
      </c>
      <c r="T157">
        <v>218</v>
      </c>
      <c r="U157">
        <v>4.2</v>
      </c>
      <c r="V157">
        <v>5</v>
      </c>
      <c r="W157">
        <f>IF('Cleaned Data'!V157&lt;0,"Review",'Cleaned Data'!V157)</f>
        <v>5</v>
      </c>
      <c r="X157">
        <v>3</v>
      </c>
      <c r="Y157" s="7">
        <f>IFERROR('Cleaned Data'!R157/'Cleaned Data'!L157,0)</f>
        <v>100284.51333333332</v>
      </c>
      <c r="Z157" t="str">
        <f>TEXT(EV_Sales[[#This Row],[Order_Date]],"mmm-yyyy")</f>
        <v>Jul-2025</v>
      </c>
      <c r="AA157">
        <f>MONTH(EV_Sales[[#This Row],[Order_Date]])</f>
        <v>7</v>
      </c>
      <c r="AB157" s="12" t="str">
        <f>"Q"&amp;ROUNDUP(MONTH(EV_Sales[[#This Row],[Order_Date]])/3,0)</f>
        <v>Q3</v>
      </c>
    </row>
    <row r="158" spans="1:28" x14ac:dyDescent="0.3">
      <c r="A158" t="s">
        <v>263</v>
      </c>
      <c r="B158" s="2">
        <v>45825</v>
      </c>
      <c r="C158" t="s">
        <v>44</v>
      </c>
      <c r="D158" t="s">
        <v>51</v>
      </c>
      <c r="E158" t="s">
        <v>62</v>
      </c>
      <c r="F158" t="s">
        <v>80</v>
      </c>
      <c r="G158" t="s">
        <v>56</v>
      </c>
      <c r="H158" t="s">
        <v>809</v>
      </c>
      <c r="I158" t="str">
        <f>IF('Cleaned Data'!H158="Emi","EMI",'Cleaned Data'!H158)</f>
        <v>EMI</v>
      </c>
      <c r="J158" t="s">
        <v>57</v>
      </c>
      <c r="K158" t="s">
        <v>58</v>
      </c>
      <c r="L158">
        <v>5</v>
      </c>
      <c r="M158" s="9">
        <v>125769</v>
      </c>
      <c r="N158" s="4">
        <v>2.3E-2</v>
      </c>
      <c r="O158" s="4">
        <f t="shared" si="2"/>
        <v>2.3E-2</v>
      </c>
      <c r="P158" s="11">
        <v>628845</v>
      </c>
      <c r="Q158" s="9">
        <v>14463.43</v>
      </c>
      <c r="R158" s="9">
        <v>614381.56999999995</v>
      </c>
      <c r="S158">
        <v>2</v>
      </c>
      <c r="T158">
        <v>156</v>
      </c>
      <c r="U158">
        <v>4.0999999999999996</v>
      </c>
      <c r="V158">
        <v>2</v>
      </c>
      <c r="W158">
        <f>IF('Cleaned Data'!V158&lt;0,"Review",'Cleaned Data'!V158)</f>
        <v>2</v>
      </c>
      <c r="X158">
        <v>3</v>
      </c>
      <c r="Y158" s="7">
        <f>IFERROR('Cleaned Data'!R158/'Cleaned Data'!L158,0)</f>
        <v>122876.31399999998</v>
      </c>
      <c r="Z158" t="str">
        <f>TEXT(EV_Sales[[#This Row],[Order_Date]],"mmm-yyyy")</f>
        <v>Jun-2025</v>
      </c>
      <c r="AA158">
        <f>MONTH(EV_Sales[[#This Row],[Order_Date]])</f>
        <v>6</v>
      </c>
      <c r="AB158" s="12" t="str">
        <f>"Q"&amp;ROUNDUP(MONTH(EV_Sales[[#This Row],[Order_Date]])/3,0)</f>
        <v>Q2</v>
      </c>
    </row>
    <row r="159" spans="1:28" x14ac:dyDescent="0.3">
      <c r="A159" t="s">
        <v>264</v>
      </c>
      <c r="B159" s="2">
        <v>45854</v>
      </c>
      <c r="C159" t="s">
        <v>99</v>
      </c>
      <c r="D159" t="s">
        <v>121</v>
      </c>
      <c r="E159" t="s">
        <v>46</v>
      </c>
      <c r="F159" t="s">
        <v>52</v>
      </c>
      <c r="G159" t="s">
        <v>26</v>
      </c>
      <c r="H159" t="s">
        <v>27</v>
      </c>
      <c r="I159" t="str">
        <f>IF('Cleaned Data'!H159="Emi","EMI",'Cleaned Data'!H159)</f>
        <v>Finance</v>
      </c>
      <c r="J159" t="s">
        <v>36</v>
      </c>
      <c r="K159" t="s">
        <v>81</v>
      </c>
      <c r="L159">
        <v>5</v>
      </c>
      <c r="M159" s="9">
        <v>101695</v>
      </c>
      <c r="N159" s="4">
        <v>7.1999999999999995E-2</v>
      </c>
      <c r="O159" s="4">
        <f t="shared" si="2"/>
        <v>7.1999999999999995E-2</v>
      </c>
      <c r="P159" s="11">
        <v>508475</v>
      </c>
      <c r="Q159" s="9">
        <v>36610.199999999997</v>
      </c>
      <c r="R159" s="9">
        <v>471864.8</v>
      </c>
      <c r="S159">
        <v>3</v>
      </c>
      <c r="T159">
        <v>168</v>
      </c>
      <c r="U159">
        <v>4.7</v>
      </c>
      <c r="V159">
        <v>6</v>
      </c>
      <c r="W159">
        <f>IF('Cleaned Data'!V159&lt;0,"Review",'Cleaned Data'!V159)</f>
        <v>6</v>
      </c>
      <c r="X159">
        <v>5</v>
      </c>
      <c r="Y159" s="7">
        <f>IFERROR('Cleaned Data'!R159/'Cleaned Data'!L159,0)</f>
        <v>94372.959999999992</v>
      </c>
      <c r="Z159" t="str">
        <f>TEXT(EV_Sales[[#This Row],[Order_Date]],"mmm-yyyy")</f>
        <v>Jul-2025</v>
      </c>
      <c r="AA159">
        <f>MONTH(EV_Sales[[#This Row],[Order_Date]])</f>
        <v>7</v>
      </c>
      <c r="AB159" s="12" t="str">
        <f>"Q"&amp;ROUNDUP(MONTH(EV_Sales[[#This Row],[Order_Date]])/3,0)</f>
        <v>Q3</v>
      </c>
    </row>
    <row r="160" spans="1:28" x14ac:dyDescent="0.3">
      <c r="A160" t="s">
        <v>265</v>
      </c>
      <c r="B160" s="2">
        <v>45920</v>
      </c>
      <c r="C160" t="s">
        <v>87</v>
      </c>
      <c r="D160" t="s">
        <v>88</v>
      </c>
      <c r="E160" t="s">
        <v>62</v>
      </c>
      <c r="F160" t="s">
        <v>25</v>
      </c>
      <c r="G160" t="s">
        <v>34</v>
      </c>
      <c r="H160" t="s">
        <v>27</v>
      </c>
      <c r="I160" t="str">
        <f>IF('Cleaned Data'!H160="Emi","EMI",'Cleaned Data'!H160)</f>
        <v>Finance</v>
      </c>
      <c r="J160" t="s">
        <v>28</v>
      </c>
      <c r="K160" t="s">
        <v>118</v>
      </c>
      <c r="L160">
        <v>2</v>
      </c>
      <c r="M160" s="9">
        <v>148625</v>
      </c>
      <c r="N160" s="4">
        <v>0.11</v>
      </c>
      <c r="O160" s="4">
        <f t="shared" si="2"/>
        <v>0.11</v>
      </c>
      <c r="P160" s="11">
        <v>297250</v>
      </c>
      <c r="Q160" s="9">
        <v>32697.5</v>
      </c>
      <c r="R160" s="9">
        <v>264552.5</v>
      </c>
      <c r="S160">
        <v>3</v>
      </c>
      <c r="T160">
        <v>194</v>
      </c>
      <c r="U160">
        <v>4.2</v>
      </c>
      <c r="V160">
        <v>8</v>
      </c>
      <c r="W160">
        <f>IF('Cleaned Data'!V160&lt;0,"Review",'Cleaned Data'!V160)</f>
        <v>8</v>
      </c>
      <c r="X160">
        <v>2</v>
      </c>
      <c r="Y160" s="7">
        <f>IFERROR('Cleaned Data'!R160/'Cleaned Data'!L160,0)</f>
        <v>132276.25</v>
      </c>
      <c r="Z160" t="str">
        <f>TEXT(EV_Sales[[#This Row],[Order_Date]],"mmm-yyyy")</f>
        <v>Sep-2025</v>
      </c>
      <c r="AA160">
        <f>MONTH(EV_Sales[[#This Row],[Order_Date]])</f>
        <v>9</v>
      </c>
      <c r="AB160" s="12" t="str">
        <f>"Q"&amp;ROUNDUP(MONTH(EV_Sales[[#This Row],[Order_Date]])/3,0)</f>
        <v>Q3</v>
      </c>
    </row>
    <row r="161" spans="1:28" x14ac:dyDescent="0.3">
      <c r="A161" t="s">
        <v>266</v>
      </c>
      <c r="B161" s="2">
        <v>45689</v>
      </c>
      <c r="C161" t="s">
        <v>87</v>
      </c>
      <c r="D161" t="s">
        <v>130</v>
      </c>
      <c r="E161" t="s">
        <v>24</v>
      </c>
      <c r="F161" t="s">
        <v>101</v>
      </c>
      <c r="G161" t="s">
        <v>56</v>
      </c>
      <c r="H161" t="s">
        <v>809</v>
      </c>
      <c r="I161" t="str">
        <f>IF('Cleaned Data'!H161="Emi","EMI",'Cleaned Data'!H161)</f>
        <v>EMI</v>
      </c>
      <c r="J161" t="s">
        <v>63</v>
      </c>
      <c r="K161" t="s">
        <v>131</v>
      </c>
      <c r="L161">
        <v>1</v>
      </c>
      <c r="M161" s="9">
        <v>114791</v>
      </c>
      <c r="N161" s="4">
        <v>5.1999999999999998E-2</v>
      </c>
      <c r="O161" s="4">
        <f t="shared" si="2"/>
        <v>5.1999999999999998E-2</v>
      </c>
      <c r="P161" s="11">
        <v>114791</v>
      </c>
      <c r="Q161" s="9">
        <v>5969.13</v>
      </c>
      <c r="R161" s="9">
        <v>108821.87</v>
      </c>
      <c r="S161">
        <v>5</v>
      </c>
      <c r="T161">
        <v>187</v>
      </c>
      <c r="U161">
        <v>4.0999999999999996</v>
      </c>
      <c r="V161">
        <v>14</v>
      </c>
      <c r="W161">
        <f>IF('Cleaned Data'!V161&lt;0,"Review",'Cleaned Data'!V161)</f>
        <v>14</v>
      </c>
      <c r="X161">
        <v>3</v>
      </c>
      <c r="Y161" s="7">
        <f>IFERROR('Cleaned Data'!R161/'Cleaned Data'!L161,0)</f>
        <v>108821.87</v>
      </c>
      <c r="Z161" t="str">
        <f>TEXT(EV_Sales[[#This Row],[Order_Date]],"mmm-yyyy")</f>
        <v>Feb-2025</v>
      </c>
      <c r="AA161">
        <f>MONTH(EV_Sales[[#This Row],[Order_Date]])</f>
        <v>2</v>
      </c>
      <c r="AB161" s="12" t="str">
        <f>"Q"&amp;ROUNDUP(MONTH(EV_Sales[[#This Row],[Order_Date]])/3,0)</f>
        <v>Q1</v>
      </c>
    </row>
    <row r="162" spans="1:28" x14ac:dyDescent="0.3">
      <c r="A162" t="s">
        <v>267</v>
      </c>
      <c r="B162" s="2">
        <v>46010</v>
      </c>
      <c r="C162" t="s">
        <v>76</v>
      </c>
      <c r="D162" t="s">
        <v>117</v>
      </c>
      <c r="E162" t="s">
        <v>46</v>
      </c>
      <c r="F162" t="s">
        <v>47</v>
      </c>
      <c r="G162" t="s">
        <v>56</v>
      </c>
      <c r="H162" t="s">
        <v>53</v>
      </c>
      <c r="I162" t="str">
        <f>IF('Cleaned Data'!H162="Emi","EMI",'Cleaned Data'!H162)</f>
        <v>Cash</v>
      </c>
      <c r="J162" t="s">
        <v>94</v>
      </c>
      <c r="K162" t="s">
        <v>85</v>
      </c>
      <c r="L162">
        <v>1</v>
      </c>
      <c r="M162" s="9">
        <v>142453</v>
      </c>
      <c r="N162" s="4">
        <v>4.1000000000000002E-2</v>
      </c>
      <c r="O162" s="4">
        <f t="shared" si="2"/>
        <v>4.1000000000000002E-2</v>
      </c>
      <c r="P162" s="11">
        <v>142453</v>
      </c>
      <c r="Q162" s="9">
        <v>5840.57</v>
      </c>
      <c r="R162" s="9">
        <v>136612.43</v>
      </c>
      <c r="S162">
        <v>3</v>
      </c>
      <c r="T162">
        <v>169</v>
      </c>
      <c r="U162">
        <v>4</v>
      </c>
      <c r="V162">
        <v>7</v>
      </c>
      <c r="W162">
        <f>IF('Cleaned Data'!V162&lt;0,"Review",'Cleaned Data'!V162)</f>
        <v>7</v>
      </c>
      <c r="X162">
        <v>5</v>
      </c>
      <c r="Y162" s="7">
        <f>IFERROR('Cleaned Data'!R162/'Cleaned Data'!L162,0)</f>
        <v>136612.43</v>
      </c>
      <c r="Z162" t="str">
        <f>TEXT(EV_Sales[[#This Row],[Order_Date]],"mmm-yyyy")</f>
        <v>Dec-2025</v>
      </c>
      <c r="AA162">
        <f>MONTH(EV_Sales[[#This Row],[Order_Date]])</f>
        <v>12</v>
      </c>
      <c r="AB162" s="12" t="str">
        <f>"Q"&amp;ROUNDUP(MONTH(EV_Sales[[#This Row],[Order_Date]])/3,0)</f>
        <v>Q4</v>
      </c>
    </row>
    <row r="163" spans="1:28" x14ac:dyDescent="0.3">
      <c r="A163" t="s">
        <v>268</v>
      </c>
      <c r="B163" s="2">
        <v>45788</v>
      </c>
      <c r="C163" t="s">
        <v>99</v>
      </c>
      <c r="D163" t="s">
        <v>100</v>
      </c>
      <c r="E163" t="s">
        <v>46</v>
      </c>
      <c r="F163" t="s">
        <v>33</v>
      </c>
      <c r="G163" t="s">
        <v>56</v>
      </c>
      <c r="H163" t="s">
        <v>27</v>
      </c>
      <c r="I163" t="str">
        <f>IF('Cleaned Data'!H163="Emi","EMI",'Cleaned Data'!H163)</f>
        <v>Finance</v>
      </c>
      <c r="J163" t="s">
        <v>48</v>
      </c>
      <c r="K163" t="s">
        <v>138</v>
      </c>
      <c r="L163">
        <v>4</v>
      </c>
      <c r="M163" s="9">
        <v>116559</v>
      </c>
      <c r="N163" s="4"/>
      <c r="O163" s="4" t="str">
        <f t="shared" si="2"/>
        <v>missing</v>
      </c>
      <c r="P163" s="11">
        <v>466236</v>
      </c>
      <c r="Q163" s="9">
        <v>20514.38</v>
      </c>
      <c r="R163" s="9">
        <v>445721.62</v>
      </c>
      <c r="S163">
        <v>2</v>
      </c>
      <c r="T163">
        <v>148</v>
      </c>
      <c r="U163">
        <v>3.9</v>
      </c>
      <c r="V163">
        <v>4</v>
      </c>
      <c r="W163">
        <f>IF('Cleaned Data'!V163&lt;0,"Review",'Cleaned Data'!V163)</f>
        <v>4</v>
      </c>
      <c r="X163">
        <v>3</v>
      </c>
      <c r="Y163" s="7">
        <f>IFERROR('Cleaned Data'!R163/'Cleaned Data'!L163,0)</f>
        <v>111430.405</v>
      </c>
      <c r="Z163" t="str">
        <f>TEXT(EV_Sales[[#This Row],[Order_Date]],"mmm-yyyy")</f>
        <v>May-2025</v>
      </c>
      <c r="AA163">
        <f>MONTH(EV_Sales[[#This Row],[Order_Date]])</f>
        <v>5</v>
      </c>
      <c r="AB163" s="12" t="str">
        <f>"Q"&amp;ROUNDUP(MONTH(EV_Sales[[#This Row],[Order_Date]])/3,0)</f>
        <v>Q2</v>
      </c>
    </row>
    <row r="164" spans="1:28" x14ac:dyDescent="0.3">
      <c r="A164" t="s">
        <v>269</v>
      </c>
      <c r="B164" s="2">
        <v>45833</v>
      </c>
      <c r="C164" t="s">
        <v>76</v>
      </c>
      <c r="D164" t="s">
        <v>117</v>
      </c>
      <c r="E164" t="s">
        <v>62</v>
      </c>
      <c r="F164" t="s">
        <v>80</v>
      </c>
      <c r="G164" t="s">
        <v>67</v>
      </c>
      <c r="H164" t="s">
        <v>53</v>
      </c>
      <c r="I164" t="str">
        <f>IF('Cleaned Data'!H164="Emi","EMI",'Cleaned Data'!H164)</f>
        <v>Cash</v>
      </c>
      <c r="J164" t="s">
        <v>63</v>
      </c>
      <c r="K164" t="s">
        <v>203</v>
      </c>
      <c r="L164">
        <v>2</v>
      </c>
      <c r="M164" s="9">
        <v>140849</v>
      </c>
      <c r="N164" s="4">
        <v>0.10100000000000001</v>
      </c>
      <c r="O164" s="4">
        <f t="shared" si="2"/>
        <v>0.10100000000000001</v>
      </c>
      <c r="P164" s="11">
        <v>281698</v>
      </c>
      <c r="Q164" s="9">
        <v>28451.5</v>
      </c>
      <c r="R164" s="9">
        <v>253246.5</v>
      </c>
      <c r="S164">
        <v>5</v>
      </c>
      <c r="T164">
        <v>194</v>
      </c>
      <c r="U164">
        <v>4.2</v>
      </c>
      <c r="V164">
        <v>4</v>
      </c>
      <c r="W164">
        <f>IF('Cleaned Data'!V164&lt;0,"Review",'Cleaned Data'!V164)</f>
        <v>4</v>
      </c>
      <c r="X164">
        <v>5</v>
      </c>
      <c r="Y164" s="7">
        <f>IFERROR('Cleaned Data'!R164/'Cleaned Data'!L164,0)</f>
        <v>126623.25</v>
      </c>
      <c r="Z164" t="str">
        <f>TEXT(EV_Sales[[#This Row],[Order_Date]],"mmm-yyyy")</f>
        <v>Jun-2025</v>
      </c>
      <c r="AA164">
        <f>MONTH(EV_Sales[[#This Row],[Order_Date]])</f>
        <v>6</v>
      </c>
      <c r="AB164" s="12" t="str">
        <f>"Q"&amp;ROUNDUP(MONTH(EV_Sales[[#This Row],[Order_Date]])/3,0)</f>
        <v>Q2</v>
      </c>
    </row>
    <row r="165" spans="1:28" x14ac:dyDescent="0.3">
      <c r="A165" t="s">
        <v>270</v>
      </c>
      <c r="B165" s="2">
        <v>45960</v>
      </c>
      <c r="C165" t="s">
        <v>99</v>
      </c>
      <c r="D165" t="s">
        <v>141</v>
      </c>
      <c r="E165" t="s">
        <v>62</v>
      </c>
      <c r="F165" t="s">
        <v>70</v>
      </c>
      <c r="G165" t="s">
        <v>56</v>
      </c>
      <c r="H165" t="s">
        <v>53</v>
      </c>
      <c r="I165" t="str">
        <f>IF('Cleaned Data'!H165="Emi","EMI",'Cleaned Data'!H165)</f>
        <v>Cash</v>
      </c>
      <c r="J165" t="s">
        <v>48</v>
      </c>
      <c r="K165" t="s">
        <v>123</v>
      </c>
      <c r="L165">
        <v>1</v>
      </c>
      <c r="M165" s="9">
        <v>135767</v>
      </c>
      <c r="N165" s="4">
        <v>2.3E-2</v>
      </c>
      <c r="O165" s="4">
        <f t="shared" si="2"/>
        <v>2.3E-2</v>
      </c>
      <c r="P165" s="11">
        <v>135767</v>
      </c>
      <c r="Q165" s="9">
        <v>3122.64</v>
      </c>
      <c r="R165" s="9">
        <v>132644.35999999999</v>
      </c>
      <c r="S165">
        <v>3</v>
      </c>
      <c r="T165">
        <v>170</v>
      </c>
      <c r="U165">
        <v>4.2</v>
      </c>
      <c r="V165">
        <v>13</v>
      </c>
      <c r="W165">
        <f>IF('Cleaned Data'!V165&lt;0,"Review",'Cleaned Data'!V165)</f>
        <v>13</v>
      </c>
      <c r="X165">
        <v>2</v>
      </c>
      <c r="Y165" s="7">
        <f>IFERROR('Cleaned Data'!R165/'Cleaned Data'!L165,0)</f>
        <v>132644.35999999999</v>
      </c>
      <c r="Z165" t="str">
        <f>TEXT(EV_Sales[[#This Row],[Order_Date]],"mmm-yyyy")</f>
        <v>Oct-2025</v>
      </c>
      <c r="AA165">
        <f>MONTH(EV_Sales[[#This Row],[Order_Date]])</f>
        <v>10</v>
      </c>
      <c r="AB165" s="12" t="str">
        <f>"Q"&amp;ROUNDUP(MONTH(EV_Sales[[#This Row],[Order_Date]])/3,0)</f>
        <v>Q4</v>
      </c>
    </row>
    <row r="166" spans="1:28" x14ac:dyDescent="0.3">
      <c r="A166" t="s">
        <v>271</v>
      </c>
      <c r="B166" s="2">
        <v>45908</v>
      </c>
      <c r="C166" t="s">
        <v>76</v>
      </c>
      <c r="D166" t="s">
        <v>115</v>
      </c>
      <c r="E166" t="s">
        <v>24</v>
      </c>
      <c r="F166" t="s">
        <v>41</v>
      </c>
      <c r="G166" t="s">
        <v>67</v>
      </c>
      <c r="H166" t="s">
        <v>53</v>
      </c>
      <c r="I166" t="str">
        <f>IF('Cleaned Data'!H166="Emi","EMI",'Cleaned Data'!H166)</f>
        <v>Cash</v>
      </c>
      <c r="J166" t="s">
        <v>28</v>
      </c>
      <c r="K166" t="s">
        <v>157</v>
      </c>
      <c r="L166">
        <v>1</v>
      </c>
      <c r="M166" s="9">
        <v>125277</v>
      </c>
      <c r="N166" s="4">
        <v>5.8999999999999997E-2</v>
      </c>
      <c r="O166" s="4">
        <f t="shared" si="2"/>
        <v>5.8999999999999997E-2</v>
      </c>
      <c r="P166" s="11">
        <v>125277</v>
      </c>
      <c r="Q166" s="9">
        <v>7391.34</v>
      </c>
      <c r="R166" s="9">
        <v>117885.66</v>
      </c>
      <c r="S166">
        <v>3</v>
      </c>
      <c r="T166">
        <v>157</v>
      </c>
      <c r="U166">
        <v>3.5</v>
      </c>
      <c r="V166">
        <v>4</v>
      </c>
      <c r="W166">
        <f>IF('Cleaned Data'!V166&lt;0,"Review",'Cleaned Data'!V166)</f>
        <v>4</v>
      </c>
      <c r="X166">
        <v>5</v>
      </c>
      <c r="Y166" s="7">
        <f>IFERROR('Cleaned Data'!R166/'Cleaned Data'!L166,0)</f>
        <v>117885.66</v>
      </c>
      <c r="Z166" t="str">
        <f>TEXT(EV_Sales[[#This Row],[Order_Date]],"mmm-yyyy")</f>
        <v>Sep-2025</v>
      </c>
      <c r="AA166">
        <f>MONTH(EV_Sales[[#This Row],[Order_Date]])</f>
        <v>9</v>
      </c>
      <c r="AB166" s="12" t="str">
        <f>"Q"&amp;ROUNDUP(MONTH(EV_Sales[[#This Row],[Order_Date]])/3,0)</f>
        <v>Q3</v>
      </c>
    </row>
    <row r="167" spans="1:28" x14ac:dyDescent="0.3">
      <c r="A167" t="s">
        <v>272</v>
      </c>
      <c r="B167" s="2">
        <v>45807</v>
      </c>
      <c r="C167" t="s">
        <v>87</v>
      </c>
      <c r="D167" t="s">
        <v>130</v>
      </c>
      <c r="E167" t="s">
        <v>62</v>
      </c>
      <c r="F167" t="s">
        <v>41</v>
      </c>
      <c r="G167" t="s">
        <v>26</v>
      </c>
      <c r="H167" t="s">
        <v>27</v>
      </c>
      <c r="I167" t="str">
        <f>IF('Cleaned Data'!H167="Emi","EMI",'Cleaned Data'!H167)</f>
        <v>Finance</v>
      </c>
      <c r="J167" t="s">
        <v>94</v>
      </c>
      <c r="K167" t="s">
        <v>104</v>
      </c>
      <c r="L167">
        <v>4</v>
      </c>
      <c r="M167" s="9">
        <v>107900</v>
      </c>
      <c r="N167" s="4">
        <v>0.111</v>
      </c>
      <c r="O167" s="4">
        <f t="shared" si="2"/>
        <v>0.111</v>
      </c>
      <c r="P167" s="11">
        <v>431600</v>
      </c>
      <c r="Q167" s="9">
        <v>47907.6</v>
      </c>
      <c r="R167" s="9">
        <v>383692.4</v>
      </c>
      <c r="S167">
        <v>4</v>
      </c>
      <c r="T167">
        <v>192</v>
      </c>
      <c r="U167">
        <v>3.9</v>
      </c>
      <c r="V167">
        <v>13</v>
      </c>
      <c r="W167">
        <f>IF('Cleaned Data'!V167&lt;0,"Review",'Cleaned Data'!V167)</f>
        <v>13</v>
      </c>
      <c r="X167">
        <v>5</v>
      </c>
      <c r="Y167" s="7">
        <f>IFERROR('Cleaned Data'!R167/'Cleaned Data'!L167,0)</f>
        <v>95923.1</v>
      </c>
      <c r="Z167" t="str">
        <f>TEXT(EV_Sales[[#This Row],[Order_Date]],"mmm-yyyy")</f>
        <v>May-2025</v>
      </c>
      <c r="AA167">
        <f>MONTH(EV_Sales[[#This Row],[Order_Date]])</f>
        <v>5</v>
      </c>
      <c r="AB167" s="12" t="str">
        <f>"Q"&amp;ROUNDUP(MONTH(EV_Sales[[#This Row],[Order_Date]])/3,0)</f>
        <v>Q2</v>
      </c>
    </row>
    <row r="168" spans="1:28" x14ac:dyDescent="0.3">
      <c r="A168" t="s">
        <v>273</v>
      </c>
      <c r="B168" s="2">
        <v>45943</v>
      </c>
      <c r="C168" t="s">
        <v>44</v>
      </c>
      <c r="D168" t="s">
        <v>51</v>
      </c>
      <c r="E168" t="s">
        <v>46</v>
      </c>
      <c r="F168" t="s">
        <v>80</v>
      </c>
      <c r="G168" t="s">
        <v>67</v>
      </c>
      <c r="H168" t="s">
        <v>809</v>
      </c>
      <c r="I168" t="str">
        <f>IF('Cleaned Data'!H168="Emi","EMI",'Cleaned Data'!H168)</f>
        <v>EMI</v>
      </c>
      <c r="J168" t="s">
        <v>94</v>
      </c>
      <c r="K168" t="s">
        <v>49</v>
      </c>
      <c r="L168">
        <v>1</v>
      </c>
      <c r="M168" s="9">
        <v>122328</v>
      </c>
      <c r="N168" s="4">
        <v>4.8000000000000001E-2</v>
      </c>
      <c r="O168" s="4">
        <f t="shared" si="2"/>
        <v>4.8000000000000001E-2</v>
      </c>
      <c r="P168" s="11">
        <v>122328</v>
      </c>
      <c r="Q168" s="9">
        <v>5871.74</v>
      </c>
      <c r="R168" s="9">
        <v>116456.26</v>
      </c>
      <c r="S168">
        <v>4</v>
      </c>
      <c r="T168">
        <v>189</v>
      </c>
      <c r="U168">
        <v>4.8</v>
      </c>
      <c r="V168">
        <v>12</v>
      </c>
      <c r="W168">
        <f>IF('Cleaned Data'!V168&lt;0,"Review",'Cleaned Data'!V168)</f>
        <v>12</v>
      </c>
      <c r="X168">
        <v>3</v>
      </c>
      <c r="Y168" s="7">
        <f>IFERROR('Cleaned Data'!R168/'Cleaned Data'!L168,0)</f>
        <v>116456.26</v>
      </c>
      <c r="Z168" t="str">
        <f>TEXT(EV_Sales[[#This Row],[Order_Date]],"mmm-yyyy")</f>
        <v>Oct-2025</v>
      </c>
      <c r="AA168">
        <f>MONTH(EV_Sales[[#This Row],[Order_Date]])</f>
        <v>10</v>
      </c>
      <c r="AB168" s="12" t="str">
        <f>"Q"&amp;ROUNDUP(MONTH(EV_Sales[[#This Row],[Order_Date]])/3,0)</f>
        <v>Q4</v>
      </c>
    </row>
    <row r="169" spans="1:28" x14ac:dyDescent="0.3">
      <c r="A169" t="s">
        <v>274</v>
      </c>
      <c r="B169" s="2">
        <v>45925</v>
      </c>
      <c r="C169" t="s">
        <v>76</v>
      </c>
      <c r="D169" t="s">
        <v>115</v>
      </c>
      <c r="E169" t="s">
        <v>46</v>
      </c>
      <c r="F169" t="s">
        <v>70</v>
      </c>
      <c r="G169" t="s">
        <v>34</v>
      </c>
      <c r="H169" t="s">
        <v>809</v>
      </c>
      <c r="I169" t="str">
        <f>IF('Cleaned Data'!H169="Emi","EMI",'Cleaned Data'!H169)</f>
        <v>EMI</v>
      </c>
      <c r="J169" t="s">
        <v>57</v>
      </c>
      <c r="K169" t="s">
        <v>29</v>
      </c>
      <c r="L169">
        <v>2</v>
      </c>
      <c r="M169" s="9">
        <v>140316</v>
      </c>
      <c r="N169" s="4">
        <v>0.106</v>
      </c>
      <c r="O169" s="4">
        <f t="shared" si="2"/>
        <v>0.106</v>
      </c>
      <c r="P169" s="11">
        <v>280632</v>
      </c>
      <c r="Q169" s="9">
        <v>29746.99</v>
      </c>
      <c r="R169" s="9">
        <v>250885.01</v>
      </c>
      <c r="S169">
        <v>4</v>
      </c>
      <c r="T169">
        <v>170</v>
      </c>
      <c r="U169">
        <v>4.2</v>
      </c>
      <c r="V169">
        <v>14</v>
      </c>
      <c r="W169">
        <f>IF('Cleaned Data'!V169&lt;0,"Review",'Cleaned Data'!V169)</f>
        <v>14</v>
      </c>
      <c r="X169">
        <v>2</v>
      </c>
      <c r="Y169" s="7">
        <f>IFERROR('Cleaned Data'!R169/'Cleaned Data'!L169,0)</f>
        <v>125442.505</v>
      </c>
      <c r="Z169" t="str">
        <f>TEXT(EV_Sales[[#This Row],[Order_Date]],"mmm-yyyy")</f>
        <v>Sep-2025</v>
      </c>
      <c r="AA169">
        <f>MONTH(EV_Sales[[#This Row],[Order_Date]])</f>
        <v>9</v>
      </c>
      <c r="AB169" s="12" t="str">
        <f>"Q"&amp;ROUNDUP(MONTH(EV_Sales[[#This Row],[Order_Date]])/3,0)</f>
        <v>Q3</v>
      </c>
    </row>
    <row r="170" spans="1:28" x14ac:dyDescent="0.3">
      <c r="A170" t="s">
        <v>275</v>
      </c>
      <c r="B170" s="2">
        <v>45722</v>
      </c>
      <c r="C170" t="s">
        <v>31</v>
      </c>
      <c r="D170" t="s">
        <v>32</v>
      </c>
      <c r="E170" t="s">
        <v>46</v>
      </c>
      <c r="F170" t="s">
        <v>80</v>
      </c>
      <c r="G170" t="s">
        <v>34</v>
      </c>
      <c r="H170" t="s">
        <v>53</v>
      </c>
      <c r="I170" t="str">
        <f>IF('Cleaned Data'!H170="Emi","EMI",'Cleaned Data'!H170)</f>
        <v>Cash</v>
      </c>
      <c r="J170" t="s">
        <v>63</v>
      </c>
      <c r="K170" t="s">
        <v>216</v>
      </c>
      <c r="L170">
        <v>1</v>
      </c>
      <c r="M170" s="9">
        <v>114094</v>
      </c>
      <c r="N170" s="4">
        <v>2.8000000000000001E-2</v>
      </c>
      <c r="O170" s="4">
        <f t="shared" si="2"/>
        <v>2.8000000000000001E-2</v>
      </c>
      <c r="P170" s="11">
        <v>114094</v>
      </c>
      <c r="Q170" s="9">
        <v>3194.63</v>
      </c>
      <c r="R170" s="9">
        <v>110899.37</v>
      </c>
      <c r="S170">
        <v>5</v>
      </c>
      <c r="T170">
        <v>186</v>
      </c>
      <c r="U170" t="s">
        <v>812</v>
      </c>
      <c r="V170">
        <v>4</v>
      </c>
      <c r="W170">
        <f>IF('Cleaned Data'!V170&lt;0,"Review",'Cleaned Data'!V170)</f>
        <v>4</v>
      </c>
      <c r="X170">
        <v>3</v>
      </c>
      <c r="Y170" s="7">
        <f>IFERROR('Cleaned Data'!R170/'Cleaned Data'!L170,0)</f>
        <v>110899.37</v>
      </c>
      <c r="Z170" t="str">
        <f>TEXT(EV_Sales[[#This Row],[Order_Date]],"mmm-yyyy")</f>
        <v>Mar-2025</v>
      </c>
      <c r="AA170">
        <f>MONTH(EV_Sales[[#This Row],[Order_Date]])</f>
        <v>3</v>
      </c>
      <c r="AB170" s="12" t="str">
        <f>"Q"&amp;ROUNDUP(MONTH(EV_Sales[[#This Row],[Order_Date]])/3,0)</f>
        <v>Q1</v>
      </c>
    </row>
    <row r="171" spans="1:28" x14ac:dyDescent="0.3">
      <c r="A171" t="s">
        <v>276</v>
      </c>
      <c r="B171" s="2">
        <v>45814</v>
      </c>
      <c r="C171" t="s">
        <v>44</v>
      </c>
      <c r="D171" t="s">
        <v>45</v>
      </c>
      <c r="E171" t="s">
        <v>46</v>
      </c>
      <c r="F171" t="s">
        <v>74</v>
      </c>
      <c r="G171" t="s">
        <v>34</v>
      </c>
      <c r="H171" t="s">
        <v>809</v>
      </c>
      <c r="I171" t="str">
        <f>IF('Cleaned Data'!H171="Emi","EMI",'Cleaned Data'!H171)</f>
        <v>EMI</v>
      </c>
      <c r="J171" t="s">
        <v>28</v>
      </c>
      <c r="K171" t="s">
        <v>216</v>
      </c>
      <c r="L171">
        <v>2</v>
      </c>
      <c r="M171" s="9">
        <v>155204</v>
      </c>
      <c r="N171" s="4">
        <v>3.3000000000000002E-2</v>
      </c>
      <c r="O171" s="4">
        <f t="shared" si="2"/>
        <v>3.3000000000000002E-2</v>
      </c>
      <c r="P171" s="11">
        <v>310408</v>
      </c>
      <c r="Q171" s="9">
        <v>10243.459999999999</v>
      </c>
      <c r="R171" s="9">
        <v>300164.53999999998</v>
      </c>
      <c r="S171">
        <v>3</v>
      </c>
      <c r="T171">
        <v>153</v>
      </c>
      <c r="U171">
        <v>3.7</v>
      </c>
      <c r="V171">
        <v>12</v>
      </c>
      <c r="W171">
        <f>IF('Cleaned Data'!V171&lt;0,"Review",'Cleaned Data'!V171)</f>
        <v>12</v>
      </c>
      <c r="X171">
        <v>5</v>
      </c>
      <c r="Y171" s="7">
        <f>IFERROR('Cleaned Data'!R171/'Cleaned Data'!L171,0)</f>
        <v>150082.26999999999</v>
      </c>
      <c r="Z171" t="str">
        <f>TEXT(EV_Sales[[#This Row],[Order_Date]],"mmm-yyyy")</f>
        <v>Jun-2025</v>
      </c>
      <c r="AA171">
        <f>MONTH(EV_Sales[[#This Row],[Order_Date]])</f>
        <v>6</v>
      </c>
      <c r="AB171" s="12" t="str">
        <f>"Q"&amp;ROUNDUP(MONTH(EV_Sales[[#This Row],[Order_Date]])/3,0)</f>
        <v>Q2</v>
      </c>
    </row>
    <row r="172" spans="1:28" x14ac:dyDescent="0.3">
      <c r="A172" t="s">
        <v>277</v>
      </c>
      <c r="B172" s="2">
        <v>45867</v>
      </c>
      <c r="C172" t="s">
        <v>87</v>
      </c>
      <c r="D172" t="s">
        <v>130</v>
      </c>
      <c r="E172" t="s">
        <v>62</v>
      </c>
      <c r="F172" t="s">
        <v>41</v>
      </c>
      <c r="G172" t="s">
        <v>34</v>
      </c>
      <c r="H172" t="s">
        <v>53</v>
      </c>
      <c r="I172" t="str">
        <f>IF('Cleaned Data'!H172="Emi","EMI",'Cleaned Data'!H172)</f>
        <v>Cash</v>
      </c>
      <c r="J172" t="s">
        <v>94</v>
      </c>
      <c r="K172" t="s">
        <v>104</v>
      </c>
      <c r="L172">
        <v>1</v>
      </c>
      <c r="M172" s="9">
        <v>110676</v>
      </c>
      <c r="N172" s="4">
        <v>2.5000000000000001E-2</v>
      </c>
      <c r="O172" s="4">
        <f t="shared" si="2"/>
        <v>2.5000000000000001E-2</v>
      </c>
      <c r="P172" s="11">
        <v>110676</v>
      </c>
      <c r="Q172" s="9">
        <v>2766.9</v>
      </c>
      <c r="R172" s="9">
        <v>107909.1</v>
      </c>
      <c r="S172">
        <v>3</v>
      </c>
      <c r="T172">
        <v>161</v>
      </c>
      <c r="U172">
        <v>3.2</v>
      </c>
      <c r="V172">
        <v>9</v>
      </c>
      <c r="W172">
        <f>IF('Cleaned Data'!V172&lt;0,"Review",'Cleaned Data'!V172)</f>
        <v>9</v>
      </c>
      <c r="X172">
        <v>3</v>
      </c>
      <c r="Y172" s="7">
        <f>IFERROR('Cleaned Data'!R172/'Cleaned Data'!L172,0)</f>
        <v>107909.1</v>
      </c>
      <c r="Z172" t="str">
        <f>TEXT(EV_Sales[[#This Row],[Order_Date]],"mmm-yyyy")</f>
        <v>Jul-2025</v>
      </c>
      <c r="AA172">
        <f>MONTH(EV_Sales[[#This Row],[Order_Date]])</f>
        <v>7</v>
      </c>
      <c r="AB172" s="12" t="str">
        <f>"Q"&amp;ROUNDUP(MONTH(EV_Sales[[#This Row],[Order_Date]])/3,0)</f>
        <v>Q3</v>
      </c>
    </row>
    <row r="173" spans="1:28" x14ac:dyDescent="0.3">
      <c r="A173" t="s">
        <v>278</v>
      </c>
      <c r="B173" s="2">
        <v>45959</v>
      </c>
      <c r="C173" t="s">
        <v>87</v>
      </c>
      <c r="D173" t="s">
        <v>130</v>
      </c>
      <c r="E173" t="s">
        <v>24</v>
      </c>
      <c r="F173" t="s">
        <v>70</v>
      </c>
      <c r="G173" t="s">
        <v>67</v>
      </c>
      <c r="H173" t="s">
        <v>53</v>
      </c>
      <c r="I173" t="str">
        <f>IF('Cleaned Data'!H173="Emi","EMI",'Cleaned Data'!H173)</f>
        <v>Cash</v>
      </c>
      <c r="J173" t="s">
        <v>57</v>
      </c>
      <c r="K173" t="s">
        <v>148</v>
      </c>
      <c r="L173">
        <v>1</v>
      </c>
      <c r="M173" s="9">
        <v>116233</v>
      </c>
      <c r="N173" s="4">
        <v>0.104</v>
      </c>
      <c r="O173" s="4">
        <f t="shared" si="2"/>
        <v>0.104</v>
      </c>
      <c r="P173" s="11">
        <v>116233</v>
      </c>
      <c r="Q173" s="9">
        <v>12088.23</v>
      </c>
      <c r="R173" s="9">
        <v>104144.77</v>
      </c>
      <c r="S173">
        <v>3</v>
      </c>
      <c r="T173">
        <v>135</v>
      </c>
      <c r="U173">
        <v>3.5</v>
      </c>
      <c r="V173">
        <v>11</v>
      </c>
      <c r="W173">
        <f>IF('Cleaned Data'!V173&lt;0,"Review",'Cleaned Data'!V173)</f>
        <v>11</v>
      </c>
      <c r="X173">
        <v>5</v>
      </c>
      <c r="Y173" s="7">
        <f>IFERROR('Cleaned Data'!R173/'Cleaned Data'!L173,0)</f>
        <v>104144.77</v>
      </c>
      <c r="Z173" t="str">
        <f>TEXT(EV_Sales[[#This Row],[Order_Date]],"mmm-yyyy")</f>
        <v>Oct-2025</v>
      </c>
      <c r="AA173">
        <f>MONTH(EV_Sales[[#This Row],[Order_Date]])</f>
        <v>10</v>
      </c>
      <c r="AB173" s="12" t="str">
        <f>"Q"&amp;ROUNDUP(MONTH(EV_Sales[[#This Row],[Order_Date]])/3,0)</f>
        <v>Q4</v>
      </c>
    </row>
    <row r="174" spans="1:28" x14ac:dyDescent="0.3">
      <c r="A174" t="s">
        <v>279</v>
      </c>
      <c r="B174" s="2">
        <v>45964</v>
      </c>
      <c r="C174" t="s">
        <v>76</v>
      </c>
      <c r="D174" t="s">
        <v>77</v>
      </c>
      <c r="E174" t="s">
        <v>62</v>
      </c>
      <c r="F174" t="s">
        <v>52</v>
      </c>
      <c r="G174" t="s">
        <v>34</v>
      </c>
      <c r="H174" t="s">
        <v>53</v>
      </c>
      <c r="I174" t="str">
        <f>IF('Cleaned Data'!H174="Emi","EMI",'Cleaned Data'!H174)</f>
        <v>Cash</v>
      </c>
      <c r="J174" t="s">
        <v>94</v>
      </c>
      <c r="K174" t="s">
        <v>102</v>
      </c>
      <c r="L174">
        <v>4</v>
      </c>
      <c r="M174" s="9">
        <v>147968</v>
      </c>
      <c r="N174" s="4">
        <v>2.3E-2</v>
      </c>
      <c r="O174" s="4">
        <f t="shared" si="2"/>
        <v>2.3E-2</v>
      </c>
      <c r="P174" s="11">
        <v>591872</v>
      </c>
      <c r="Q174" s="9">
        <v>13613.06</v>
      </c>
      <c r="R174" s="9">
        <v>578258.93999999994</v>
      </c>
      <c r="S174">
        <v>4</v>
      </c>
      <c r="T174">
        <v>181</v>
      </c>
      <c r="U174">
        <v>3.8</v>
      </c>
      <c r="V174">
        <v>14</v>
      </c>
      <c r="W174">
        <f>IF('Cleaned Data'!V174&lt;0,"Review",'Cleaned Data'!V174)</f>
        <v>14</v>
      </c>
      <c r="X174">
        <v>2</v>
      </c>
      <c r="Y174" s="7">
        <f>IFERROR('Cleaned Data'!R174/'Cleaned Data'!L174,0)</f>
        <v>144564.73499999999</v>
      </c>
      <c r="Z174" t="str">
        <f>TEXT(EV_Sales[[#This Row],[Order_Date]],"mmm-yyyy")</f>
        <v>Nov-2025</v>
      </c>
      <c r="AA174">
        <f>MONTH(EV_Sales[[#This Row],[Order_Date]])</f>
        <v>11</v>
      </c>
      <c r="AB174" s="12" t="str">
        <f>"Q"&amp;ROUNDUP(MONTH(EV_Sales[[#This Row],[Order_Date]])/3,0)</f>
        <v>Q4</v>
      </c>
    </row>
    <row r="175" spans="1:28" x14ac:dyDescent="0.3">
      <c r="A175" t="s">
        <v>280</v>
      </c>
      <c r="B175" s="2">
        <v>45897</v>
      </c>
      <c r="C175" t="s">
        <v>44</v>
      </c>
      <c r="D175" t="s">
        <v>45</v>
      </c>
      <c r="E175" t="s">
        <v>24</v>
      </c>
      <c r="F175" t="s">
        <v>47</v>
      </c>
      <c r="G175" t="s">
        <v>26</v>
      </c>
      <c r="H175" t="s">
        <v>27</v>
      </c>
      <c r="I175" t="str">
        <f>IF('Cleaned Data'!H175="Emi","EMI",'Cleaned Data'!H175)</f>
        <v>Finance</v>
      </c>
      <c r="J175" t="s">
        <v>57</v>
      </c>
      <c r="K175" t="s">
        <v>203</v>
      </c>
      <c r="L175">
        <v>1</v>
      </c>
      <c r="M175" s="9">
        <v>156087</v>
      </c>
      <c r="N175" s="4">
        <v>0.115</v>
      </c>
      <c r="O175" s="4">
        <f t="shared" si="2"/>
        <v>0.115</v>
      </c>
      <c r="P175" s="11">
        <v>156087</v>
      </c>
      <c r="Q175" s="9">
        <v>17950.009999999998</v>
      </c>
      <c r="R175" s="9">
        <v>138136.99</v>
      </c>
      <c r="S175">
        <v>4</v>
      </c>
      <c r="T175">
        <v>191</v>
      </c>
      <c r="U175">
        <v>4.3</v>
      </c>
      <c r="V175">
        <v>2</v>
      </c>
      <c r="W175">
        <f>IF('Cleaned Data'!V175&lt;0,"Review",'Cleaned Data'!V175)</f>
        <v>2</v>
      </c>
      <c r="X175">
        <v>5</v>
      </c>
      <c r="Y175" s="7">
        <f>IFERROR('Cleaned Data'!R175/'Cleaned Data'!L175,0)</f>
        <v>138136.99</v>
      </c>
      <c r="Z175" t="str">
        <f>TEXT(EV_Sales[[#This Row],[Order_Date]],"mmm-yyyy")</f>
        <v>Aug-2025</v>
      </c>
      <c r="AA175">
        <f>MONTH(EV_Sales[[#This Row],[Order_Date]])</f>
        <v>8</v>
      </c>
      <c r="AB175" s="12" t="str">
        <f>"Q"&amp;ROUNDUP(MONTH(EV_Sales[[#This Row],[Order_Date]])/3,0)</f>
        <v>Q3</v>
      </c>
    </row>
    <row r="176" spans="1:28" x14ac:dyDescent="0.3">
      <c r="A176" t="s">
        <v>281</v>
      </c>
      <c r="B176" s="2">
        <v>45804</v>
      </c>
      <c r="C176" t="s">
        <v>99</v>
      </c>
      <c r="D176" t="s">
        <v>141</v>
      </c>
      <c r="E176" t="s">
        <v>46</v>
      </c>
      <c r="F176" t="s">
        <v>70</v>
      </c>
      <c r="G176" t="s">
        <v>26</v>
      </c>
      <c r="H176" t="s">
        <v>27</v>
      </c>
      <c r="I176" t="str">
        <f>IF('Cleaned Data'!H176="Emi","EMI",'Cleaned Data'!H176)</f>
        <v>Finance</v>
      </c>
      <c r="J176" t="s">
        <v>63</v>
      </c>
      <c r="K176" t="s">
        <v>138</v>
      </c>
      <c r="L176">
        <v>2</v>
      </c>
      <c r="M176" s="9">
        <v>142371</v>
      </c>
      <c r="N176" s="4">
        <v>0.11</v>
      </c>
      <c r="O176" s="4">
        <f t="shared" si="2"/>
        <v>0.11</v>
      </c>
      <c r="P176" s="11">
        <v>284742</v>
      </c>
      <c r="Q176" s="9">
        <v>31321.62</v>
      </c>
      <c r="R176" s="9">
        <v>253420.38</v>
      </c>
      <c r="S176">
        <v>3</v>
      </c>
      <c r="T176">
        <v>177</v>
      </c>
      <c r="U176">
        <v>3.7</v>
      </c>
      <c r="V176">
        <v>3</v>
      </c>
      <c r="W176">
        <f>IF('Cleaned Data'!V176&lt;0,"Review",'Cleaned Data'!V176)</f>
        <v>3</v>
      </c>
      <c r="X176">
        <v>5</v>
      </c>
      <c r="Y176" s="7">
        <f>IFERROR('Cleaned Data'!R176/'Cleaned Data'!L176,0)</f>
        <v>126710.19</v>
      </c>
      <c r="Z176" t="str">
        <f>TEXT(EV_Sales[[#This Row],[Order_Date]],"mmm-yyyy")</f>
        <v>May-2025</v>
      </c>
      <c r="AA176">
        <f>MONTH(EV_Sales[[#This Row],[Order_Date]])</f>
        <v>5</v>
      </c>
      <c r="AB176" s="12" t="str">
        <f>"Q"&amp;ROUNDUP(MONTH(EV_Sales[[#This Row],[Order_Date]])/3,0)</f>
        <v>Q2</v>
      </c>
    </row>
    <row r="177" spans="1:28" x14ac:dyDescent="0.3">
      <c r="A177" t="s">
        <v>282</v>
      </c>
      <c r="B177" s="2">
        <v>45867</v>
      </c>
      <c r="C177" t="s">
        <v>60</v>
      </c>
      <c r="D177" t="s">
        <v>61</v>
      </c>
      <c r="E177" t="s">
        <v>62</v>
      </c>
      <c r="F177" t="s">
        <v>52</v>
      </c>
      <c r="G177" t="s">
        <v>26</v>
      </c>
      <c r="H177" t="s">
        <v>53</v>
      </c>
      <c r="I177" t="str">
        <f>IF('Cleaned Data'!H177="Emi","EMI",'Cleaned Data'!H177)</f>
        <v>Cash</v>
      </c>
      <c r="J177" t="s">
        <v>57</v>
      </c>
      <c r="K177" t="s">
        <v>49</v>
      </c>
      <c r="L177">
        <v>1</v>
      </c>
      <c r="M177" s="9">
        <v>109963</v>
      </c>
      <c r="N177" s="4">
        <v>3.5000000000000003E-2</v>
      </c>
      <c r="O177" s="4">
        <f t="shared" si="2"/>
        <v>3.5000000000000003E-2</v>
      </c>
      <c r="P177" s="11">
        <v>109963</v>
      </c>
      <c r="Q177" s="9">
        <v>3848.71</v>
      </c>
      <c r="R177" s="9">
        <v>106114.29</v>
      </c>
      <c r="S177">
        <v>3</v>
      </c>
      <c r="T177">
        <v>179</v>
      </c>
      <c r="U177">
        <v>4.4000000000000004</v>
      </c>
      <c r="V177">
        <v>14</v>
      </c>
      <c r="W177">
        <f>IF('Cleaned Data'!V177&lt;0,"Review",'Cleaned Data'!V177)</f>
        <v>14</v>
      </c>
      <c r="X177">
        <v>3</v>
      </c>
      <c r="Y177" s="7">
        <f>IFERROR('Cleaned Data'!R177/'Cleaned Data'!L177,0)</f>
        <v>106114.29</v>
      </c>
      <c r="Z177" t="str">
        <f>TEXT(EV_Sales[[#This Row],[Order_Date]],"mmm-yyyy")</f>
        <v>Jul-2025</v>
      </c>
      <c r="AA177">
        <f>MONTH(EV_Sales[[#This Row],[Order_Date]])</f>
        <v>7</v>
      </c>
      <c r="AB177" s="12" t="str">
        <f>"Q"&amp;ROUNDUP(MONTH(EV_Sales[[#This Row],[Order_Date]])/3,0)</f>
        <v>Q3</v>
      </c>
    </row>
    <row r="178" spans="1:28" x14ac:dyDescent="0.3">
      <c r="A178" t="s">
        <v>283</v>
      </c>
      <c r="B178" s="2">
        <v>45892</v>
      </c>
      <c r="C178" t="s">
        <v>44</v>
      </c>
      <c r="D178" t="s">
        <v>45</v>
      </c>
      <c r="E178" t="s">
        <v>24</v>
      </c>
      <c r="F178" t="s">
        <v>25</v>
      </c>
      <c r="G178" t="s">
        <v>26</v>
      </c>
      <c r="H178" t="s">
        <v>809</v>
      </c>
      <c r="I178" t="str">
        <f>IF('Cleaned Data'!H178="Emi","EMI",'Cleaned Data'!H178)</f>
        <v>EMI</v>
      </c>
      <c r="J178" t="s">
        <v>48</v>
      </c>
      <c r="K178" t="s">
        <v>203</v>
      </c>
      <c r="L178">
        <v>1</v>
      </c>
      <c r="M178" s="9">
        <v>153121</v>
      </c>
      <c r="N178" s="4">
        <v>2.4E-2</v>
      </c>
      <c r="O178" s="4">
        <f t="shared" si="2"/>
        <v>2.4E-2</v>
      </c>
      <c r="P178" s="11">
        <v>153121</v>
      </c>
      <c r="Q178" s="9">
        <v>3674.9</v>
      </c>
      <c r="R178" s="9">
        <v>149446.1</v>
      </c>
      <c r="S178">
        <v>3</v>
      </c>
      <c r="T178">
        <v>140</v>
      </c>
      <c r="U178">
        <v>4.4000000000000004</v>
      </c>
      <c r="V178">
        <v>8</v>
      </c>
      <c r="W178">
        <f>IF('Cleaned Data'!V178&lt;0,"Review",'Cleaned Data'!V178)</f>
        <v>8</v>
      </c>
      <c r="X178">
        <v>2</v>
      </c>
      <c r="Y178" s="7">
        <f>IFERROR('Cleaned Data'!R178/'Cleaned Data'!L178,0)</f>
        <v>149446.1</v>
      </c>
      <c r="Z178" t="str">
        <f>TEXT(EV_Sales[[#This Row],[Order_Date]],"mmm-yyyy")</f>
        <v>Aug-2025</v>
      </c>
      <c r="AA178">
        <f>MONTH(EV_Sales[[#This Row],[Order_Date]])</f>
        <v>8</v>
      </c>
      <c r="AB178" s="12" t="str">
        <f>"Q"&amp;ROUNDUP(MONTH(EV_Sales[[#This Row],[Order_Date]])/3,0)</f>
        <v>Q3</v>
      </c>
    </row>
    <row r="179" spans="1:28" x14ac:dyDescent="0.3">
      <c r="A179" t="s">
        <v>284</v>
      </c>
      <c r="B179" s="2">
        <v>45730</v>
      </c>
      <c r="C179" t="s">
        <v>39</v>
      </c>
      <c r="D179" t="s">
        <v>40</v>
      </c>
      <c r="E179" t="s">
        <v>62</v>
      </c>
      <c r="F179" t="s">
        <v>52</v>
      </c>
      <c r="G179" t="s">
        <v>56</v>
      </c>
      <c r="H179" t="s">
        <v>27</v>
      </c>
      <c r="I179" t="str">
        <f>IF('Cleaned Data'!H179="Emi","EMI",'Cleaned Data'!H179)</f>
        <v>Finance</v>
      </c>
      <c r="J179" t="s">
        <v>63</v>
      </c>
      <c r="K179" t="s">
        <v>37</v>
      </c>
      <c r="L179">
        <v>1</v>
      </c>
      <c r="M179" s="9">
        <v>131307</v>
      </c>
      <c r="N179" s="4">
        <v>6.5000000000000002E-2</v>
      </c>
      <c r="O179" s="4">
        <f t="shared" si="2"/>
        <v>6.5000000000000002E-2</v>
      </c>
      <c r="P179" s="11">
        <v>131307</v>
      </c>
      <c r="Q179" s="9">
        <v>8534.9500000000007</v>
      </c>
      <c r="R179" s="9">
        <v>122772.05</v>
      </c>
      <c r="S179">
        <v>4</v>
      </c>
      <c r="T179">
        <v>185</v>
      </c>
      <c r="U179">
        <v>4.2</v>
      </c>
      <c r="V179">
        <v>10</v>
      </c>
      <c r="W179">
        <f>IF('Cleaned Data'!V179&lt;0,"Review",'Cleaned Data'!V179)</f>
        <v>10</v>
      </c>
      <c r="X179">
        <v>5</v>
      </c>
      <c r="Y179" s="7">
        <f>IFERROR('Cleaned Data'!R179/'Cleaned Data'!L179,0)</f>
        <v>122772.05</v>
      </c>
      <c r="Z179" t="str">
        <f>TEXT(EV_Sales[[#This Row],[Order_Date]],"mmm-yyyy")</f>
        <v>Mar-2025</v>
      </c>
      <c r="AA179">
        <f>MONTH(EV_Sales[[#This Row],[Order_Date]])</f>
        <v>3</v>
      </c>
      <c r="AB179" s="12" t="str">
        <f>"Q"&amp;ROUNDUP(MONTH(EV_Sales[[#This Row],[Order_Date]])/3,0)</f>
        <v>Q1</v>
      </c>
    </row>
    <row r="180" spans="1:28" x14ac:dyDescent="0.3">
      <c r="A180" t="s">
        <v>285</v>
      </c>
      <c r="B180" s="2">
        <v>45824</v>
      </c>
      <c r="C180" t="s">
        <v>87</v>
      </c>
      <c r="D180" t="s">
        <v>88</v>
      </c>
      <c r="E180" t="s">
        <v>62</v>
      </c>
      <c r="F180" t="s">
        <v>74</v>
      </c>
      <c r="G180" t="s">
        <v>67</v>
      </c>
      <c r="H180" t="s">
        <v>27</v>
      </c>
      <c r="I180" t="str">
        <f>IF('Cleaned Data'!H180="Emi","EMI",'Cleaned Data'!H180)</f>
        <v>Finance</v>
      </c>
      <c r="J180" t="s">
        <v>94</v>
      </c>
      <c r="K180" t="s">
        <v>197</v>
      </c>
      <c r="L180">
        <v>2</v>
      </c>
      <c r="M180" s="9">
        <v>144478</v>
      </c>
      <c r="N180" s="4">
        <v>8.5000000000000006E-2</v>
      </c>
      <c r="O180" s="4">
        <f t="shared" si="2"/>
        <v>8.5000000000000006E-2</v>
      </c>
      <c r="P180" s="11">
        <v>288956</v>
      </c>
      <c r="Q180" s="9">
        <v>24561.26</v>
      </c>
      <c r="R180" s="9">
        <v>264394.74</v>
      </c>
      <c r="S180">
        <v>2</v>
      </c>
      <c r="T180">
        <v>148</v>
      </c>
      <c r="U180">
        <v>3.1</v>
      </c>
      <c r="V180">
        <v>3</v>
      </c>
      <c r="W180">
        <f>IF('Cleaned Data'!V180&lt;0,"Review",'Cleaned Data'!V180)</f>
        <v>3</v>
      </c>
      <c r="X180">
        <v>5</v>
      </c>
      <c r="Y180" s="7">
        <f>IFERROR('Cleaned Data'!R180/'Cleaned Data'!L180,0)</f>
        <v>132197.37</v>
      </c>
      <c r="Z180" t="str">
        <f>TEXT(EV_Sales[[#This Row],[Order_Date]],"mmm-yyyy")</f>
        <v>Jun-2025</v>
      </c>
      <c r="AA180">
        <f>MONTH(EV_Sales[[#This Row],[Order_Date]])</f>
        <v>6</v>
      </c>
      <c r="AB180" s="12" t="str">
        <f>"Q"&amp;ROUNDUP(MONTH(EV_Sales[[#This Row],[Order_Date]])/3,0)</f>
        <v>Q2</v>
      </c>
    </row>
    <row r="181" spans="1:28" x14ac:dyDescent="0.3">
      <c r="A181" t="s">
        <v>286</v>
      </c>
      <c r="B181" s="2">
        <v>45978</v>
      </c>
      <c r="C181" t="s">
        <v>99</v>
      </c>
      <c r="D181" t="s">
        <v>100</v>
      </c>
      <c r="E181" t="s">
        <v>62</v>
      </c>
      <c r="F181" t="s">
        <v>80</v>
      </c>
      <c r="G181" t="s">
        <v>56</v>
      </c>
      <c r="H181" t="s">
        <v>809</v>
      </c>
      <c r="I181" t="str">
        <f>IF('Cleaned Data'!H181="Emi","EMI",'Cleaned Data'!H181)</f>
        <v>EMI</v>
      </c>
      <c r="J181" t="s">
        <v>48</v>
      </c>
      <c r="K181" t="s">
        <v>123</v>
      </c>
      <c r="L181">
        <v>1</v>
      </c>
      <c r="M181" s="9">
        <v>110794</v>
      </c>
      <c r="N181" s="4">
        <v>0.11700000000000001</v>
      </c>
      <c r="O181" s="4">
        <f t="shared" si="2"/>
        <v>0.11700000000000001</v>
      </c>
      <c r="P181" s="11">
        <v>110794</v>
      </c>
      <c r="Q181" s="9">
        <v>12962.9</v>
      </c>
      <c r="R181" s="9">
        <v>97831.1</v>
      </c>
      <c r="S181">
        <v>3</v>
      </c>
      <c r="T181">
        <v>164</v>
      </c>
      <c r="U181">
        <v>4.3</v>
      </c>
      <c r="V181">
        <v>14</v>
      </c>
      <c r="W181">
        <f>IF('Cleaned Data'!V181&lt;0,"Review",'Cleaned Data'!V181)</f>
        <v>14</v>
      </c>
      <c r="X181">
        <v>3</v>
      </c>
      <c r="Y181" s="7">
        <f>IFERROR('Cleaned Data'!R181/'Cleaned Data'!L181,0)</f>
        <v>97831.1</v>
      </c>
      <c r="Z181" t="str">
        <f>TEXT(EV_Sales[[#This Row],[Order_Date]],"mmm-yyyy")</f>
        <v>Nov-2025</v>
      </c>
      <c r="AA181">
        <f>MONTH(EV_Sales[[#This Row],[Order_Date]])</f>
        <v>11</v>
      </c>
      <c r="AB181" s="12" t="str">
        <f>"Q"&amp;ROUNDUP(MONTH(EV_Sales[[#This Row],[Order_Date]])/3,0)</f>
        <v>Q4</v>
      </c>
    </row>
    <row r="182" spans="1:28" x14ac:dyDescent="0.3">
      <c r="A182" t="s">
        <v>287</v>
      </c>
      <c r="B182" s="2">
        <v>45972</v>
      </c>
      <c r="C182" t="s">
        <v>99</v>
      </c>
      <c r="D182" t="s">
        <v>100</v>
      </c>
      <c r="E182" t="s">
        <v>24</v>
      </c>
      <c r="F182" t="s">
        <v>41</v>
      </c>
      <c r="G182" t="s">
        <v>26</v>
      </c>
      <c r="H182" t="s">
        <v>53</v>
      </c>
      <c r="I182" t="str">
        <f>IF('Cleaned Data'!H182="Emi","EMI",'Cleaned Data'!H182)</f>
        <v>Cash</v>
      </c>
      <c r="J182" t="s">
        <v>57</v>
      </c>
      <c r="K182" t="s">
        <v>104</v>
      </c>
      <c r="L182">
        <v>1</v>
      </c>
      <c r="M182" s="9">
        <v>115954</v>
      </c>
      <c r="N182" s="4">
        <v>3.3000000000000002E-2</v>
      </c>
      <c r="O182" s="4">
        <f t="shared" si="2"/>
        <v>3.3000000000000002E-2</v>
      </c>
      <c r="P182" s="11">
        <v>115954</v>
      </c>
      <c r="Q182" s="9">
        <v>3826.48</v>
      </c>
      <c r="R182" s="9">
        <v>112127.52</v>
      </c>
      <c r="S182">
        <v>5</v>
      </c>
      <c r="T182">
        <v>183</v>
      </c>
      <c r="U182">
        <v>3.4</v>
      </c>
      <c r="V182">
        <v>4</v>
      </c>
      <c r="W182">
        <f>IF('Cleaned Data'!V182&lt;0,"Review",'Cleaned Data'!V182)</f>
        <v>4</v>
      </c>
      <c r="X182">
        <v>5</v>
      </c>
      <c r="Y182" s="7">
        <f>IFERROR('Cleaned Data'!R182/'Cleaned Data'!L182,0)</f>
        <v>112127.52</v>
      </c>
      <c r="Z182" t="str">
        <f>TEXT(EV_Sales[[#This Row],[Order_Date]],"mmm-yyyy")</f>
        <v>Nov-2025</v>
      </c>
      <c r="AA182">
        <f>MONTH(EV_Sales[[#This Row],[Order_Date]])</f>
        <v>11</v>
      </c>
      <c r="AB182" s="12" t="str">
        <f>"Q"&amp;ROUNDUP(MONTH(EV_Sales[[#This Row],[Order_Date]])/3,0)</f>
        <v>Q4</v>
      </c>
    </row>
    <row r="183" spans="1:28" x14ac:dyDescent="0.3">
      <c r="A183" t="s">
        <v>288</v>
      </c>
      <c r="B183" s="2">
        <v>45783</v>
      </c>
      <c r="C183" t="s">
        <v>60</v>
      </c>
      <c r="D183" t="s">
        <v>69</v>
      </c>
      <c r="E183" t="s">
        <v>24</v>
      </c>
      <c r="F183" t="s">
        <v>25</v>
      </c>
      <c r="G183" t="s">
        <v>56</v>
      </c>
      <c r="H183" t="s">
        <v>809</v>
      </c>
      <c r="I183" t="str">
        <f>IF('Cleaned Data'!H183="Emi","EMI",'Cleaned Data'!H183)</f>
        <v>EMI</v>
      </c>
      <c r="J183" t="s">
        <v>63</v>
      </c>
      <c r="K183" t="s">
        <v>72</v>
      </c>
      <c r="L183">
        <v>1</v>
      </c>
      <c r="M183" s="9">
        <v>104367</v>
      </c>
      <c r="N183" s="4">
        <v>5.3999999999999999E-2</v>
      </c>
      <c r="O183" s="4">
        <f t="shared" si="2"/>
        <v>5.3999999999999999E-2</v>
      </c>
      <c r="P183" s="11">
        <v>104367</v>
      </c>
      <c r="Q183" s="9">
        <v>5635.82</v>
      </c>
      <c r="R183" s="9">
        <v>98731.18</v>
      </c>
      <c r="S183">
        <v>4</v>
      </c>
      <c r="T183">
        <v>184</v>
      </c>
      <c r="U183">
        <v>3.6</v>
      </c>
      <c r="V183">
        <v>3</v>
      </c>
      <c r="W183">
        <f>IF('Cleaned Data'!V183&lt;0,"Review",'Cleaned Data'!V183)</f>
        <v>3</v>
      </c>
      <c r="X183">
        <v>2</v>
      </c>
      <c r="Y183" s="7">
        <f>IFERROR('Cleaned Data'!R183/'Cleaned Data'!L183,0)</f>
        <v>98731.18</v>
      </c>
      <c r="Z183" t="str">
        <f>TEXT(EV_Sales[[#This Row],[Order_Date]],"mmm-yyyy")</f>
        <v>May-2025</v>
      </c>
      <c r="AA183">
        <f>MONTH(EV_Sales[[#This Row],[Order_Date]])</f>
        <v>5</v>
      </c>
      <c r="AB183" s="12" t="str">
        <f>"Q"&amp;ROUNDUP(MONTH(EV_Sales[[#This Row],[Order_Date]])/3,0)</f>
        <v>Q2</v>
      </c>
    </row>
    <row r="184" spans="1:28" x14ac:dyDescent="0.3">
      <c r="A184" t="s">
        <v>289</v>
      </c>
      <c r="B184" s="2">
        <v>45766</v>
      </c>
      <c r="C184" t="s">
        <v>99</v>
      </c>
      <c r="D184" t="s">
        <v>100</v>
      </c>
      <c r="E184" t="s">
        <v>62</v>
      </c>
      <c r="F184" t="s">
        <v>52</v>
      </c>
      <c r="G184" t="s">
        <v>67</v>
      </c>
      <c r="H184" t="s">
        <v>809</v>
      </c>
      <c r="I184" t="str">
        <f>IF('Cleaned Data'!H184="Emi","EMI",'Cleaned Data'!H184)</f>
        <v>EMI</v>
      </c>
      <c r="J184" t="s">
        <v>94</v>
      </c>
      <c r="K184" t="s">
        <v>143</v>
      </c>
      <c r="L184">
        <v>1</v>
      </c>
      <c r="M184" s="9">
        <v>109028</v>
      </c>
      <c r="N184" s="4">
        <v>5.3999999999999999E-2</v>
      </c>
      <c r="O184" s="4">
        <f t="shared" si="2"/>
        <v>5.3999999999999999E-2</v>
      </c>
      <c r="P184" s="11">
        <v>109028</v>
      </c>
      <c r="Q184" s="9">
        <v>5887.51</v>
      </c>
      <c r="R184" s="9">
        <v>103140.49</v>
      </c>
      <c r="S184">
        <v>3</v>
      </c>
      <c r="T184">
        <v>164</v>
      </c>
      <c r="U184">
        <v>4.3</v>
      </c>
      <c r="V184">
        <v>4</v>
      </c>
      <c r="W184">
        <f>IF('Cleaned Data'!V184&lt;0,"Review",'Cleaned Data'!V184)</f>
        <v>4</v>
      </c>
      <c r="X184">
        <v>2</v>
      </c>
      <c r="Y184" s="7">
        <f>IFERROR('Cleaned Data'!R184/'Cleaned Data'!L184,0)</f>
        <v>103140.49</v>
      </c>
      <c r="Z184" t="str">
        <f>TEXT(EV_Sales[[#This Row],[Order_Date]],"mmm-yyyy")</f>
        <v>Apr-2025</v>
      </c>
      <c r="AA184">
        <f>MONTH(EV_Sales[[#This Row],[Order_Date]])</f>
        <v>4</v>
      </c>
      <c r="AB184" s="12" t="str">
        <f>"Q"&amp;ROUNDUP(MONTH(EV_Sales[[#This Row],[Order_Date]])/3,0)</f>
        <v>Q2</v>
      </c>
    </row>
    <row r="185" spans="1:28" x14ac:dyDescent="0.3">
      <c r="A185" t="s">
        <v>290</v>
      </c>
      <c r="B185" s="2">
        <v>45930</v>
      </c>
      <c r="C185" t="s">
        <v>99</v>
      </c>
      <c r="D185" t="s">
        <v>121</v>
      </c>
      <c r="E185" t="s">
        <v>46</v>
      </c>
      <c r="F185" t="s">
        <v>25</v>
      </c>
      <c r="G185" t="s">
        <v>34</v>
      </c>
      <c r="H185" t="s">
        <v>27</v>
      </c>
      <c r="I185" t="str">
        <f>IF('Cleaned Data'!H185="Emi","EMI",'Cleaned Data'!H185)</f>
        <v>Finance</v>
      </c>
      <c r="J185" t="s">
        <v>63</v>
      </c>
      <c r="K185" t="s">
        <v>58</v>
      </c>
      <c r="L185">
        <v>2</v>
      </c>
      <c r="M185" s="9">
        <v>103117</v>
      </c>
      <c r="N185" s="4">
        <v>5.2999999999999999E-2</v>
      </c>
      <c r="O185" s="4">
        <f t="shared" si="2"/>
        <v>5.2999999999999999E-2</v>
      </c>
      <c r="P185" s="11">
        <v>206234</v>
      </c>
      <c r="Q185" s="9">
        <v>10930.4</v>
      </c>
      <c r="R185" s="9">
        <v>195303.6</v>
      </c>
      <c r="S185">
        <v>4</v>
      </c>
      <c r="T185">
        <v>202</v>
      </c>
      <c r="U185">
        <v>4</v>
      </c>
      <c r="V185">
        <v>9</v>
      </c>
      <c r="W185">
        <f>IF('Cleaned Data'!V185&lt;0,"Review",'Cleaned Data'!V185)</f>
        <v>9</v>
      </c>
      <c r="X185">
        <v>2</v>
      </c>
      <c r="Y185" s="7">
        <f>IFERROR('Cleaned Data'!R185/'Cleaned Data'!L185,0)</f>
        <v>97651.8</v>
      </c>
      <c r="Z185" t="str">
        <f>TEXT(EV_Sales[[#This Row],[Order_Date]],"mmm-yyyy")</f>
        <v>Sep-2025</v>
      </c>
      <c r="AA185">
        <f>MONTH(EV_Sales[[#This Row],[Order_Date]])</f>
        <v>9</v>
      </c>
      <c r="AB185" s="12" t="str">
        <f>"Q"&amp;ROUNDUP(MONTH(EV_Sales[[#This Row],[Order_Date]])/3,0)</f>
        <v>Q3</v>
      </c>
    </row>
    <row r="186" spans="1:28" x14ac:dyDescent="0.3">
      <c r="A186" t="s">
        <v>291</v>
      </c>
      <c r="B186" s="2">
        <v>45924</v>
      </c>
      <c r="C186" t="s">
        <v>60</v>
      </c>
      <c r="D186" t="s">
        <v>61</v>
      </c>
      <c r="E186" t="s">
        <v>24</v>
      </c>
      <c r="F186" t="s">
        <v>101</v>
      </c>
      <c r="G186" t="s">
        <v>34</v>
      </c>
      <c r="H186" t="s">
        <v>27</v>
      </c>
      <c r="I186" t="str">
        <f>IF('Cleaned Data'!H186="Emi","EMI",'Cleaned Data'!H186)</f>
        <v>Finance</v>
      </c>
      <c r="J186" t="s">
        <v>57</v>
      </c>
      <c r="K186" t="s">
        <v>123</v>
      </c>
      <c r="L186">
        <v>1</v>
      </c>
      <c r="M186" s="9">
        <v>115481</v>
      </c>
      <c r="N186" s="4">
        <v>2.4E-2</v>
      </c>
      <c r="O186" s="4">
        <f t="shared" si="2"/>
        <v>2.4E-2</v>
      </c>
      <c r="P186" s="11">
        <v>115481</v>
      </c>
      <c r="Q186" s="9">
        <v>2771.54</v>
      </c>
      <c r="R186" s="9">
        <v>112709.46</v>
      </c>
      <c r="S186">
        <v>4</v>
      </c>
      <c r="T186">
        <v>173</v>
      </c>
      <c r="U186" t="s">
        <v>812</v>
      </c>
      <c r="V186">
        <v>9</v>
      </c>
      <c r="W186">
        <f>IF('Cleaned Data'!V186&lt;0,"Review",'Cleaned Data'!V186)</f>
        <v>9</v>
      </c>
      <c r="X186">
        <v>2</v>
      </c>
      <c r="Y186" s="7">
        <f>IFERROR('Cleaned Data'!R186/'Cleaned Data'!L186,0)</f>
        <v>112709.46</v>
      </c>
      <c r="Z186" t="str">
        <f>TEXT(EV_Sales[[#This Row],[Order_Date]],"mmm-yyyy")</f>
        <v>Sep-2025</v>
      </c>
      <c r="AA186">
        <f>MONTH(EV_Sales[[#This Row],[Order_Date]])</f>
        <v>9</v>
      </c>
      <c r="AB186" s="12" t="str">
        <f>"Q"&amp;ROUNDUP(MONTH(EV_Sales[[#This Row],[Order_Date]])/3,0)</f>
        <v>Q3</v>
      </c>
    </row>
    <row r="187" spans="1:28" x14ac:dyDescent="0.3">
      <c r="A187" t="s">
        <v>292</v>
      </c>
      <c r="B187" s="2">
        <v>45961</v>
      </c>
      <c r="C187" t="s">
        <v>39</v>
      </c>
      <c r="D187" t="s">
        <v>154</v>
      </c>
      <c r="E187" t="s">
        <v>62</v>
      </c>
      <c r="F187" t="s">
        <v>70</v>
      </c>
      <c r="G187" t="s">
        <v>56</v>
      </c>
      <c r="H187" t="s">
        <v>27</v>
      </c>
      <c r="I187" t="str">
        <f>IF('Cleaned Data'!H187="Emi","EMI",'Cleaned Data'!H187)</f>
        <v>Finance</v>
      </c>
      <c r="J187" t="s">
        <v>57</v>
      </c>
      <c r="K187" t="s">
        <v>123</v>
      </c>
      <c r="L187">
        <v>1</v>
      </c>
      <c r="M187" s="9">
        <v>188216</v>
      </c>
      <c r="N187" s="4">
        <v>6.9000000000000006E-2</v>
      </c>
      <c r="O187" s="4">
        <f t="shared" si="2"/>
        <v>6.9000000000000006E-2</v>
      </c>
      <c r="P187" s="11">
        <v>188216</v>
      </c>
      <c r="Q187" s="9">
        <v>12986.9</v>
      </c>
      <c r="R187" s="9">
        <v>175229.1</v>
      </c>
      <c r="S187">
        <v>3</v>
      </c>
      <c r="T187">
        <v>203</v>
      </c>
      <c r="U187">
        <v>3.5</v>
      </c>
      <c r="V187">
        <v>9</v>
      </c>
      <c r="W187">
        <f>IF('Cleaned Data'!V187&lt;0,"Review",'Cleaned Data'!V187)</f>
        <v>9</v>
      </c>
      <c r="X187">
        <v>5</v>
      </c>
      <c r="Y187" s="7">
        <f>IFERROR('Cleaned Data'!R187/'Cleaned Data'!L187,0)</f>
        <v>175229.1</v>
      </c>
      <c r="Z187" t="str">
        <f>TEXT(EV_Sales[[#This Row],[Order_Date]],"mmm-yyyy")</f>
        <v>Oct-2025</v>
      </c>
      <c r="AA187">
        <f>MONTH(EV_Sales[[#This Row],[Order_Date]])</f>
        <v>10</v>
      </c>
      <c r="AB187" s="12" t="str">
        <f>"Q"&amp;ROUNDUP(MONTH(EV_Sales[[#This Row],[Order_Date]])/3,0)</f>
        <v>Q4</v>
      </c>
    </row>
    <row r="188" spans="1:28" x14ac:dyDescent="0.3">
      <c r="A188" t="s">
        <v>293</v>
      </c>
      <c r="B188" s="2">
        <v>45876</v>
      </c>
      <c r="C188" t="s">
        <v>60</v>
      </c>
      <c r="D188" t="s">
        <v>61</v>
      </c>
      <c r="E188" t="s">
        <v>62</v>
      </c>
      <c r="F188" t="s">
        <v>80</v>
      </c>
      <c r="G188" t="s">
        <v>56</v>
      </c>
      <c r="H188" t="s">
        <v>809</v>
      </c>
      <c r="I188" t="str">
        <f>IF('Cleaned Data'!H188="Emi","EMI",'Cleaned Data'!H188)</f>
        <v>EMI</v>
      </c>
      <c r="J188" t="s">
        <v>94</v>
      </c>
      <c r="K188" t="s">
        <v>102</v>
      </c>
      <c r="L188">
        <v>1</v>
      </c>
      <c r="M188" s="9">
        <v>121423</v>
      </c>
      <c r="N188" s="4">
        <v>9.6000000000000002E-2</v>
      </c>
      <c r="O188" s="4">
        <f t="shared" si="2"/>
        <v>9.6000000000000002E-2</v>
      </c>
      <c r="P188" s="11">
        <v>121423</v>
      </c>
      <c r="Q188" s="9">
        <v>11656.61</v>
      </c>
      <c r="R188" s="9">
        <v>109766.39</v>
      </c>
      <c r="S188">
        <v>4</v>
      </c>
      <c r="T188">
        <v>195</v>
      </c>
      <c r="U188">
        <v>4</v>
      </c>
      <c r="V188">
        <v>9</v>
      </c>
      <c r="W188">
        <f>IF('Cleaned Data'!V188&lt;0,"Review",'Cleaned Data'!V188)</f>
        <v>9</v>
      </c>
      <c r="X188">
        <v>5</v>
      </c>
      <c r="Y188" s="7">
        <f>IFERROR('Cleaned Data'!R188/'Cleaned Data'!L188,0)</f>
        <v>109766.39</v>
      </c>
      <c r="Z188" t="str">
        <f>TEXT(EV_Sales[[#This Row],[Order_Date]],"mmm-yyyy")</f>
        <v>Aug-2025</v>
      </c>
      <c r="AA188">
        <f>MONTH(EV_Sales[[#This Row],[Order_Date]])</f>
        <v>8</v>
      </c>
      <c r="AB188" s="12" t="str">
        <f>"Q"&amp;ROUNDUP(MONTH(EV_Sales[[#This Row],[Order_Date]])/3,0)</f>
        <v>Q3</v>
      </c>
    </row>
    <row r="189" spans="1:28" x14ac:dyDescent="0.3">
      <c r="A189" t="s">
        <v>294</v>
      </c>
      <c r="B189" s="2">
        <v>45846</v>
      </c>
      <c r="C189" t="s">
        <v>22</v>
      </c>
      <c r="D189" t="s">
        <v>23</v>
      </c>
      <c r="E189" t="s">
        <v>46</v>
      </c>
      <c r="F189" t="s">
        <v>47</v>
      </c>
      <c r="G189" t="s">
        <v>67</v>
      </c>
      <c r="H189" t="s">
        <v>809</v>
      </c>
      <c r="I189" t="str">
        <f>IF('Cleaned Data'!H189="Emi","EMI",'Cleaned Data'!H189)</f>
        <v>EMI</v>
      </c>
      <c r="J189" t="s">
        <v>28</v>
      </c>
      <c r="K189" t="s">
        <v>37</v>
      </c>
      <c r="L189">
        <v>4</v>
      </c>
      <c r="M189" s="9">
        <v>113121</v>
      </c>
      <c r="N189" s="4">
        <v>6.8000000000000005E-2</v>
      </c>
      <c r="O189" s="4">
        <f t="shared" si="2"/>
        <v>6.8000000000000005E-2</v>
      </c>
      <c r="P189" s="11">
        <v>452484</v>
      </c>
      <c r="Q189" s="9">
        <v>30768.91</v>
      </c>
      <c r="R189" s="9">
        <v>421715.09</v>
      </c>
      <c r="S189">
        <v>4</v>
      </c>
      <c r="T189">
        <v>193</v>
      </c>
      <c r="U189">
        <v>4.5999999999999996</v>
      </c>
      <c r="V189">
        <v>11</v>
      </c>
      <c r="W189">
        <f>IF('Cleaned Data'!V189&lt;0,"Review",'Cleaned Data'!V189)</f>
        <v>11</v>
      </c>
      <c r="X189">
        <v>3</v>
      </c>
      <c r="Y189" s="7">
        <f>IFERROR('Cleaned Data'!R189/'Cleaned Data'!L189,0)</f>
        <v>105428.77250000001</v>
      </c>
      <c r="Z189" t="str">
        <f>TEXT(EV_Sales[[#This Row],[Order_Date]],"mmm-yyyy")</f>
        <v>Jul-2025</v>
      </c>
      <c r="AA189">
        <f>MONTH(EV_Sales[[#This Row],[Order_Date]])</f>
        <v>7</v>
      </c>
      <c r="AB189" s="12" t="str">
        <f>"Q"&amp;ROUNDUP(MONTH(EV_Sales[[#This Row],[Order_Date]])/3,0)</f>
        <v>Q3</v>
      </c>
    </row>
    <row r="190" spans="1:28" x14ac:dyDescent="0.3">
      <c r="A190" t="s">
        <v>295</v>
      </c>
      <c r="B190" s="2">
        <v>45820</v>
      </c>
      <c r="C190" t="s">
        <v>87</v>
      </c>
      <c r="D190" t="s">
        <v>130</v>
      </c>
      <c r="E190" t="s">
        <v>46</v>
      </c>
      <c r="F190" t="s">
        <v>811</v>
      </c>
      <c r="G190" t="s">
        <v>56</v>
      </c>
      <c r="H190" t="s">
        <v>53</v>
      </c>
      <c r="I190" t="str">
        <f>IF('Cleaned Data'!H190="Emi","EMI",'Cleaned Data'!H190)</f>
        <v>Cash</v>
      </c>
      <c r="J190" t="s">
        <v>36</v>
      </c>
      <c r="K190" t="s">
        <v>72</v>
      </c>
      <c r="L190">
        <v>5</v>
      </c>
      <c r="M190" s="9">
        <v>113823</v>
      </c>
      <c r="N190" s="4">
        <v>0.10299999999999999</v>
      </c>
      <c r="O190" s="4">
        <f t="shared" si="2"/>
        <v>0.10299999999999999</v>
      </c>
      <c r="P190" s="11">
        <v>569115</v>
      </c>
      <c r="Q190" s="9">
        <v>58618.84</v>
      </c>
      <c r="R190" s="9">
        <v>510496.16</v>
      </c>
      <c r="S190">
        <v>3</v>
      </c>
      <c r="T190">
        <v>170</v>
      </c>
      <c r="U190">
        <v>4.4000000000000004</v>
      </c>
      <c r="V190">
        <v>6</v>
      </c>
      <c r="W190">
        <f>IF('Cleaned Data'!V190&lt;0,"Review",'Cleaned Data'!V190)</f>
        <v>6</v>
      </c>
      <c r="X190">
        <v>2</v>
      </c>
      <c r="Y190" s="7">
        <f>IFERROR('Cleaned Data'!R190/'Cleaned Data'!L190,0)</f>
        <v>102099.23199999999</v>
      </c>
      <c r="Z190" t="str">
        <f>TEXT(EV_Sales[[#This Row],[Order_Date]],"mmm-yyyy")</f>
        <v>Jun-2025</v>
      </c>
      <c r="AA190">
        <f>MONTH(EV_Sales[[#This Row],[Order_Date]])</f>
        <v>6</v>
      </c>
      <c r="AB190" s="12" t="str">
        <f>"Q"&amp;ROUNDUP(MONTH(EV_Sales[[#This Row],[Order_Date]])/3,0)</f>
        <v>Q2</v>
      </c>
    </row>
    <row r="191" spans="1:28" x14ac:dyDescent="0.3">
      <c r="A191" t="s">
        <v>296</v>
      </c>
      <c r="B191" s="2">
        <v>45761</v>
      </c>
      <c r="C191" t="s">
        <v>99</v>
      </c>
      <c r="D191" t="s">
        <v>121</v>
      </c>
      <c r="E191" t="s">
        <v>24</v>
      </c>
      <c r="F191" t="s">
        <v>33</v>
      </c>
      <c r="G191" t="s">
        <v>56</v>
      </c>
      <c r="H191" t="s">
        <v>27</v>
      </c>
      <c r="I191" t="str">
        <f>IF('Cleaned Data'!H191="Emi","EMI",'Cleaned Data'!H191)</f>
        <v>Finance</v>
      </c>
      <c r="J191" t="s">
        <v>48</v>
      </c>
      <c r="K191" t="s">
        <v>197</v>
      </c>
      <c r="L191">
        <v>1</v>
      </c>
      <c r="M191" s="9">
        <v>109330</v>
      </c>
      <c r="N191" s="4">
        <v>4.8000000000000001E-2</v>
      </c>
      <c r="O191" s="4">
        <f t="shared" si="2"/>
        <v>4.8000000000000001E-2</v>
      </c>
      <c r="P191" s="11">
        <v>109330</v>
      </c>
      <c r="Q191" s="9">
        <v>5247.84</v>
      </c>
      <c r="R191" s="9">
        <v>104082.16</v>
      </c>
      <c r="S191">
        <v>4</v>
      </c>
      <c r="T191">
        <v>207</v>
      </c>
      <c r="U191">
        <v>4.5</v>
      </c>
      <c r="V191">
        <v>14</v>
      </c>
      <c r="W191">
        <f>IF('Cleaned Data'!V191&lt;0,"Review",'Cleaned Data'!V191)</f>
        <v>14</v>
      </c>
      <c r="X191">
        <v>2</v>
      </c>
      <c r="Y191" s="7">
        <f>IFERROR('Cleaned Data'!R191/'Cleaned Data'!L191,0)</f>
        <v>104082.16</v>
      </c>
      <c r="Z191" t="str">
        <f>TEXT(EV_Sales[[#This Row],[Order_Date]],"mmm-yyyy")</f>
        <v>Apr-2025</v>
      </c>
      <c r="AA191">
        <f>MONTH(EV_Sales[[#This Row],[Order_Date]])</f>
        <v>4</v>
      </c>
      <c r="AB191" s="12" t="str">
        <f>"Q"&amp;ROUNDUP(MONTH(EV_Sales[[#This Row],[Order_Date]])/3,0)</f>
        <v>Q2</v>
      </c>
    </row>
    <row r="192" spans="1:28" x14ac:dyDescent="0.3">
      <c r="A192" t="s">
        <v>297</v>
      </c>
      <c r="B192" s="2">
        <v>45819</v>
      </c>
      <c r="C192" t="s">
        <v>76</v>
      </c>
      <c r="D192" t="s">
        <v>117</v>
      </c>
      <c r="E192" t="s">
        <v>62</v>
      </c>
      <c r="F192" t="s">
        <v>33</v>
      </c>
      <c r="G192" t="s">
        <v>34</v>
      </c>
      <c r="H192" t="s">
        <v>809</v>
      </c>
      <c r="I192" t="str">
        <f>IF('Cleaned Data'!H192="Emi","EMI",'Cleaned Data'!H192)</f>
        <v>EMI</v>
      </c>
      <c r="J192" t="s">
        <v>28</v>
      </c>
      <c r="K192" t="s">
        <v>85</v>
      </c>
      <c r="L192">
        <v>3</v>
      </c>
      <c r="M192" s="9">
        <v>140263</v>
      </c>
      <c r="N192" s="4">
        <v>2.5000000000000001E-2</v>
      </c>
      <c r="O192" s="4">
        <f t="shared" si="2"/>
        <v>2.5000000000000001E-2</v>
      </c>
      <c r="P192" s="11">
        <v>420789</v>
      </c>
      <c r="Q192" s="9">
        <v>10519.73</v>
      </c>
      <c r="R192" s="9">
        <v>410269.27</v>
      </c>
      <c r="S192">
        <v>2</v>
      </c>
      <c r="T192">
        <v>126</v>
      </c>
      <c r="U192">
        <v>3.8</v>
      </c>
      <c r="V192">
        <v>13</v>
      </c>
      <c r="W192">
        <f>IF('Cleaned Data'!V192&lt;0,"Review",'Cleaned Data'!V192)</f>
        <v>13</v>
      </c>
      <c r="X192">
        <v>3</v>
      </c>
      <c r="Y192" s="7">
        <f>IFERROR('Cleaned Data'!R192/'Cleaned Data'!L192,0)</f>
        <v>136756.42333333334</v>
      </c>
      <c r="Z192" t="str">
        <f>TEXT(EV_Sales[[#This Row],[Order_Date]],"mmm-yyyy")</f>
        <v>Jun-2025</v>
      </c>
      <c r="AA192">
        <f>MONTH(EV_Sales[[#This Row],[Order_Date]])</f>
        <v>6</v>
      </c>
      <c r="AB192" s="12" t="str">
        <f>"Q"&amp;ROUNDUP(MONTH(EV_Sales[[#This Row],[Order_Date]])/3,0)</f>
        <v>Q2</v>
      </c>
    </row>
    <row r="193" spans="1:28" x14ac:dyDescent="0.3">
      <c r="A193" t="s">
        <v>298</v>
      </c>
      <c r="B193" s="2">
        <v>45684</v>
      </c>
      <c r="C193" t="s">
        <v>87</v>
      </c>
      <c r="D193" t="s">
        <v>130</v>
      </c>
      <c r="E193" t="s">
        <v>62</v>
      </c>
      <c r="F193" t="s">
        <v>74</v>
      </c>
      <c r="G193" t="s">
        <v>56</v>
      </c>
      <c r="H193" t="s">
        <v>809</v>
      </c>
      <c r="I193" t="str">
        <f>IF('Cleaned Data'!H193="Emi","EMI",'Cleaned Data'!H193)</f>
        <v>EMI</v>
      </c>
      <c r="J193" t="s">
        <v>28</v>
      </c>
      <c r="K193" t="s">
        <v>83</v>
      </c>
      <c r="L193">
        <v>1</v>
      </c>
      <c r="M193" s="9">
        <v>112382</v>
      </c>
      <c r="N193" s="4">
        <v>0.104</v>
      </c>
      <c r="O193" s="4">
        <f t="shared" si="2"/>
        <v>0.104</v>
      </c>
      <c r="P193" s="11">
        <v>112382</v>
      </c>
      <c r="Q193" s="9">
        <v>11687.73</v>
      </c>
      <c r="R193" s="9">
        <v>100694.27</v>
      </c>
      <c r="S193">
        <v>4</v>
      </c>
      <c r="T193">
        <v>177</v>
      </c>
      <c r="U193">
        <v>3.5</v>
      </c>
      <c r="V193">
        <v>10</v>
      </c>
      <c r="W193">
        <f>IF('Cleaned Data'!V193&lt;0,"Review",'Cleaned Data'!V193)</f>
        <v>10</v>
      </c>
      <c r="X193">
        <v>3</v>
      </c>
      <c r="Y193" s="7">
        <f>IFERROR('Cleaned Data'!R193/'Cleaned Data'!L193,0)</f>
        <v>100694.27</v>
      </c>
      <c r="Z193" t="str">
        <f>TEXT(EV_Sales[[#This Row],[Order_Date]],"mmm-yyyy")</f>
        <v>Jan-2025</v>
      </c>
      <c r="AA193">
        <f>MONTH(EV_Sales[[#This Row],[Order_Date]])</f>
        <v>1</v>
      </c>
      <c r="AB193" s="12" t="str">
        <f>"Q"&amp;ROUNDUP(MONTH(EV_Sales[[#This Row],[Order_Date]])/3,0)</f>
        <v>Q1</v>
      </c>
    </row>
    <row r="194" spans="1:28" x14ac:dyDescent="0.3">
      <c r="A194" t="s">
        <v>299</v>
      </c>
      <c r="B194" s="2">
        <v>45709</v>
      </c>
      <c r="C194" t="s">
        <v>99</v>
      </c>
      <c r="D194" t="s">
        <v>100</v>
      </c>
      <c r="E194" t="s">
        <v>62</v>
      </c>
      <c r="F194" t="s">
        <v>66</v>
      </c>
      <c r="G194" t="s">
        <v>34</v>
      </c>
      <c r="H194" t="s">
        <v>27</v>
      </c>
      <c r="I194" t="str">
        <f>IF('Cleaned Data'!H194="Emi","EMI",'Cleaned Data'!H194)</f>
        <v>Finance</v>
      </c>
      <c r="J194" t="s">
        <v>36</v>
      </c>
      <c r="K194" t="s">
        <v>78</v>
      </c>
      <c r="L194">
        <v>2</v>
      </c>
      <c r="M194" s="9">
        <v>116573</v>
      </c>
      <c r="N194" s="4">
        <v>6.6000000000000003E-2</v>
      </c>
      <c r="O194" s="4">
        <f t="shared" ref="O194:O257" si="3">IF(TRIM(N194&amp;"")="","missing",N194)</f>
        <v>6.6000000000000003E-2</v>
      </c>
      <c r="P194" s="11">
        <v>233146</v>
      </c>
      <c r="Q194" s="9">
        <v>15387.64</v>
      </c>
      <c r="R194" s="9">
        <v>217758.36</v>
      </c>
      <c r="S194">
        <v>3</v>
      </c>
      <c r="T194">
        <v>150</v>
      </c>
      <c r="U194">
        <v>3.6</v>
      </c>
      <c r="V194">
        <v>5</v>
      </c>
      <c r="W194">
        <f>IF('Cleaned Data'!V194&lt;0,"Review",'Cleaned Data'!V194)</f>
        <v>5</v>
      </c>
      <c r="X194">
        <v>2</v>
      </c>
      <c r="Y194" s="7">
        <f>IFERROR('Cleaned Data'!R194/'Cleaned Data'!L194,0)</f>
        <v>108879.18</v>
      </c>
      <c r="Z194" t="str">
        <f>TEXT(EV_Sales[[#This Row],[Order_Date]],"mmm-yyyy")</f>
        <v>Feb-2025</v>
      </c>
      <c r="AA194">
        <f>MONTH(EV_Sales[[#This Row],[Order_Date]])</f>
        <v>2</v>
      </c>
      <c r="AB194" s="12" t="str">
        <f>"Q"&amp;ROUNDUP(MONTH(EV_Sales[[#This Row],[Order_Date]])/3,0)</f>
        <v>Q1</v>
      </c>
    </row>
    <row r="195" spans="1:28" x14ac:dyDescent="0.3">
      <c r="A195" t="s">
        <v>300</v>
      </c>
      <c r="B195" s="2">
        <v>45947</v>
      </c>
      <c r="C195" t="s">
        <v>22</v>
      </c>
      <c r="D195" t="s">
        <v>23</v>
      </c>
      <c r="E195" t="s">
        <v>46</v>
      </c>
      <c r="F195" t="s">
        <v>66</v>
      </c>
      <c r="G195" t="s">
        <v>34</v>
      </c>
      <c r="H195" t="s">
        <v>27</v>
      </c>
      <c r="I195" t="str">
        <f>IF('Cleaned Data'!H195="Emi","EMI",'Cleaned Data'!H195)</f>
        <v>Finance</v>
      </c>
      <c r="J195" t="s">
        <v>57</v>
      </c>
      <c r="K195" t="s">
        <v>216</v>
      </c>
      <c r="L195">
        <v>1</v>
      </c>
      <c r="M195" s="9">
        <v>123376</v>
      </c>
      <c r="N195" s="4">
        <v>2.5000000000000001E-2</v>
      </c>
      <c r="O195" s="4">
        <f t="shared" si="3"/>
        <v>2.5000000000000001E-2</v>
      </c>
      <c r="P195" s="11">
        <v>123376</v>
      </c>
      <c r="Q195" s="9">
        <v>3084.4</v>
      </c>
      <c r="R195" s="9">
        <v>120291.6</v>
      </c>
      <c r="S195">
        <v>4</v>
      </c>
      <c r="T195">
        <v>174</v>
      </c>
      <c r="U195">
        <v>4.0999999999999996</v>
      </c>
      <c r="V195">
        <v>7</v>
      </c>
      <c r="W195">
        <f>IF('Cleaned Data'!V195&lt;0,"Review",'Cleaned Data'!V195)</f>
        <v>7</v>
      </c>
      <c r="X195">
        <v>3</v>
      </c>
      <c r="Y195" s="7">
        <f>IFERROR('Cleaned Data'!R195/'Cleaned Data'!L195,0)</f>
        <v>120291.6</v>
      </c>
      <c r="Z195" t="str">
        <f>TEXT(EV_Sales[[#This Row],[Order_Date]],"mmm-yyyy")</f>
        <v>Oct-2025</v>
      </c>
      <c r="AA195">
        <f>MONTH(EV_Sales[[#This Row],[Order_Date]])</f>
        <v>10</v>
      </c>
      <c r="AB195" s="12" t="str">
        <f>"Q"&amp;ROUNDUP(MONTH(EV_Sales[[#This Row],[Order_Date]])/3,0)</f>
        <v>Q4</v>
      </c>
    </row>
    <row r="196" spans="1:28" x14ac:dyDescent="0.3">
      <c r="A196" t="s">
        <v>301</v>
      </c>
      <c r="B196" s="2">
        <v>45977</v>
      </c>
      <c r="C196" t="s">
        <v>60</v>
      </c>
      <c r="D196" t="s">
        <v>61</v>
      </c>
      <c r="E196" t="s">
        <v>62</v>
      </c>
      <c r="F196" t="s">
        <v>33</v>
      </c>
      <c r="G196" t="s">
        <v>67</v>
      </c>
      <c r="H196" t="s">
        <v>809</v>
      </c>
      <c r="I196" t="str">
        <f>IF('Cleaned Data'!H196="Emi","EMI",'Cleaned Data'!H196)</f>
        <v>EMI</v>
      </c>
      <c r="J196" t="s">
        <v>57</v>
      </c>
      <c r="K196" t="s">
        <v>216</v>
      </c>
      <c r="L196">
        <v>1</v>
      </c>
      <c r="M196" s="9">
        <v>109740</v>
      </c>
      <c r="N196" s="4">
        <v>5.6000000000000001E-2</v>
      </c>
      <c r="O196" s="4">
        <f t="shared" si="3"/>
        <v>5.6000000000000001E-2</v>
      </c>
      <c r="P196" s="11">
        <v>109740</v>
      </c>
      <c r="Q196" s="9">
        <v>6145.44</v>
      </c>
      <c r="R196" s="9">
        <v>103594.56</v>
      </c>
      <c r="S196">
        <v>3</v>
      </c>
      <c r="T196">
        <v>158</v>
      </c>
      <c r="U196">
        <v>4.5</v>
      </c>
      <c r="V196">
        <v>5</v>
      </c>
      <c r="W196">
        <f>IF('Cleaned Data'!V196&lt;0,"Review",'Cleaned Data'!V196)</f>
        <v>5</v>
      </c>
      <c r="X196">
        <v>3</v>
      </c>
      <c r="Y196" s="7">
        <f>IFERROR('Cleaned Data'!R196/'Cleaned Data'!L196,0)</f>
        <v>103594.56</v>
      </c>
      <c r="Z196" t="str">
        <f>TEXT(EV_Sales[[#This Row],[Order_Date]],"mmm-yyyy")</f>
        <v>Nov-2025</v>
      </c>
      <c r="AA196">
        <f>MONTH(EV_Sales[[#This Row],[Order_Date]])</f>
        <v>11</v>
      </c>
      <c r="AB196" s="12" t="str">
        <f>"Q"&amp;ROUNDUP(MONTH(EV_Sales[[#This Row],[Order_Date]])/3,0)</f>
        <v>Q4</v>
      </c>
    </row>
    <row r="197" spans="1:28" x14ac:dyDescent="0.3">
      <c r="A197" t="s">
        <v>302</v>
      </c>
      <c r="B197" s="2">
        <v>45836</v>
      </c>
      <c r="C197" t="s">
        <v>31</v>
      </c>
      <c r="D197" t="s">
        <v>32</v>
      </c>
      <c r="E197" t="s">
        <v>62</v>
      </c>
      <c r="F197" t="s">
        <v>25</v>
      </c>
      <c r="G197" t="s">
        <v>67</v>
      </c>
      <c r="H197" t="s">
        <v>809</v>
      </c>
      <c r="I197" t="str">
        <f>IF('Cleaned Data'!H197="Emi","EMI",'Cleaned Data'!H197)</f>
        <v>EMI</v>
      </c>
      <c r="J197" t="s">
        <v>94</v>
      </c>
      <c r="K197" t="s">
        <v>131</v>
      </c>
      <c r="L197">
        <v>1</v>
      </c>
      <c r="M197" s="9">
        <v>113980</v>
      </c>
      <c r="N197" s="4">
        <v>6.9000000000000006E-2</v>
      </c>
      <c r="O197" s="4">
        <f t="shared" si="3"/>
        <v>6.9000000000000006E-2</v>
      </c>
      <c r="P197" s="11">
        <v>113980</v>
      </c>
      <c r="Q197" s="9">
        <v>7864.62</v>
      </c>
      <c r="R197" s="9">
        <v>106115.38</v>
      </c>
      <c r="S197">
        <v>3</v>
      </c>
      <c r="T197">
        <v>181</v>
      </c>
      <c r="U197">
        <v>4.5</v>
      </c>
      <c r="V197">
        <v>11</v>
      </c>
      <c r="W197">
        <f>IF('Cleaned Data'!V197&lt;0,"Review",'Cleaned Data'!V197)</f>
        <v>11</v>
      </c>
      <c r="X197">
        <v>5</v>
      </c>
      <c r="Y197" s="7">
        <f>IFERROR('Cleaned Data'!R197/'Cleaned Data'!L197,0)</f>
        <v>106115.38</v>
      </c>
      <c r="Z197" t="str">
        <f>TEXT(EV_Sales[[#This Row],[Order_Date]],"mmm-yyyy")</f>
        <v>Jun-2025</v>
      </c>
      <c r="AA197">
        <f>MONTH(EV_Sales[[#This Row],[Order_Date]])</f>
        <v>6</v>
      </c>
      <c r="AB197" s="12" t="str">
        <f>"Q"&amp;ROUNDUP(MONTH(EV_Sales[[#This Row],[Order_Date]])/3,0)</f>
        <v>Q2</v>
      </c>
    </row>
    <row r="198" spans="1:28" x14ac:dyDescent="0.3">
      <c r="A198" t="s">
        <v>303</v>
      </c>
      <c r="B198" s="2">
        <v>45930</v>
      </c>
      <c r="C198" t="s">
        <v>76</v>
      </c>
      <c r="D198" t="s">
        <v>117</v>
      </c>
      <c r="E198" t="s">
        <v>62</v>
      </c>
      <c r="F198" t="s">
        <v>47</v>
      </c>
      <c r="G198" t="s">
        <v>34</v>
      </c>
      <c r="H198" t="s">
        <v>27</v>
      </c>
      <c r="I198" t="str">
        <f>IF('Cleaned Data'!H198="Emi","EMI",'Cleaned Data'!H198)</f>
        <v>Finance</v>
      </c>
      <c r="J198" t="s">
        <v>63</v>
      </c>
      <c r="K198" t="s">
        <v>175</v>
      </c>
      <c r="L198">
        <v>2</v>
      </c>
      <c r="M198" s="9">
        <v>144741</v>
      </c>
      <c r="N198" s="4">
        <v>4.7E-2</v>
      </c>
      <c r="O198" s="4">
        <f t="shared" si="3"/>
        <v>4.7E-2</v>
      </c>
      <c r="P198" s="11">
        <v>289482</v>
      </c>
      <c r="Q198" s="9">
        <v>13605.65</v>
      </c>
      <c r="R198" s="9">
        <v>275876.34999999998</v>
      </c>
      <c r="S198">
        <v>3</v>
      </c>
      <c r="T198">
        <v>163</v>
      </c>
      <c r="U198">
        <v>3.7</v>
      </c>
      <c r="V198">
        <v>8</v>
      </c>
      <c r="W198">
        <f>IF('Cleaned Data'!V198&lt;0,"Review",'Cleaned Data'!V198)</f>
        <v>8</v>
      </c>
      <c r="X198">
        <v>2</v>
      </c>
      <c r="Y198" s="7">
        <f>IFERROR('Cleaned Data'!R198/'Cleaned Data'!L198,0)</f>
        <v>137938.17499999999</v>
      </c>
      <c r="Z198" t="str">
        <f>TEXT(EV_Sales[[#This Row],[Order_Date]],"mmm-yyyy")</f>
        <v>Sep-2025</v>
      </c>
      <c r="AA198">
        <f>MONTH(EV_Sales[[#This Row],[Order_Date]])</f>
        <v>9</v>
      </c>
      <c r="AB198" s="12" t="str">
        <f>"Q"&amp;ROUNDUP(MONTH(EV_Sales[[#This Row],[Order_Date]])/3,0)</f>
        <v>Q3</v>
      </c>
    </row>
    <row r="199" spans="1:28" x14ac:dyDescent="0.3">
      <c r="A199" t="s">
        <v>304</v>
      </c>
      <c r="B199" s="2">
        <v>45670</v>
      </c>
      <c r="C199" t="s">
        <v>76</v>
      </c>
      <c r="D199" t="s">
        <v>117</v>
      </c>
      <c r="E199" t="s">
        <v>46</v>
      </c>
      <c r="F199" t="s">
        <v>41</v>
      </c>
      <c r="G199" t="s">
        <v>67</v>
      </c>
      <c r="H199" t="s">
        <v>809</v>
      </c>
      <c r="I199" t="str">
        <f>IF('Cleaned Data'!H199="Emi","EMI",'Cleaned Data'!H199)</f>
        <v>EMI</v>
      </c>
      <c r="J199" t="s">
        <v>94</v>
      </c>
      <c r="K199" t="s">
        <v>102</v>
      </c>
      <c r="L199">
        <v>1</v>
      </c>
      <c r="M199" s="9">
        <v>142439</v>
      </c>
      <c r="N199" s="4">
        <v>0.105</v>
      </c>
      <c r="O199" s="4">
        <f t="shared" si="3"/>
        <v>0.105</v>
      </c>
      <c r="P199" s="11">
        <v>142439</v>
      </c>
      <c r="Q199" s="9">
        <v>14956.09</v>
      </c>
      <c r="R199" s="9">
        <v>127482.91</v>
      </c>
      <c r="S199">
        <v>3</v>
      </c>
      <c r="T199">
        <v>159</v>
      </c>
      <c r="U199">
        <v>5</v>
      </c>
      <c r="V199">
        <v>9</v>
      </c>
      <c r="W199">
        <f>IF('Cleaned Data'!V199&lt;0,"Review",'Cleaned Data'!V199)</f>
        <v>9</v>
      </c>
      <c r="X199">
        <v>3</v>
      </c>
      <c r="Y199" s="7">
        <f>IFERROR('Cleaned Data'!R199/'Cleaned Data'!L199,0)</f>
        <v>127482.91</v>
      </c>
      <c r="Z199" t="str">
        <f>TEXT(EV_Sales[[#This Row],[Order_Date]],"mmm-yyyy")</f>
        <v>Jan-2025</v>
      </c>
      <c r="AA199">
        <f>MONTH(EV_Sales[[#This Row],[Order_Date]])</f>
        <v>1</v>
      </c>
      <c r="AB199" s="12" t="str">
        <f>"Q"&amp;ROUNDUP(MONTH(EV_Sales[[#This Row],[Order_Date]])/3,0)</f>
        <v>Q1</v>
      </c>
    </row>
    <row r="200" spans="1:28" x14ac:dyDescent="0.3">
      <c r="A200" t="s">
        <v>305</v>
      </c>
      <c r="B200" s="2">
        <v>45873</v>
      </c>
      <c r="C200" t="s">
        <v>99</v>
      </c>
      <c r="D200" t="s">
        <v>141</v>
      </c>
      <c r="E200" t="s">
        <v>46</v>
      </c>
      <c r="F200" t="s">
        <v>41</v>
      </c>
      <c r="G200" t="s">
        <v>67</v>
      </c>
      <c r="H200" t="s">
        <v>809</v>
      </c>
      <c r="I200" t="str">
        <f>IF('Cleaned Data'!H200="Emi","EMI",'Cleaned Data'!H200)</f>
        <v>EMI</v>
      </c>
      <c r="J200" t="s">
        <v>63</v>
      </c>
      <c r="K200" t="s">
        <v>102</v>
      </c>
      <c r="L200">
        <v>5</v>
      </c>
      <c r="M200" s="9">
        <v>134064</v>
      </c>
      <c r="N200" s="4">
        <v>9.4E-2</v>
      </c>
      <c r="O200" s="4">
        <f t="shared" si="3"/>
        <v>9.4E-2</v>
      </c>
      <c r="P200" s="11">
        <v>670320</v>
      </c>
      <c r="Q200" s="9">
        <v>63010.080000000002</v>
      </c>
      <c r="R200" s="9">
        <v>607309.92000000004</v>
      </c>
      <c r="S200">
        <v>5</v>
      </c>
      <c r="T200">
        <v>201</v>
      </c>
      <c r="U200">
        <v>3.9</v>
      </c>
      <c r="V200">
        <v>7</v>
      </c>
      <c r="W200">
        <f>IF('Cleaned Data'!V200&lt;0,"Review",'Cleaned Data'!V200)</f>
        <v>7</v>
      </c>
      <c r="X200">
        <v>3</v>
      </c>
      <c r="Y200" s="7">
        <f>IFERROR('Cleaned Data'!R200/'Cleaned Data'!L200,0)</f>
        <v>121461.98400000001</v>
      </c>
      <c r="Z200" t="str">
        <f>TEXT(EV_Sales[[#This Row],[Order_Date]],"mmm-yyyy")</f>
        <v>Aug-2025</v>
      </c>
      <c r="AA200">
        <f>MONTH(EV_Sales[[#This Row],[Order_Date]])</f>
        <v>8</v>
      </c>
      <c r="AB200" s="12" t="str">
        <f>"Q"&amp;ROUNDUP(MONTH(EV_Sales[[#This Row],[Order_Date]])/3,0)</f>
        <v>Q3</v>
      </c>
    </row>
    <row r="201" spans="1:28" x14ac:dyDescent="0.3">
      <c r="A201" t="s">
        <v>306</v>
      </c>
      <c r="B201" s="2">
        <v>45775</v>
      </c>
      <c r="C201" t="s">
        <v>76</v>
      </c>
      <c r="D201" t="s">
        <v>77</v>
      </c>
      <c r="E201" t="s">
        <v>46</v>
      </c>
      <c r="F201" t="s">
        <v>41</v>
      </c>
      <c r="G201" t="s">
        <v>26</v>
      </c>
      <c r="H201" t="s">
        <v>27</v>
      </c>
      <c r="I201" t="str">
        <f>IF('Cleaned Data'!H201="Emi","EMI",'Cleaned Data'!H201)</f>
        <v>Finance</v>
      </c>
      <c r="J201" t="s">
        <v>63</v>
      </c>
      <c r="K201" t="s">
        <v>37</v>
      </c>
      <c r="L201">
        <v>3</v>
      </c>
      <c r="M201" s="9">
        <v>147339</v>
      </c>
      <c r="N201" s="4">
        <v>0.03</v>
      </c>
      <c r="O201" s="4">
        <f t="shared" si="3"/>
        <v>0.03</v>
      </c>
      <c r="P201" s="11">
        <v>442017</v>
      </c>
      <c r="Q201" s="9">
        <v>13260.51</v>
      </c>
      <c r="R201" s="9">
        <v>428756.49</v>
      </c>
      <c r="S201">
        <v>4</v>
      </c>
      <c r="T201">
        <v>185</v>
      </c>
      <c r="U201">
        <v>4</v>
      </c>
      <c r="V201">
        <v>3</v>
      </c>
      <c r="W201">
        <f>IF('Cleaned Data'!V201&lt;0,"Review",'Cleaned Data'!V201)</f>
        <v>3</v>
      </c>
      <c r="X201">
        <v>3</v>
      </c>
      <c r="Y201" s="7">
        <f>IFERROR('Cleaned Data'!R201/'Cleaned Data'!L201,0)</f>
        <v>142918.82999999999</v>
      </c>
      <c r="Z201" t="str">
        <f>TEXT(EV_Sales[[#This Row],[Order_Date]],"mmm-yyyy")</f>
        <v>Apr-2025</v>
      </c>
      <c r="AA201">
        <f>MONTH(EV_Sales[[#This Row],[Order_Date]])</f>
        <v>4</v>
      </c>
      <c r="AB201" s="12" t="str">
        <f>"Q"&amp;ROUNDUP(MONTH(EV_Sales[[#This Row],[Order_Date]])/3,0)</f>
        <v>Q2</v>
      </c>
    </row>
    <row r="202" spans="1:28" x14ac:dyDescent="0.3">
      <c r="A202" t="s">
        <v>307</v>
      </c>
      <c r="B202" s="2">
        <v>45759</v>
      </c>
      <c r="C202" t="s">
        <v>39</v>
      </c>
      <c r="D202" t="s">
        <v>40</v>
      </c>
      <c r="E202" t="s">
        <v>62</v>
      </c>
      <c r="F202" t="s">
        <v>74</v>
      </c>
      <c r="G202" t="s">
        <v>34</v>
      </c>
      <c r="H202" t="s">
        <v>27</v>
      </c>
      <c r="I202" t="str">
        <f>IF('Cleaned Data'!H202="Emi","EMI",'Cleaned Data'!H202)</f>
        <v>Finance</v>
      </c>
      <c r="J202" t="s">
        <v>36</v>
      </c>
      <c r="K202" t="s">
        <v>58</v>
      </c>
      <c r="L202">
        <v>2</v>
      </c>
      <c r="M202" s="9">
        <v>127914</v>
      </c>
      <c r="N202" s="4"/>
      <c r="O202" s="4" t="str">
        <f t="shared" si="3"/>
        <v>missing</v>
      </c>
      <c r="P202" s="11">
        <v>255828</v>
      </c>
      <c r="Q202" s="9">
        <v>5372.39</v>
      </c>
      <c r="R202" s="9">
        <v>250455.61</v>
      </c>
      <c r="S202">
        <v>3</v>
      </c>
      <c r="T202">
        <v>164</v>
      </c>
      <c r="U202">
        <v>4.3</v>
      </c>
      <c r="V202">
        <v>7</v>
      </c>
      <c r="W202">
        <f>IF('Cleaned Data'!V202&lt;0,"Review",'Cleaned Data'!V202)</f>
        <v>7</v>
      </c>
      <c r="X202">
        <v>2</v>
      </c>
      <c r="Y202" s="7">
        <f>IFERROR('Cleaned Data'!R202/'Cleaned Data'!L202,0)</f>
        <v>125227.80499999999</v>
      </c>
      <c r="Z202" t="str">
        <f>TEXT(EV_Sales[[#This Row],[Order_Date]],"mmm-yyyy")</f>
        <v>Apr-2025</v>
      </c>
      <c r="AA202">
        <f>MONTH(EV_Sales[[#This Row],[Order_Date]])</f>
        <v>4</v>
      </c>
      <c r="AB202" s="12" t="str">
        <f>"Q"&amp;ROUNDUP(MONTH(EV_Sales[[#This Row],[Order_Date]])/3,0)</f>
        <v>Q2</v>
      </c>
    </row>
    <row r="203" spans="1:28" x14ac:dyDescent="0.3">
      <c r="A203" t="s">
        <v>308</v>
      </c>
      <c r="B203" s="2">
        <v>45827</v>
      </c>
      <c r="C203" t="s">
        <v>87</v>
      </c>
      <c r="D203" t="s">
        <v>130</v>
      </c>
      <c r="E203" t="s">
        <v>24</v>
      </c>
      <c r="F203" t="s">
        <v>25</v>
      </c>
      <c r="G203" t="s">
        <v>34</v>
      </c>
      <c r="H203" t="s">
        <v>53</v>
      </c>
      <c r="I203" t="str">
        <f>IF('Cleaned Data'!H203="Emi","EMI",'Cleaned Data'!H203)</f>
        <v>Cash</v>
      </c>
      <c r="J203" t="s">
        <v>36</v>
      </c>
      <c r="K203" t="s">
        <v>143</v>
      </c>
      <c r="L203">
        <v>3</v>
      </c>
      <c r="M203" s="9">
        <v>115830</v>
      </c>
      <c r="N203" s="4">
        <v>3.2000000000000001E-2</v>
      </c>
      <c r="O203" s="4">
        <f t="shared" si="3"/>
        <v>3.2000000000000001E-2</v>
      </c>
      <c r="P203" s="11">
        <v>347490</v>
      </c>
      <c r="Q203" s="9">
        <v>11119.68</v>
      </c>
      <c r="R203" s="9">
        <v>336370.32</v>
      </c>
      <c r="S203">
        <v>3</v>
      </c>
      <c r="T203">
        <v>165</v>
      </c>
      <c r="U203">
        <v>4.8</v>
      </c>
      <c r="V203">
        <v>5</v>
      </c>
      <c r="W203">
        <f>IF('Cleaned Data'!V203&lt;0,"Review",'Cleaned Data'!V203)</f>
        <v>5</v>
      </c>
      <c r="X203">
        <v>2</v>
      </c>
      <c r="Y203" s="7">
        <f>IFERROR('Cleaned Data'!R203/'Cleaned Data'!L203,0)</f>
        <v>112123.44</v>
      </c>
      <c r="Z203" t="str">
        <f>TEXT(EV_Sales[[#This Row],[Order_Date]],"mmm-yyyy")</f>
        <v>Jun-2025</v>
      </c>
      <c r="AA203">
        <f>MONTH(EV_Sales[[#This Row],[Order_Date]])</f>
        <v>6</v>
      </c>
      <c r="AB203" s="12" t="str">
        <f>"Q"&amp;ROUNDUP(MONTH(EV_Sales[[#This Row],[Order_Date]])/3,0)</f>
        <v>Q2</v>
      </c>
    </row>
    <row r="204" spans="1:28" x14ac:dyDescent="0.3">
      <c r="A204" t="s">
        <v>309</v>
      </c>
      <c r="B204" s="2">
        <v>45817</v>
      </c>
      <c r="C204" t="s">
        <v>39</v>
      </c>
      <c r="D204" t="s">
        <v>40</v>
      </c>
      <c r="E204" t="s">
        <v>46</v>
      </c>
      <c r="F204" t="s">
        <v>47</v>
      </c>
      <c r="G204" t="s">
        <v>26</v>
      </c>
      <c r="H204" t="s">
        <v>53</v>
      </c>
      <c r="I204" t="str">
        <f>IF('Cleaned Data'!H204="Emi","EMI",'Cleaned Data'!H204)</f>
        <v>Cash</v>
      </c>
      <c r="J204" t="s">
        <v>36</v>
      </c>
      <c r="K204" t="s">
        <v>78</v>
      </c>
      <c r="L204">
        <v>4</v>
      </c>
      <c r="M204" s="9">
        <v>131205</v>
      </c>
      <c r="N204" s="4">
        <v>9.8000000000000004E-2</v>
      </c>
      <c r="O204" s="4">
        <f t="shared" si="3"/>
        <v>9.8000000000000004E-2</v>
      </c>
      <c r="P204" s="11">
        <v>524820</v>
      </c>
      <c r="Q204" s="9">
        <v>51432.36</v>
      </c>
      <c r="R204" s="9">
        <v>473387.64</v>
      </c>
      <c r="S204">
        <v>3</v>
      </c>
      <c r="T204">
        <v>144</v>
      </c>
      <c r="U204">
        <v>3.7</v>
      </c>
      <c r="V204">
        <v>4</v>
      </c>
      <c r="W204">
        <f>IF('Cleaned Data'!V204&lt;0,"Review",'Cleaned Data'!V204)</f>
        <v>4</v>
      </c>
      <c r="X204">
        <v>2</v>
      </c>
      <c r="Y204" s="7">
        <f>IFERROR('Cleaned Data'!R204/'Cleaned Data'!L204,0)</f>
        <v>118346.91</v>
      </c>
      <c r="Z204" t="str">
        <f>TEXT(EV_Sales[[#This Row],[Order_Date]],"mmm-yyyy")</f>
        <v>Jun-2025</v>
      </c>
      <c r="AA204">
        <f>MONTH(EV_Sales[[#This Row],[Order_Date]])</f>
        <v>6</v>
      </c>
      <c r="AB204" s="12" t="str">
        <f>"Q"&amp;ROUNDUP(MONTH(EV_Sales[[#This Row],[Order_Date]])/3,0)</f>
        <v>Q2</v>
      </c>
    </row>
    <row r="205" spans="1:28" x14ac:dyDescent="0.3">
      <c r="A205" t="s">
        <v>310</v>
      </c>
      <c r="B205" s="2">
        <v>45661</v>
      </c>
      <c r="C205" t="s">
        <v>44</v>
      </c>
      <c r="D205" t="s">
        <v>51</v>
      </c>
      <c r="E205" t="s">
        <v>46</v>
      </c>
      <c r="F205" t="s">
        <v>74</v>
      </c>
      <c r="G205" t="s">
        <v>56</v>
      </c>
      <c r="H205" t="s">
        <v>27</v>
      </c>
      <c r="I205" t="str">
        <f>IF('Cleaned Data'!H205="Emi","EMI",'Cleaned Data'!H205)</f>
        <v>Finance</v>
      </c>
      <c r="J205" t="s">
        <v>36</v>
      </c>
      <c r="K205" t="s">
        <v>42</v>
      </c>
      <c r="L205">
        <v>5</v>
      </c>
      <c r="M205" s="9">
        <v>128637</v>
      </c>
      <c r="N205" s="4">
        <v>9.9000000000000005E-2</v>
      </c>
      <c r="O205" s="4">
        <f t="shared" si="3"/>
        <v>9.9000000000000005E-2</v>
      </c>
      <c r="P205" s="11">
        <v>643185</v>
      </c>
      <c r="Q205" s="9">
        <v>63675.32</v>
      </c>
      <c r="R205" s="9">
        <v>579509.68000000005</v>
      </c>
      <c r="S205">
        <v>5</v>
      </c>
      <c r="T205">
        <v>206</v>
      </c>
      <c r="U205">
        <v>4.0999999999999996</v>
      </c>
      <c r="V205">
        <v>13</v>
      </c>
      <c r="W205">
        <f>IF('Cleaned Data'!V205&lt;0,"Review",'Cleaned Data'!V205)</f>
        <v>13</v>
      </c>
      <c r="X205">
        <v>3</v>
      </c>
      <c r="Y205" s="7">
        <f>IFERROR('Cleaned Data'!R205/'Cleaned Data'!L205,0)</f>
        <v>115901.93600000002</v>
      </c>
      <c r="Z205" t="str">
        <f>TEXT(EV_Sales[[#This Row],[Order_Date]],"mmm-yyyy")</f>
        <v>Jan-2025</v>
      </c>
      <c r="AA205">
        <f>MONTH(EV_Sales[[#This Row],[Order_Date]])</f>
        <v>1</v>
      </c>
      <c r="AB205" s="12" t="str">
        <f>"Q"&amp;ROUNDUP(MONTH(EV_Sales[[#This Row],[Order_Date]])/3,0)</f>
        <v>Q1</v>
      </c>
    </row>
    <row r="206" spans="1:28" x14ac:dyDescent="0.3">
      <c r="A206" t="s">
        <v>311</v>
      </c>
      <c r="B206" s="2">
        <v>45683</v>
      </c>
      <c r="C206" t="s">
        <v>99</v>
      </c>
      <c r="D206" t="s">
        <v>141</v>
      </c>
      <c r="E206" t="s">
        <v>62</v>
      </c>
      <c r="F206" t="s">
        <v>74</v>
      </c>
      <c r="G206" t="s">
        <v>67</v>
      </c>
      <c r="H206" t="s">
        <v>809</v>
      </c>
      <c r="I206" t="str">
        <f>IF('Cleaned Data'!H206="Emi","EMI",'Cleaned Data'!H206)</f>
        <v>EMI</v>
      </c>
      <c r="J206" t="s">
        <v>36</v>
      </c>
      <c r="K206" t="s">
        <v>216</v>
      </c>
      <c r="L206">
        <v>3</v>
      </c>
      <c r="M206" s="9">
        <v>137776</v>
      </c>
      <c r="N206" s="4">
        <v>4.8000000000000001E-2</v>
      </c>
      <c r="O206" s="4">
        <f t="shared" si="3"/>
        <v>4.8000000000000001E-2</v>
      </c>
      <c r="P206" s="11">
        <v>413328</v>
      </c>
      <c r="Q206" s="9">
        <v>19839.740000000002</v>
      </c>
      <c r="R206" s="9">
        <v>393488.26</v>
      </c>
      <c r="S206">
        <v>5</v>
      </c>
      <c r="T206">
        <v>210</v>
      </c>
      <c r="U206">
        <v>4.0999999999999996</v>
      </c>
      <c r="V206">
        <v>13</v>
      </c>
      <c r="W206">
        <f>IF('Cleaned Data'!V206&lt;0,"Review",'Cleaned Data'!V206)</f>
        <v>13</v>
      </c>
      <c r="X206">
        <v>5</v>
      </c>
      <c r="Y206" s="7">
        <f>IFERROR('Cleaned Data'!R206/'Cleaned Data'!L206,0)</f>
        <v>131162.75333333333</v>
      </c>
      <c r="Z206" t="str">
        <f>TEXT(EV_Sales[[#This Row],[Order_Date]],"mmm-yyyy")</f>
        <v>Jan-2025</v>
      </c>
      <c r="AA206">
        <f>MONTH(EV_Sales[[#This Row],[Order_Date]])</f>
        <v>1</v>
      </c>
      <c r="AB206" s="12" t="str">
        <f>"Q"&amp;ROUNDUP(MONTH(EV_Sales[[#This Row],[Order_Date]])/3,0)</f>
        <v>Q1</v>
      </c>
    </row>
    <row r="207" spans="1:28" x14ac:dyDescent="0.3">
      <c r="A207" t="s">
        <v>312</v>
      </c>
      <c r="B207" s="2">
        <v>45845</v>
      </c>
      <c r="C207" t="s">
        <v>31</v>
      </c>
      <c r="D207" t="s">
        <v>32</v>
      </c>
      <c r="E207" t="s">
        <v>24</v>
      </c>
      <c r="F207" t="s">
        <v>74</v>
      </c>
      <c r="G207" t="s">
        <v>26</v>
      </c>
      <c r="H207" t="s">
        <v>27</v>
      </c>
      <c r="I207" t="str">
        <f>IF('Cleaned Data'!H207="Emi","EMI",'Cleaned Data'!H207)</f>
        <v>Finance</v>
      </c>
      <c r="J207" t="s">
        <v>63</v>
      </c>
      <c r="K207" t="s">
        <v>29</v>
      </c>
      <c r="L207">
        <v>2</v>
      </c>
      <c r="M207" s="9">
        <v>104333</v>
      </c>
      <c r="N207" s="4">
        <v>8.8999999999999996E-2</v>
      </c>
      <c r="O207" s="4">
        <f t="shared" si="3"/>
        <v>8.8999999999999996E-2</v>
      </c>
      <c r="P207" s="11">
        <v>208666</v>
      </c>
      <c r="Q207" s="9">
        <v>18571.27</v>
      </c>
      <c r="R207" s="9">
        <v>190094.73</v>
      </c>
      <c r="S207">
        <v>4</v>
      </c>
      <c r="T207">
        <v>181</v>
      </c>
      <c r="U207">
        <v>4.4000000000000004</v>
      </c>
      <c r="V207">
        <v>10</v>
      </c>
      <c r="W207">
        <f>IF('Cleaned Data'!V207&lt;0,"Review",'Cleaned Data'!V207)</f>
        <v>10</v>
      </c>
      <c r="X207">
        <v>5</v>
      </c>
      <c r="Y207" s="7">
        <f>IFERROR('Cleaned Data'!R207/'Cleaned Data'!L207,0)</f>
        <v>95047.365000000005</v>
      </c>
      <c r="Z207" t="str">
        <f>TEXT(EV_Sales[[#This Row],[Order_Date]],"mmm-yyyy")</f>
        <v>Jul-2025</v>
      </c>
      <c r="AA207">
        <f>MONTH(EV_Sales[[#This Row],[Order_Date]])</f>
        <v>7</v>
      </c>
      <c r="AB207" s="12" t="str">
        <f>"Q"&amp;ROUNDUP(MONTH(EV_Sales[[#This Row],[Order_Date]])/3,0)</f>
        <v>Q3</v>
      </c>
    </row>
    <row r="208" spans="1:28" x14ac:dyDescent="0.3">
      <c r="A208" t="s">
        <v>313</v>
      </c>
      <c r="B208" s="2">
        <v>45718</v>
      </c>
      <c r="C208" t="s">
        <v>22</v>
      </c>
      <c r="D208" t="s">
        <v>23</v>
      </c>
      <c r="E208" t="s">
        <v>24</v>
      </c>
      <c r="F208" t="s">
        <v>33</v>
      </c>
      <c r="G208" t="s">
        <v>26</v>
      </c>
      <c r="H208" t="s">
        <v>27</v>
      </c>
      <c r="I208" t="str">
        <f>IF('Cleaned Data'!H208="Emi","EMI",'Cleaned Data'!H208)</f>
        <v>Finance</v>
      </c>
      <c r="J208" t="s">
        <v>94</v>
      </c>
      <c r="K208" t="s">
        <v>197</v>
      </c>
      <c r="L208">
        <v>5</v>
      </c>
      <c r="M208" s="9">
        <v>128966</v>
      </c>
      <c r="N208" s="4">
        <v>8.2000000000000003E-2</v>
      </c>
      <c r="O208" s="4">
        <f t="shared" si="3"/>
        <v>8.2000000000000003E-2</v>
      </c>
      <c r="P208" s="11">
        <v>644830</v>
      </c>
      <c r="Q208" s="9">
        <v>52876.06</v>
      </c>
      <c r="R208" s="9">
        <v>591953.93999999994</v>
      </c>
      <c r="S208">
        <v>5</v>
      </c>
      <c r="T208">
        <v>203</v>
      </c>
      <c r="U208">
        <v>4.8</v>
      </c>
      <c r="V208">
        <v>14</v>
      </c>
      <c r="W208">
        <f>IF('Cleaned Data'!V208&lt;0,"Review",'Cleaned Data'!V208)</f>
        <v>14</v>
      </c>
      <c r="X208">
        <v>5</v>
      </c>
      <c r="Y208" s="7">
        <f>IFERROR('Cleaned Data'!R208/'Cleaned Data'!L208,0)</f>
        <v>118390.78799999999</v>
      </c>
      <c r="Z208" t="str">
        <f>TEXT(EV_Sales[[#This Row],[Order_Date]],"mmm-yyyy")</f>
        <v>Mar-2025</v>
      </c>
      <c r="AA208">
        <f>MONTH(EV_Sales[[#This Row],[Order_Date]])</f>
        <v>3</v>
      </c>
      <c r="AB208" s="12" t="str">
        <f>"Q"&amp;ROUNDUP(MONTH(EV_Sales[[#This Row],[Order_Date]])/3,0)</f>
        <v>Q1</v>
      </c>
    </row>
    <row r="209" spans="1:28" x14ac:dyDescent="0.3">
      <c r="A209" t="s">
        <v>314</v>
      </c>
      <c r="B209" s="2">
        <v>45892</v>
      </c>
      <c r="C209" t="s">
        <v>44</v>
      </c>
      <c r="D209" t="s">
        <v>45</v>
      </c>
      <c r="E209" t="s">
        <v>62</v>
      </c>
      <c r="F209" t="s">
        <v>101</v>
      </c>
      <c r="G209" t="s">
        <v>26</v>
      </c>
      <c r="H209" t="s">
        <v>810</v>
      </c>
      <c r="I209" t="str">
        <f>IF('Cleaned Data'!H209="Emi","EMI",'Cleaned Data'!H209)</f>
        <v xml:space="preserve"> Emi </v>
      </c>
      <c r="J209" t="s">
        <v>36</v>
      </c>
      <c r="K209" t="s">
        <v>138</v>
      </c>
      <c r="L209">
        <v>2</v>
      </c>
      <c r="M209" s="9">
        <v>143876</v>
      </c>
      <c r="N209" s="4">
        <v>0.11899999999999999</v>
      </c>
      <c r="O209" s="4">
        <f t="shared" si="3"/>
        <v>0.11899999999999999</v>
      </c>
      <c r="P209" s="11">
        <v>287752</v>
      </c>
      <c r="Q209" s="9">
        <v>34242.49</v>
      </c>
      <c r="R209" s="9">
        <v>253509.51</v>
      </c>
      <c r="S209">
        <v>4</v>
      </c>
      <c r="T209">
        <v>201</v>
      </c>
      <c r="U209">
        <v>3.6</v>
      </c>
      <c r="V209">
        <v>10</v>
      </c>
      <c r="W209">
        <f>IF('Cleaned Data'!V209&lt;0,"Review",'Cleaned Data'!V209)</f>
        <v>10</v>
      </c>
      <c r="X209">
        <v>5</v>
      </c>
      <c r="Y209" s="7">
        <f>IFERROR('Cleaned Data'!R209/'Cleaned Data'!L209,0)</f>
        <v>126754.755</v>
      </c>
      <c r="Z209" t="str">
        <f>TEXT(EV_Sales[[#This Row],[Order_Date]],"mmm-yyyy")</f>
        <v>Aug-2025</v>
      </c>
      <c r="AA209">
        <f>MONTH(EV_Sales[[#This Row],[Order_Date]])</f>
        <v>8</v>
      </c>
      <c r="AB209" s="12" t="str">
        <f>"Q"&amp;ROUNDUP(MONTH(EV_Sales[[#This Row],[Order_Date]])/3,0)</f>
        <v>Q3</v>
      </c>
    </row>
    <row r="210" spans="1:28" x14ac:dyDescent="0.3">
      <c r="A210" t="s">
        <v>315</v>
      </c>
      <c r="B210" s="2">
        <v>45931</v>
      </c>
      <c r="C210" t="s">
        <v>60</v>
      </c>
      <c r="D210" t="s">
        <v>69</v>
      </c>
      <c r="E210" t="s">
        <v>24</v>
      </c>
      <c r="F210" t="s">
        <v>74</v>
      </c>
      <c r="G210" t="s">
        <v>56</v>
      </c>
      <c r="H210" t="s">
        <v>809</v>
      </c>
      <c r="I210" t="str">
        <f>IF('Cleaned Data'!H210="Emi","EMI",'Cleaned Data'!H210)</f>
        <v>EMI</v>
      </c>
      <c r="J210" t="s">
        <v>94</v>
      </c>
      <c r="K210" t="s">
        <v>89</v>
      </c>
      <c r="L210">
        <v>2</v>
      </c>
      <c r="M210" s="9">
        <v>99774</v>
      </c>
      <c r="N210" s="4">
        <v>8.2000000000000003E-2</v>
      </c>
      <c r="O210" s="4">
        <f t="shared" si="3"/>
        <v>8.2000000000000003E-2</v>
      </c>
      <c r="P210" s="11">
        <v>199548</v>
      </c>
      <c r="Q210" s="9">
        <v>16362.94</v>
      </c>
      <c r="R210" s="9">
        <v>183185.06</v>
      </c>
      <c r="S210">
        <v>5</v>
      </c>
      <c r="T210">
        <v>206</v>
      </c>
      <c r="U210">
        <v>3.8</v>
      </c>
      <c r="V210">
        <v>12</v>
      </c>
      <c r="W210">
        <f>IF('Cleaned Data'!V210&lt;0,"Review",'Cleaned Data'!V210)</f>
        <v>12</v>
      </c>
      <c r="X210">
        <v>2</v>
      </c>
      <c r="Y210" s="7">
        <f>IFERROR('Cleaned Data'!R210/'Cleaned Data'!L210,0)</f>
        <v>91592.53</v>
      </c>
      <c r="Z210" t="str">
        <f>TEXT(EV_Sales[[#This Row],[Order_Date]],"mmm-yyyy")</f>
        <v>Oct-2025</v>
      </c>
      <c r="AA210">
        <f>MONTH(EV_Sales[[#This Row],[Order_Date]])</f>
        <v>10</v>
      </c>
      <c r="AB210" s="12" t="str">
        <f>"Q"&amp;ROUNDUP(MONTH(EV_Sales[[#This Row],[Order_Date]])/3,0)</f>
        <v>Q4</v>
      </c>
    </row>
    <row r="211" spans="1:28" x14ac:dyDescent="0.3">
      <c r="A211" t="s">
        <v>316</v>
      </c>
      <c r="B211" s="2">
        <v>45904</v>
      </c>
      <c r="C211" t="s">
        <v>99</v>
      </c>
      <c r="D211" t="s">
        <v>100</v>
      </c>
      <c r="E211" t="s">
        <v>24</v>
      </c>
      <c r="F211" t="s">
        <v>80</v>
      </c>
      <c r="G211" t="s">
        <v>67</v>
      </c>
      <c r="H211" t="s">
        <v>27</v>
      </c>
      <c r="I211" t="str">
        <f>IF('Cleaned Data'!H211="Emi","EMI",'Cleaned Data'!H211)</f>
        <v>Finance</v>
      </c>
      <c r="J211" t="s">
        <v>36</v>
      </c>
      <c r="K211" t="s">
        <v>148</v>
      </c>
      <c r="L211">
        <v>1</v>
      </c>
      <c r="M211" s="9">
        <v>121852</v>
      </c>
      <c r="N211" s="4">
        <v>9.7000000000000003E-2</v>
      </c>
      <c r="O211" s="4">
        <f t="shared" si="3"/>
        <v>9.7000000000000003E-2</v>
      </c>
      <c r="P211" s="11">
        <v>121852</v>
      </c>
      <c r="Q211" s="9">
        <v>11819.64</v>
      </c>
      <c r="R211" s="9">
        <v>110032.36</v>
      </c>
      <c r="S211">
        <v>3</v>
      </c>
      <c r="T211">
        <v>161</v>
      </c>
      <c r="U211">
        <v>3.4</v>
      </c>
      <c r="V211">
        <v>2</v>
      </c>
      <c r="W211">
        <f>IF('Cleaned Data'!V211&lt;0,"Review",'Cleaned Data'!V211)</f>
        <v>2</v>
      </c>
      <c r="X211">
        <v>5</v>
      </c>
      <c r="Y211" s="7">
        <f>IFERROR('Cleaned Data'!R211/'Cleaned Data'!L211,0)</f>
        <v>110032.36</v>
      </c>
      <c r="Z211" t="str">
        <f>TEXT(EV_Sales[[#This Row],[Order_Date]],"mmm-yyyy")</f>
        <v>Sep-2025</v>
      </c>
      <c r="AA211">
        <f>MONTH(EV_Sales[[#This Row],[Order_Date]])</f>
        <v>9</v>
      </c>
      <c r="AB211" s="12" t="str">
        <f>"Q"&amp;ROUNDUP(MONTH(EV_Sales[[#This Row],[Order_Date]])/3,0)</f>
        <v>Q3</v>
      </c>
    </row>
    <row r="212" spans="1:28" x14ac:dyDescent="0.3">
      <c r="A212" t="s">
        <v>317</v>
      </c>
      <c r="B212" s="2">
        <v>45693</v>
      </c>
      <c r="C212" t="s">
        <v>60</v>
      </c>
      <c r="D212" t="s">
        <v>61</v>
      </c>
      <c r="E212" t="s">
        <v>62</v>
      </c>
      <c r="F212" t="s">
        <v>80</v>
      </c>
      <c r="G212" t="s">
        <v>67</v>
      </c>
      <c r="H212" t="s">
        <v>809</v>
      </c>
      <c r="I212" t="str">
        <f>IF('Cleaned Data'!H212="Emi","EMI",'Cleaned Data'!H212)</f>
        <v>EMI</v>
      </c>
      <c r="J212" t="s">
        <v>57</v>
      </c>
      <c r="K212" t="s">
        <v>104</v>
      </c>
      <c r="L212">
        <v>1</v>
      </c>
      <c r="M212" s="9">
        <v>123011</v>
      </c>
      <c r="N212" s="4">
        <v>4.2999999999999997E-2</v>
      </c>
      <c r="O212" s="4">
        <f t="shared" si="3"/>
        <v>4.2999999999999997E-2</v>
      </c>
      <c r="P212" s="11">
        <v>123011</v>
      </c>
      <c r="Q212" s="9">
        <v>5289.47</v>
      </c>
      <c r="R212" s="9">
        <v>117721.53</v>
      </c>
      <c r="S212">
        <v>4</v>
      </c>
      <c r="T212">
        <v>173</v>
      </c>
      <c r="U212">
        <v>3.6</v>
      </c>
      <c r="V212">
        <v>3</v>
      </c>
      <c r="W212">
        <f>IF('Cleaned Data'!V212&lt;0,"Review",'Cleaned Data'!V212)</f>
        <v>3</v>
      </c>
      <c r="X212">
        <v>5</v>
      </c>
      <c r="Y212" s="7">
        <f>IFERROR('Cleaned Data'!R212/'Cleaned Data'!L212,0)</f>
        <v>117721.53</v>
      </c>
      <c r="Z212" t="str">
        <f>TEXT(EV_Sales[[#This Row],[Order_Date]],"mmm-yyyy")</f>
        <v>Feb-2025</v>
      </c>
      <c r="AA212">
        <f>MONTH(EV_Sales[[#This Row],[Order_Date]])</f>
        <v>2</v>
      </c>
      <c r="AB212" s="12" t="str">
        <f>"Q"&amp;ROUNDUP(MONTH(EV_Sales[[#This Row],[Order_Date]])/3,0)</f>
        <v>Q1</v>
      </c>
    </row>
    <row r="213" spans="1:28" x14ac:dyDescent="0.3">
      <c r="A213" t="s">
        <v>318</v>
      </c>
      <c r="B213" s="2">
        <v>45798</v>
      </c>
      <c r="C213" t="s">
        <v>39</v>
      </c>
      <c r="D213" t="s">
        <v>154</v>
      </c>
      <c r="E213" t="s">
        <v>62</v>
      </c>
      <c r="F213" t="s">
        <v>74</v>
      </c>
      <c r="G213" t="s">
        <v>56</v>
      </c>
      <c r="H213" t="s">
        <v>53</v>
      </c>
      <c r="I213" t="str">
        <f>IF('Cleaned Data'!H213="Emi","EMI",'Cleaned Data'!H213)</f>
        <v>Cash</v>
      </c>
      <c r="J213" t="s">
        <v>28</v>
      </c>
      <c r="K213" t="s">
        <v>72</v>
      </c>
      <c r="L213">
        <v>1</v>
      </c>
      <c r="M213" s="9">
        <v>191914</v>
      </c>
      <c r="N213" s="4">
        <v>3.5000000000000003E-2</v>
      </c>
      <c r="O213" s="4">
        <f t="shared" si="3"/>
        <v>3.5000000000000003E-2</v>
      </c>
      <c r="P213" s="11">
        <v>191914</v>
      </c>
      <c r="Q213" s="9">
        <v>6716.99</v>
      </c>
      <c r="R213" s="9">
        <v>185197.01</v>
      </c>
      <c r="S213">
        <v>5</v>
      </c>
      <c r="T213">
        <v>199</v>
      </c>
      <c r="U213">
        <v>4.4000000000000004</v>
      </c>
      <c r="V213">
        <v>10</v>
      </c>
      <c r="W213">
        <f>IF('Cleaned Data'!V213&lt;0,"Review",'Cleaned Data'!V213)</f>
        <v>10</v>
      </c>
      <c r="X213">
        <v>2</v>
      </c>
      <c r="Y213" s="7">
        <f>IFERROR('Cleaned Data'!R213/'Cleaned Data'!L213,0)</f>
        <v>185197.01</v>
      </c>
      <c r="Z213" t="str">
        <f>TEXT(EV_Sales[[#This Row],[Order_Date]],"mmm-yyyy")</f>
        <v>May-2025</v>
      </c>
      <c r="AA213">
        <f>MONTH(EV_Sales[[#This Row],[Order_Date]])</f>
        <v>5</v>
      </c>
      <c r="AB213" s="12" t="str">
        <f>"Q"&amp;ROUNDUP(MONTH(EV_Sales[[#This Row],[Order_Date]])/3,0)</f>
        <v>Q2</v>
      </c>
    </row>
    <row r="214" spans="1:28" x14ac:dyDescent="0.3">
      <c r="A214" t="s">
        <v>319</v>
      </c>
      <c r="B214" s="2">
        <v>46016</v>
      </c>
      <c r="C214" t="s">
        <v>39</v>
      </c>
      <c r="D214" t="s">
        <v>40</v>
      </c>
      <c r="E214" t="s">
        <v>24</v>
      </c>
      <c r="F214" t="s">
        <v>74</v>
      </c>
      <c r="G214" t="s">
        <v>26</v>
      </c>
      <c r="H214" t="s">
        <v>27</v>
      </c>
      <c r="I214" t="str">
        <f>IF('Cleaned Data'!H214="Emi","EMI",'Cleaned Data'!H214)</f>
        <v>Finance</v>
      </c>
      <c r="J214" t="s">
        <v>94</v>
      </c>
      <c r="K214" t="s">
        <v>81</v>
      </c>
      <c r="L214">
        <v>2</v>
      </c>
      <c r="M214" s="9">
        <v>123749</v>
      </c>
      <c r="N214" s="4">
        <v>9.9000000000000005E-2</v>
      </c>
      <c r="O214" s="4">
        <f t="shared" si="3"/>
        <v>9.9000000000000005E-2</v>
      </c>
      <c r="P214" s="11">
        <v>247498</v>
      </c>
      <c r="Q214" s="9">
        <v>24502.3</v>
      </c>
      <c r="R214" s="9">
        <v>222995.7</v>
      </c>
      <c r="S214">
        <v>3</v>
      </c>
      <c r="T214">
        <v>140</v>
      </c>
      <c r="U214">
        <v>4.5</v>
      </c>
      <c r="V214">
        <v>5</v>
      </c>
      <c r="W214">
        <f>IF('Cleaned Data'!V214&lt;0,"Review",'Cleaned Data'!V214)</f>
        <v>5</v>
      </c>
      <c r="X214">
        <v>2</v>
      </c>
      <c r="Y214" s="7">
        <f>IFERROR('Cleaned Data'!R214/'Cleaned Data'!L214,0)</f>
        <v>111497.85</v>
      </c>
      <c r="Z214" t="str">
        <f>TEXT(EV_Sales[[#This Row],[Order_Date]],"mmm-yyyy")</f>
        <v>Dec-2025</v>
      </c>
      <c r="AA214">
        <f>MONTH(EV_Sales[[#This Row],[Order_Date]])</f>
        <v>12</v>
      </c>
      <c r="AB214" s="12" t="str">
        <f>"Q"&amp;ROUNDUP(MONTH(EV_Sales[[#This Row],[Order_Date]])/3,0)</f>
        <v>Q4</v>
      </c>
    </row>
    <row r="215" spans="1:28" x14ac:dyDescent="0.3">
      <c r="A215" t="s">
        <v>320</v>
      </c>
      <c r="B215" s="2">
        <v>45923</v>
      </c>
      <c r="C215" t="s">
        <v>44</v>
      </c>
      <c r="D215" t="s">
        <v>45</v>
      </c>
      <c r="E215" t="s">
        <v>46</v>
      </c>
      <c r="F215" t="s">
        <v>52</v>
      </c>
      <c r="G215" t="s">
        <v>56</v>
      </c>
      <c r="H215" t="s">
        <v>53</v>
      </c>
      <c r="I215" t="str">
        <f>IF('Cleaned Data'!H215="Emi","EMI",'Cleaned Data'!H215)</f>
        <v>Cash</v>
      </c>
      <c r="J215" t="s">
        <v>63</v>
      </c>
      <c r="K215" t="s">
        <v>175</v>
      </c>
      <c r="L215">
        <v>3</v>
      </c>
      <c r="M215" s="9">
        <v>156787</v>
      </c>
      <c r="N215" s="4">
        <v>4.2999999999999997E-2</v>
      </c>
      <c r="O215" s="4">
        <f t="shared" si="3"/>
        <v>4.2999999999999997E-2</v>
      </c>
      <c r="P215" s="11">
        <v>470361</v>
      </c>
      <c r="Q215" s="9">
        <v>20225.52</v>
      </c>
      <c r="R215" s="9">
        <v>450135.48</v>
      </c>
      <c r="S215">
        <v>5</v>
      </c>
      <c r="T215">
        <v>205</v>
      </c>
      <c r="U215">
        <v>3.7</v>
      </c>
      <c r="V215">
        <v>10</v>
      </c>
      <c r="W215">
        <f>IF('Cleaned Data'!V215&lt;0,"Review",'Cleaned Data'!V215)</f>
        <v>10</v>
      </c>
      <c r="X215">
        <v>2</v>
      </c>
      <c r="Y215" s="7">
        <f>IFERROR('Cleaned Data'!R215/'Cleaned Data'!L215,0)</f>
        <v>150045.16</v>
      </c>
      <c r="Z215" t="str">
        <f>TEXT(EV_Sales[[#This Row],[Order_Date]],"mmm-yyyy")</f>
        <v>Sep-2025</v>
      </c>
      <c r="AA215">
        <f>MONTH(EV_Sales[[#This Row],[Order_Date]])</f>
        <v>9</v>
      </c>
      <c r="AB215" s="12" t="str">
        <f>"Q"&amp;ROUNDUP(MONTH(EV_Sales[[#This Row],[Order_Date]])/3,0)</f>
        <v>Q3</v>
      </c>
    </row>
    <row r="216" spans="1:28" x14ac:dyDescent="0.3">
      <c r="A216" t="s">
        <v>321</v>
      </c>
      <c r="B216" s="2">
        <v>45766</v>
      </c>
      <c r="C216" t="s">
        <v>99</v>
      </c>
      <c r="D216" t="s">
        <v>121</v>
      </c>
      <c r="E216" t="s">
        <v>24</v>
      </c>
      <c r="F216" t="s">
        <v>41</v>
      </c>
      <c r="G216" t="s">
        <v>67</v>
      </c>
      <c r="H216" t="s">
        <v>53</v>
      </c>
      <c r="I216" t="str">
        <f>IF('Cleaned Data'!H216="Emi","EMI",'Cleaned Data'!H216)</f>
        <v>Cash</v>
      </c>
      <c r="J216" t="s">
        <v>57</v>
      </c>
      <c r="K216" t="s">
        <v>89</v>
      </c>
      <c r="L216">
        <v>1</v>
      </c>
      <c r="M216" s="9">
        <v>111843</v>
      </c>
      <c r="N216" s="4">
        <v>0.115</v>
      </c>
      <c r="O216" s="4">
        <f t="shared" si="3"/>
        <v>0.115</v>
      </c>
      <c r="P216" s="11">
        <v>111843</v>
      </c>
      <c r="Q216" s="9">
        <v>12861.94</v>
      </c>
      <c r="R216" s="9">
        <v>98981.06</v>
      </c>
      <c r="S216">
        <v>5</v>
      </c>
      <c r="T216">
        <v>216</v>
      </c>
      <c r="U216">
        <v>3.9</v>
      </c>
      <c r="V216">
        <v>11</v>
      </c>
      <c r="W216">
        <f>IF('Cleaned Data'!V216&lt;0,"Review",'Cleaned Data'!V216)</f>
        <v>11</v>
      </c>
      <c r="X216">
        <v>5</v>
      </c>
      <c r="Y216" s="7">
        <f>IFERROR('Cleaned Data'!R216/'Cleaned Data'!L216,0)</f>
        <v>98981.06</v>
      </c>
      <c r="Z216" t="str">
        <f>TEXT(EV_Sales[[#This Row],[Order_Date]],"mmm-yyyy")</f>
        <v>Apr-2025</v>
      </c>
      <c r="AA216">
        <f>MONTH(EV_Sales[[#This Row],[Order_Date]])</f>
        <v>4</v>
      </c>
      <c r="AB216" s="12" t="str">
        <f>"Q"&amp;ROUNDUP(MONTH(EV_Sales[[#This Row],[Order_Date]])/3,0)</f>
        <v>Q2</v>
      </c>
    </row>
    <row r="217" spans="1:28" x14ac:dyDescent="0.3">
      <c r="A217" t="s">
        <v>322</v>
      </c>
      <c r="B217" s="2">
        <v>45760</v>
      </c>
      <c r="C217" t="s">
        <v>39</v>
      </c>
      <c r="D217" t="s">
        <v>154</v>
      </c>
      <c r="E217" t="s">
        <v>62</v>
      </c>
      <c r="F217" t="s">
        <v>41</v>
      </c>
      <c r="G217" t="s">
        <v>26</v>
      </c>
      <c r="H217" t="s">
        <v>53</v>
      </c>
      <c r="I217" t="str">
        <f>IF('Cleaned Data'!H217="Emi","EMI",'Cleaned Data'!H217)</f>
        <v>Cash</v>
      </c>
      <c r="J217" t="s">
        <v>48</v>
      </c>
      <c r="K217" t="s">
        <v>203</v>
      </c>
      <c r="L217">
        <v>1</v>
      </c>
      <c r="M217" s="9">
        <v>185228</v>
      </c>
      <c r="N217" s="4">
        <v>5.6000000000000001E-2</v>
      </c>
      <c r="O217" s="4">
        <f t="shared" si="3"/>
        <v>5.6000000000000001E-2</v>
      </c>
      <c r="P217" s="11">
        <v>185228</v>
      </c>
      <c r="Q217" s="9">
        <v>10372.77</v>
      </c>
      <c r="R217" s="9">
        <v>174855.23</v>
      </c>
      <c r="S217">
        <v>3</v>
      </c>
      <c r="T217">
        <v>162</v>
      </c>
      <c r="U217">
        <v>4.5999999999999996</v>
      </c>
      <c r="V217">
        <v>9</v>
      </c>
      <c r="W217">
        <f>IF('Cleaned Data'!V217&lt;0,"Review",'Cleaned Data'!V217)</f>
        <v>9</v>
      </c>
      <c r="X217">
        <v>5</v>
      </c>
      <c r="Y217" s="7">
        <f>IFERROR('Cleaned Data'!R217/'Cleaned Data'!L217,0)</f>
        <v>174855.23</v>
      </c>
      <c r="Z217" t="str">
        <f>TEXT(EV_Sales[[#This Row],[Order_Date]],"mmm-yyyy")</f>
        <v>Apr-2025</v>
      </c>
      <c r="AA217">
        <f>MONTH(EV_Sales[[#This Row],[Order_Date]])</f>
        <v>4</v>
      </c>
      <c r="AB217" s="12" t="str">
        <f>"Q"&amp;ROUNDUP(MONTH(EV_Sales[[#This Row],[Order_Date]])/3,0)</f>
        <v>Q2</v>
      </c>
    </row>
    <row r="218" spans="1:28" x14ac:dyDescent="0.3">
      <c r="A218" t="s">
        <v>323</v>
      </c>
      <c r="B218" s="2">
        <v>45838</v>
      </c>
      <c r="C218" t="s">
        <v>39</v>
      </c>
      <c r="D218" t="s">
        <v>154</v>
      </c>
      <c r="E218" t="s">
        <v>24</v>
      </c>
      <c r="F218" t="s">
        <v>52</v>
      </c>
      <c r="G218" t="s">
        <v>56</v>
      </c>
      <c r="H218" t="s">
        <v>809</v>
      </c>
      <c r="I218" t="str">
        <f>IF('Cleaned Data'!H218="Emi","EMI",'Cleaned Data'!H218)</f>
        <v>EMI</v>
      </c>
      <c r="J218" t="s">
        <v>28</v>
      </c>
      <c r="K218" t="s">
        <v>95</v>
      </c>
      <c r="L218">
        <v>1</v>
      </c>
      <c r="M218" s="9">
        <v>179915</v>
      </c>
      <c r="N218" s="4">
        <v>2.4E-2</v>
      </c>
      <c r="O218" s="4">
        <f t="shared" si="3"/>
        <v>2.4E-2</v>
      </c>
      <c r="P218" s="11">
        <v>179915</v>
      </c>
      <c r="Q218" s="9">
        <v>4317.96</v>
      </c>
      <c r="R218" s="9">
        <v>175597.04</v>
      </c>
      <c r="S218">
        <v>3</v>
      </c>
      <c r="T218">
        <v>172</v>
      </c>
      <c r="U218">
        <v>3</v>
      </c>
      <c r="V218">
        <v>6</v>
      </c>
      <c r="W218">
        <f>IF('Cleaned Data'!V218&lt;0,"Review",'Cleaned Data'!V218)</f>
        <v>6</v>
      </c>
      <c r="X218">
        <v>2</v>
      </c>
      <c r="Y218" s="7">
        <f>IFERROR('Cleaned Data'!R218/'Cleaned Data'!L218,0)</f>
        <v>175597.04</v>
      </c>
      <c r="Z218" t="str">
        <f>TEXT(EV_Sales[[#This Row],[Order_Date]],"mmm-yyyy")</f>
        <v>Jun-2025</v>
      </c>
      <c r="AA218">
        <f>MONTH(EV_Sales[[#This Row],[Order_Date]])</f>
        <v>6</v>
      </c>
      <c r="AB218" s="12" t="str">
        <f>"Q"&amp;ROUNDUP(MONTH(EV_Sales[[#This Row],[Order_Date]])/3,0)</f>
        <v>Q2</v>
      </c>
    </row>
    <row r="219" spans="1:28" x14ac:dyDescent="0.3">
      <c r="A219" t="s">
        <v>324</v>
      </c>
      <c r="B219" s="2">
        <v>45660</v>
      </c>
      <c r="C219" t="s">
        <v>60</v>
      </c>
      <c r="D219" t="s">
        <v>61</v>
      </c>
      <c r="E219" t="s">
        <v>46</v>
      </c>
      <c r="F219" t="s">
        <v>66</v>
      </c>
      <c r="G219" t="s">
        <v>26</v>
      </c>
      <c r="H219" t="s">
        <v>27</v>
      </c>
      <c r="I219" t="str">
        <f>IF('Cleaned Data'!H219="Emi","EMI",'Cleaned Data'!H219)</f>
        <v>Finance</v>
      </c>
      <c r="J219" t="s">
        <v>28</v>
      </c>
      <c r="K219" t="s">
        <v>49</v>
      </c>
      <c r="L219">
        <v>4</v>
      </c>
      <c r="M219" s="9">
        <v>108935</v>
      </c>
      <c r="N219" s="4">
        <v>3.9E-2</v>
      </c>
      <c r="O219" s="4">
        <f t="shared" si="3"/>
        <v>3.9E-2</v>
      </c>
      <c r="P219" s="11">
        <v>435740</v>
      </c>
      <c r="Q219" s="9">
        <v>16993.86</v>
      </c>
      <c r="R219" s="9">
        <v>418746.14</v>
      </c>
      <c r="S219">
        <v>3</v>
      </c>
      <c r="T219">
        <v>173</v>
      </c>
      <c r="U219">
        <v>4.7</v>
      </c>
      <c r="V219">
        <v>10</v>
      </c>
      <c r="W219">
        <f>IF('Cleaned Data'!V219&lt;0,"Review",'Cleaned Data'!V219)</f>
        <v>10</v>
      </c>
      <c r="X219">
        <v>2</v>
      </c>
      <c r="Y219" s="7">
        <f>IFERROR('Cleaned Data'!R219/'Cleaned Data'!L219,0)</f>
        <v>104686.535</v>
      </c>
      <c r="Z219" t="str">
        <f>TEXT(EV_Sales[[#This Row],[Order_Date]],"mmm-yyyy")</f>
        <v>Jan-2025</v>
      </c>
      <c r="AA219">
        <f>MONTH(EV_Sales[[#This Row],[Order_Date]])</f>
        <v>1</v>
      </c>
      <c r="AB219" s="12" t="str">
        <f>"Q"&amp;ROUNDUP(MONTH(EV_Sales[[#This Row],[Order_Date]])/3,0)</f>
        <v>Q1</v>
      </c>
    </row>
    <row r="220" spans="1:28" x14ac:dyDescent="0.3">
      <c r="A220" t="s">
        <v>325</v>
      </c>
      <c r="B220" s="2">
        <v>45769</v>
      </c>
      <c r="C220" t="s">
        <v>60</v>
      </c>
      <c r="D220" t="s">
        <v>69</v>
      </c>
      <c r="E220" t="s">
        <v>62</v>
      </c>
      <c r="F220" t="s">
        <v>66</v>
      </c>
      <c r="G220" t="s">
        <v>56</v>
      </c>
      <c r="H220" t="s">
        <v>27</v>
      </c>
      <c r="I220" t="str">
        <f>IF('Cleaned Data'!H220="Emi","EMI",'Cleaned Data'!H220)</f>
        <v>Finance</v>
      </c>
      <c r="J220" t="s">
        <v>48</v>
      </c>
      <c r="K220" t="s">
        <v>58</v>
      </c>
      <c r="L220">
        <v>3</v>
      </c>
      <c r="M220" s="9">
        <v>101369</v>
      </c>
      <c r="N220" s="4">
        <v>5.7000000000000002E-2</v>
      </c>
      <c r="O220" s="4">
        <f t="shared" si="3"/>
        <v>5.7000000000000002E-2</v>
      </c>
      <c r="P220" s="11">
        <v>304107</v>
      </c>
      <c r="Q220" s="9">
        <v>17334.099999999999</v>
      </c>
      <c r="R220" s="9">
        <v>286772.90000000002</v>
      </c>
      <c r="S220">
        <v>5</v>
      </c>
      <c r="T220">
        <v>192</v>
      </c>
      <c r="U220">
        <v>4.7</v>
      </c>
      <c r="V220">
        <v>6</v>
      </c>
      <c r="W220">
        <f>IF('Cleaned Data'!V220&lt;0,"Review",'Cleaned Data'!V220)</f>
        <v>6</v>
      </c>
      <c r="X220">
        <v>2</v>
      </c>
      <c r="Y220" s="7">
        <f>IFERROR('Cleaned Data'!R220/'Cleaned Data'!L220,0)</f>
        <v>95590.966666666674</v>
      </c>
      <c r="Z220" t="str">
        <f>TEXT(EV_Sales[[#This Row],[Order_Date]],"mmm-yyyy")</f>
        <v>Apr-2025</v>
      </c>
      <c r="AA220">
        <f>MONTH(EV_Sales[[#This Row],[Order_Date]])</f>
        <v>4</v>
      </c>
      <c r="AB220" s="12" t="str">
        <f>"Q"&amp;ROUNDUP(MONTH(EV_Sales[[#This Row],[Order_Date]])/3,0)</f>
        <v>Q2</v>
      </c>
    </row>
    <row r="221" spans="1:28" x14ac:dyDescent="0.3">
      <c r="A221" t="s">
        <v>326</v>
      </c>
      <c r="B221" s="2">
        <v>45911</v>
      </c>
      <c r="C221" t="s">
        <v>99</v>
      </c>
      <c r="D221" t="s">
        <v>121</v>
      </c>
      <c r="E221" t="s">
        <v>46</v>
      </c>
      <c r="F221" t="s">
        <v>25</v>
      </c>
      <c r="G221" t="s">
        <v>26</v>
      </c>
      <c r="H221" t="s">
        <v>53</v>
      </c>
      <c r="I221" t="str">
        <f>IF('Cleaned Data'!H221="Emi","EMI",'Cleaned Data'!H221)</f>
        <v>Cash</v>
      </c>
      <c r="J221" t="s">
        <v>57</v>
      </c>
      <c r="K221" t="s">
        <v>37</v>
      </c>
      <c r="L221">
        <v>2</v>
      </c>
      <c r="M221" s="9">
        <v>112697</v>
      </c>
      <c r="N221" s="4">
        <v>2.4E-2</v>
      </c>
      <c r="O221" s="4">
        <f t="shared" si="3"/>
        <v>2.4E-2</v>
      </c>
      <c r="P221" s="11">
        <v>225394</v>
      </c>
      <c r="Q221" s="9">
        <v>5409.46</v>
      </c>
      <c r="R221" s="9">
        <v>219984.54</v>
      </c>
      <c r="S221">
        <v>3</v>
      </c>
      <c r="T221">
        <v>144</v>
      </c>
      <c r="U221">
        <v>4.5</v>
      </c>
      <c r="V221">
        <v>10</v>
      </c>
      <c r="W221">
        <f>IF('Cleaned Data'!V221&lt;0,"Review",'Cleaned Data'!V221)</f>
        <v>10</v>
      </c>
      <c r="X221">
        <v>5</v>
      </c>
      <c r="Y221" s="7">
        <f>IFERROR('Cleaned Data'!R221/'Cleaned Data'!L221,0)</f>
        <v>109992.27</v>
      </c>
      <c r="Z221" t="str">
        <f>TEXT(EV_Sales[[#This Row],[Order_Date]],"mmm-yyyy")</f>
        <v>Sep-2025</v>
      </c>
      <c r="AA221">
        <f>MONTH(EV_Sales[[#This Row],[Order_Date]])</f>
        <v>9</v>
      </c>
      <c r="AB221" s="12" t="str">
        <f>"Q"&amp;ROUNDUP(MONTH(EV_Sales[[#This Row],[Order_Date]])/3,0)</f>
        <v>Q3</v>
      </c>
    </row>
    <row r="222" spans="1:28" x14ac:dyDescent="0.3">
      <c r="A222" t="s">
        <v>327</v>
      </c>
      <c r="B222" s="2">
        <v>45738</v>
      </c>
      <c r="C222" t="s">
        <v>39</v>
      </c>
      <c r="D222" t="s">
        <v>154</v>
      </c>
      <c r="E222" t="s">
        <v>62</v>
      </c>
      <c r="F222" t="s">
        <v>70</v>
      </c>
      <c r="G222" t="s">
        <v>67</v>
      </c>
      <c r="H222" t="s">
        <v>27</v>
      </c>
      <c r="I222" t="str">
        <f>IF('Cleaned Data'!H222="Emi","EMI",'Cleaned Data'!H222)</f>
        <v>Finance</v>
      </c>
      <c r="J222" t="s">
        <v>63</v>
      </c>
      <c r="K222" t="s">
        <v>148</v>
      </c>
      <c r="L222">
        <v>5</v>
      </c>
      <c r="M222" s="9">
        <v>190053</v>
      </c>
      <c r="N222" s="4">
        <v>0.09</v>
      </c>
      <c r="O222" s="4">
        <f t="shared" si="3"/>
        <v>0.09</v>
      </c>
      <c r="P222" s="11">
        <v>950265</v>
      </c>
      <c r="Q222" s="9">
        <v>85523.85</v>
      </c>
      <c r="R222" s="9">
        <v>864741.15</v>
      </c>
      <c r="S222">
        <v>4</v>
      </c>
      <c r="T222">
        <v>191</v>
      </c>
      <c r="U222">
        <v>4.0999999999999996</v>
      </c>
      <c r="V222">
        <v>8</v>
      </c>
      <c r="W222">
        <f>IF('Cleaned Data'!V222&lt;0,"Review",'Cleaned Data'!V222)</f>
        <v>8</v>
      </c>
      <c r="X222">
        <v>3</v>
      </c>
      <c r="Y222" s="7">
        <f>IFERROR('Cleaned Data'!R222/'Cleaned Data'!L222,0)</f>
        <v>172948.23</v>
      </c>
      <c r="Z222" t="str">
        <f>TEXT(EV_Sales[[#This Row],[Order_Date]],"mmm-yyyy")</f>
        <v>Mar-2025</v>
      </c>
      <c r="AA222">
        <f>MONTH(EV_Sales[[#This Row],[Order_Date]])</f>
        <v>3</v>
      </c>
      <c r="AB222" s="12" t="str">
        <f>"Q"&amp;ROUNDUP(MONTH(EV_Sales[[#This Row],[Order_Date]])/3,0)</f>
        <v>Q1</v>
      </c>
    </row>
    <row r="223" spans="1:28" x14ac:dyDescent="0.3">
      <c r="A223" t="s">
        <v>328</v>
      </c>
      <c r="B223" s="2">
        <v>45798</v>
      </c>
      <c r="C223" t="s">
        <v>60</v>
      </c>
      <c r="D223" t="s">
        <v>69</v>
      </c>
      <c r="E223" t="s">
        <v>46</v>
      </c>
      <c r="F223" t="s">
        <v>74</v>
      </c>
      <c r="G223" t="s">
        <v>56</v>
      </c>
      <c r="H223" t="s">
        <v>27</v>
      </c>
      <c r="I223" t="str">
        <f>IF('Cleaned Data'!H223="Emi","EMI",'Cleaned Data'!H223)</f>
        <v>Finance</v>
      </c>
      <c r="J223" t="s">
        <v>36</v>
      </c>
      <c r="K223" t="s">
        <v>203</v>
      </c>
      <c r="L223">
        <v>1</v>
      </c>
      <c r="M223" s="9">
        <v>108477</v>
      </c>
      <c r="N223" s="4">
        <v>3.5999999999999997E-2</v>
      </c>
      <c r="O223" s="4">
        <f t="shared" si="3"/>
        <v>3.5999999999999997E-2</v>
      </c>
      <c r="P223" s="11">
        <v>108477</v>
      </c>
      <c r="Q223" s="9">
        <v>3905.17</v>
      </c>
      <c r="R223" s="9">
        <v>104571.83</v>
      </c>
      <c r="S223">
        <v>2</v>
      </c>
      <c r="T223">
        <v>154</v>
      </c>
      <c r="U223">
        <v>4.5999999999999996</v>
      </c>
      <c r="V223">
        <v>14</v>
      </c>
      <c r="W223">
        <f>IF('Cleaned Data'!V223&lt;0,"Review",'Cleaned Data'!V223)</f>
        <v>14</v>
      </c>
      <c r="X223">
        <v>5</v>
      </c>
      <c r="Y223" s="7">
        <f>IFERROR('Cleaned Data'!R223/'Cleaned Data'!L223,0)</f>
        <v>104571.83</v>
      </c>
      <c r="Z223" t="str">
        <f>TEXT(EV_Sales[[#This Row],[Order_Date]],"mmm-yyyy")</f>
        <v>May-2025</v>
      </c>
      <c r="AA223">
        <f>MONTH(EV_Sales[[#This Row],[Order_Date]])</f>
        <v>5</v>
      </c>
      <c r="AB223" s="12" t="str">
        <f>"Q"&amp;ROUNDUP(MONTH(EV_Sales[[#This Row],[Order_Date]])/3,0)</f>
        <v>Q2</v>
      </c>
    </row>
    <row r="224" spans="1:28" x14ac:dyDescent="0.3">
      <c r="A224" t="s">
        <v>329</v>
      </c>
      <c r="B224" s="2">
        <v>45996</v>
      </c>
      <c r="C224" t="s">
        <v>99</v>
      </c>
      <c r="D224" t="s">
        <v>141</v>
      </c>
      <c r="E224" t="s">
        <v>46</v>
      </c>
      <c r="F224" t="s">
        <v>74</v>
      </c>
      <c r="G224" t="s">
        <v>34</v>
      </c>
      <c r="H224" t="s">
        <v>809</v>
      </c>
      <c r="I224" t="str">
        <f>IF('Cleaned Data'!H224="Emi","EMI",'Cleaned Data'!H224)</f>
        <v>EMI</v>
      </c>
      <c r="J224" t="s">
        <v>94</v>
      </c>
      <c r="K224" t="s">
        <v>64</v>
      </c>
      <c r="L224">
        <v>3</v>
      </c>
      <c r="M224" s="9">
        <v>134037</v>
      </c>
      <c r="N224" s="4">
        <v>0.1</v>
      </c>
      <c r="O224" s="4">
        <f t="shared" si="3"/>
        <v>0.1</v>
      </c>
      <c r="P224" s="11">
        <v>402111</v>
      </c>
      <c r="Q224" s="9">
        <v>40211.1</v>
      </c>
      <c r="R224" s="9">
        <v>361899.9</v>
      </c>
      <c r="S224">
        <v>4</v>
      </c>
      <c r="T224">
        <v>182</v>
      </c>
      <c r="U224">
        <v>5</v>
      </c>
      <c r="V224">
        <v>7</v>
      </c>
      <c r="W224">
        <f>IF('Cleaned Data'!V224&lt;0,"Review",'Cleaned Data'!V224)</f>
        <v>7</v>
      </c>
      <c r="X224">
        <v>2</v>
      </c>
      <c r="Y224" s="7">
        <f>IFERROR('Cleaned Data'!R224/'Cleaned Data'!L224,0)</f>
        <v>120633.3</v>
      </c>
      <c r="Z224" t="str">
        <f>TEXT(EV_Sales[[#This Row],[Order_Date]],"mmm-yyyy")</f>
        <v>Dec-2025</v>
      </c>
      <c r="AA224">
        <f>MONTH(EV_Sales[[#This Row],[Order_Date]])</f>
        <v>12</v>
      </c>
      <c r="AB224" s="12" t="str">
        <f>"Q"&amp;ROUNDUP(MONTH(EV_Sales[[#This Row],[Order_Date]])/3,0)</f>
        <v>Q4</v>
      </c>
    </row>
    <row r="225" spans="1:28" x14ac:dyDescent="0.3">
      <c r="A225" t="s">
        <v>330</v>
      </c>
      <c r="B225" s="2">
        <v>45993</v>
      </c>
      <c r="C225" t="s">
        <v>60</v>
      </c>
      <c r="D225" t="s">
        <v>69</v>
      </c>
      <c r="E225" t="s">
        <v>62</v>
      </c>
      <c r="F225" t="s">
        <v>41</v>
      </c>
      <c r="G225" t="s">
        <v>34</v>
      </c>
      <c r="H225" t="s">
        <v>809</v>
      </c>
      <c r="I225" t="str">
        <f>IF('Cleaned Data'!H225="Emi","EMI",'Cleaned Data'!H225)</f>
        <v>EMI</v>
      </c>
      <c r="J225" t="s">
        <v>48</v>
      </c>
      <c r="K225" t="s">
        <v>85</v>
      </c>
      <c r="L225">
        <v>4</v>
      </c>
      <c r="M225" s="9">
        <v>101335</v>
      </c>
      <c r="N225" s="4">
        <v>0.1</v>
      </c>
      <c r="O225" s="4">
        <f t="shared" si="3"/>
        <v>0.1</v>
      </c>
      <c r="P225" s="11">
        <v>405340</v>
      </c>
      <c r="Q225" s="9">
        <v>40534</v>
      </c>
      <c r="R225" s="9">
        <v>364806</v>
      </c>
      <c r="S225">
        <v>4</v>
      </c>
      <c r="T225">
        <v>170</v>
      </c>
      <c r="U225">
        <v>4</v>
      </c>
      <c r="V225">
        <v>11</v>
      </c>
      <c r="W225">
        <f>IF('Cleaned Data'!V225&lt;0,"Review",'Cleaned Data'!V225)</f>
        <v>11</v>
      </c>
      <c r="X225">
        <v>2</v>
      </c>
      <c r="Y225" s="7">
        <f>IFERROR('Cleaned Data'!R225/'Cleaned Data'!L225,0)</f>
        <v>91201.5</v>
      </c>
      <c r="Z225" t="str">
        <f>TEXT(EV_Sales[[#This Row],[Order_Date]],"mmm-yyyy")</f>
        <v>Dec-2025</v>
      </c>
      <c r="AA225">
        <f>MONTH(EV_Sales[[#This Row],[Order_Date]])</f>
        <v>12</v>
      </c>
      <c r="AB225" s="12" t="str">
        <f>"Q"&amp;ROUNDUP(MONTH(EV_Sales[[#This Row],[Order_Date]])/3,0)</f>
        <v>Q4</v>
      </c>
    </row>
    <row r="226" spans="1:28" x14ac:dyDescent="0.3">
      <c r="A226" t="s">
        <v>331</v>
      </c>
      <c r="B226" s="2">
        <v>45970</v>
      </c>
      <c r="C226" t="s">
        <v>87</v>
      </c>
      <c r="D226" t="s">
        <v>130</v>
      </c>
      <c r="E226" t="s">
        <v>46</v>
      </c>
      <c r="F226" t="s">
        <v>811</v>
      </c>
      <c r="G226" t="s">
        <v>26</v>
      </c>
      <c r="H226" t="s">
        <v>53</v>
      </c>
      <c r="I226" t="str">
        <f>IF('Cleaned Data'!H226="Emi","EMI",'Cleaned Data'!H226)</f>
        <v>Cash</v>
      </c>
      <c r="J226" t="s">
        <v>94</v>
      </c>
      <c r="K226" t="s">
        <v>37</v>
      </c>
      <c r="L226">
        <v>3</v>
      </c>
      <c r="M226" s="9">
        <v>107257</v>
      </c>
      <c r="N226" s="4">
        <v>8.2000000000000003E-2</v>
      </c>
      <c r="O226" s="4">
        <f t="shared" si="3"/>
        <v>8.2000000000000003E-2</v>
      </c>
      <c r="P226" s="11">
        <v>321771</v>
      </c>
      <c r="Q226" s="9">
        <v>26385.22</v>
      </c>
      <c r="R226" s="9">
        <v>295385.78000000003</v>
      </c>
      <c r="S226">
        <v>4</v>
      </c>
      <c r="T226">
        <v>182</v>
      </c>
      <c r="U226">
        <v>3.8</v>
      </c>
      <c r="V226">
        <v>6</v>
      </c>
      <c r="W226">
        <f>IF('Cleaned Data'!V226&lt;0,"Review",'Cleaned Data'!V226)</f>
        <v>6</v>
      </c>
      <c r="X226">
        <v>5</v>
      </c>
      <c r="Y226" s="7">
        <f>IFERROR('Cleaned Data'!R226/'Cleaned Data'!L226,0)</f>
        <v>98461.926666666681</v>
      </c>
      <c r="Z226" t="str">
        <f>TEXT(EV_Sales[[#This Row],[Order_Date]],"mmm-yyyy")</f>
        <v>Nov-2025</v>
      </c>
      <c r="AA226">
        <f>MONTH(EV_Sales[[#This Row],[Order_Date]])</f>
        <v>11</v>
      </c>
      <c r="AB226" s="12" t="str">
        <f>"Q"&amp;ROUNDUP(MONTH(EV_Sales[[#This Row],[Order_Date]])/3,0)</f>
        <v>Q4</v>
      </c>
    </row>
    <row r="227" spans="1:28" x14ac:dyDescent="0.3">
      <c r="A227" t="s">
        <v>332</v>
      </c>
      <c r="B227" s="2">
        <v>45726</v>
      </c>
      <c r="C227" t="s">
        <v>44</v>
      </c>
      <c r="D227" t="s">
        <v>51</v>
      </c>
      <c r="E227" t="s">
        <v>62</v>
      </c>
      <c r="F227" t="s">
        <v>66</v>
      </c>
      <c r="G227" t="s">
        <v>34</v>
      </c>
      <c r="H227" t="s">
        <v>53</v>
      </c>
      <c r="I227" t="str">
        <f>IF('Cleaned Data'!H227="Emi","EMI",'Cleaned Data'!H227)</f>
        <v>Cash</v>
      </c>
      <c r="J227" t="s">
        <v>94</v>
      </c>
      <c r="K227" t="s">
        <v>81</v>
      </c>
      <c r="L227">
        <v>1</v>
      </c>
      <c r="M227" s="9">
        <v>125967</v>
      </c>
      <c r="N227" s="4">
        <v>4.9000000000000002E-2</v>
      </c>
      <c r="O227" s="4">
        <f t="shared" si="3"/>
        <v>4.9000000000000002E-2</v>
      </c>
      <c r="P227" s="11">
        <v>125967</v>
      </c>
      <c r="Q227" s="9">
        <v>6172.38</v>
      </c>
      <c r="R227" s="9">
        <v>119794.62</v>
      </c>
      <c r="S227">
        <v>3</v>
      </c>
      <c r="T227">
        <v>150</v>
      </c>
      <c r="U227">
        <v>4.7</v>
      </c>
      <c r="V227">
        <v>3</v>
      </c>
      <c r="W227">
        <f>IF('Cleaned Data'!V227&lt;0,"Review",'Cleaned Data'!V227)</f>
        <v>3</v>
      </c>
      <c r="X227">
        <v>3</v>
      </c>
      <c r="Y227" s="7">
        <f>IFERROR('Cleaned Data'!R227/'Cleaned Data'!L227,0)</f>
        <v>119794.62</v>
      </c>
      <c r="Z227" t="str">
        <f>TEXT(EV_Sales[[#This Row],[Order_Date]],"mmm-yyyy")</f>
        <v>Mar-2025</v>
      </c>
      <c r="AA227">
        <f>MONTH(EV_Sales[[#This Row],[Order_Date]])</f>
        <v>3</v>
      </c>
      <c r="AB227" s="12" t="str">
        <f>"Q"&amp;ROUNDUP(MONTH(EV_Sales[[#This Row],[Order_Date]])/3,0)</f>
        <v>Q1</v>
      </c>
    </row>
    <row r="228" spans="1:28" x14ac:dyDescent="0.3">
      <c r="A228" t="s">
        <v>333</v>
      </c>
      <c r="B228" s="2">
        <v>45736</v>
      </c>
      <c r="C228" t="s">
        <v>87</v>
      </c>
      <c r="D228" t="s">
        <v>130</v>
      </c>
      <c r="E228" t="s">
        <v>24</v>
      </c>
      <c r="F228" t="s">
        <v>80</v>
      </c>
      <c r="G228" t="s">
        <v>26</v>
      </c>
      <c r="H228" t="s">
        <v>53</v>
      </c>
      <c r="I228" t="str">
        <f>IF('Cleaned Data'!H228="Emi","EMI",'Cleaned Data'!H228)</f>
        <v>Cash</v>
      </c>
      <c r="J228" t="s">
        <v>36</v>
      </c>
      <c r="K228" t="s">
        <v>49</v>
      </c>
      <c r="L228">
        <v>1</v>
      </c>
      <c r="M228" s="9">
        <v>115427</v>
      </c>
      <c r="N228" s="4">
        <v>9.9000000000000005E-2</v>
      </c>
      <c r="O228" s="4">
        <f t="shared" si="3"/>
        <v>9.9000000000000005E-2</v>
      </c>
      <c r="P228" s="11">
        <v>115427</v>
      </c>
      <c r="Q228" s="9">
        <v>11427.27</v>
      </c>
      <c r="R228" s="9">
        <v>103999.73</v>
      </c>
      <c r="S228">
        <v>4</v>
      </c>
      <c r="T228">
        <v>181</v>
      </c>
      <c r="U228">
        <v>4</v>
      </c>
      <c r="V228">
        <v>11</v>
      </c>
      <c r="W228">
        <f>IF('Cleaned Data'!V228&lt;0,"Review",'Cleaned Data'!V228)</f>
        <v>11</v>
      </c>
      <c r="X228">
        <v>2</v>
      </c>
      <c r="Y228" s="7">
        <f>IFERROR('Cleaned Data'!R228/'Cleaned Data'!L228,0)</f>
        <v>103999.73</v>
      </c>
      <c r="Z228" t="str">
        <f>TEXT(EV_Sales[[#This Row],[Order_Date]],"mmm-yyyy")</f>
        <v>Mar-2025</v>
      </c>
      <c r="AA228">
        <f>MONTH(EV_Sales[[#This Row],[Order_Date]])</f>
        <v>3</v>
      </c>
      <c r="AB228" s="12" t="str">
        <f>"Q"&amp;ROUNDUP(MONTH(EV_Sales[[#This Row],[Order_Date]])/3,0)</f>
        <v>Q1</v>
      </c>
    </row>
    <row r="229" spans="1:28" x14ac:dyDescent="0.3">
      <c r="A229" t="s">
        <v>334</v>
      </c>
      <c r="B229" s="2">
        <v>45739</v>
      </c>
      <c r="C229" t="s">
        <v>76</v>
      </c>
      <c r="D229" t="s">
        <v>77</v>
      </c>
      <c r="E229" t="s">
        <v>24</v>
      </c>
      <c r="F229" t="s">
        <v>52</v>
      </c>
      <c r="G229" t="s">
        <v>26</v>
      </c>
      <c r="H229" t="s">
        <v>27</v>
      </c>
      <c r="I229" t="str">
        <f>IF('Cleaned Data'!H229="Emi","EMI",'Cleaned Data'!H229)</f>
        <v>Finance</v>
      </c>
      <c r="J229" t="s">
        <v>28</v>
      </c>
      <c r="K229" t="s">
        <v>157</v>
      </c>
      <c r="L229">
        <v>2</v>
      </c>
      <c r="M229" s="9">
        <v>144881</v>
      </c>
      <c r="N229" s="4">
        <v>5.5E-2</v>
      </c>
      <c r="O229" s="4">
        <f t="shared" si="3"/>
        <v>5.5E-2</v>
      </c>
      <c r="P229" s="11">
        <v>289762</v>
      </c>
      <c r="Q229" s="9">
        <v>15936.91</v>
      </c>
      <c r="R229" s="9">
        <v>273825.09000000003</v>
      </c>
      <c r="S229">
        <v>3</v>
      </c>
      <c r="T229">
        <v>154</v>
      </c>
      <c r="U229">
        <v>3.8</v>
      </c>
      <c r="V229">
        <v>10</v>
      </c>
      <c r="W229">
        <f>IF('Cleaned Data'!V229&lt;0,"Review",'Cleaned Data'!V229)</f>
        <v>10</v>
      </c>
      <c r="X229">
        <v>5</v>
      </c>
      <c r="Y229" s="7">
        <f>IFERROR('Cleaned Data'!R229/'Cleaned Data'!L229,0)</f>
        <v>136912.54500000001</v>
      </c>
      <c r="Z229" t="str">
        <f>TEXT(EV_Sales[[#This Row],[Order_Date]],"mmm-yyyy")</f>
        <v>Mar-2025</v>
      </c>
      <c r="AA229">
        <f>MONTH(EV_Sales[[#This Row],[Order_Date]])</f>
        <v>3</v>
      </c>
      <c r="AB229" s="12" t="str">
        <f>"Q"&amp;ROUNDUP(MONTH(EV_Sales[[#This Row],[Order_Date]])/3,0)</f>
        <v>Q1</v>
      </c>
    </row>
    <row r="230" spans="1:28" x14ac:dyDescent="0.3">
      <c r="A230" t="s">
        <v>335</v>
      </c>
      <c r="B230" s="2">
        <v>45952</v>
      </c>
      <c r="C230" t="s">
        <v>39</v>
      </c>
      <c r="D230" t="s">
        <v>40</v>
      </c>
      <c r="E230" t="s">
        <v>24</v>
      </c>
      <c r="F230" t="s">
        <v>25</v>
      </c>
      <c r="G230" t="s">
        <v>26</v>
      </c>
      <c r="H230" t="s">
        <v>27</v>
      </c>
      <c r="I230" t="str">
        <f>IF('Cleaned Data'!H230="Emi","EMI",'Cleaned Data'!H230)</f>
        <v>Finance</v>
      </c>
      <c r="J230" t="s">
        <v>63</v>
      </c>
      <c r="K230" t="s">
        <v>216</v>
      </c>
      <c r="L230">
        <v>1</v>
      </c>
      <c r="M230" s="9">
        <v>133696</v>
      </c>
      <c r="N230" s="4">
        <v>2.7E-2</v>
      </c>
      <c r="O230" s="4">
        <f t="shared" si="3"/>
        <v>2.7E-2</v>
      </c>
      <c r="P230" s="11">
        <v>133696</v>
      </c>
      <c r="Q230" s="9">
        <v>3609.79</v>
      </c>
      <c r="R230" s="9">
        <v>130086.21</v>
      </c>
      <c r="S230">
        <v>3</v>
      </c>
      <c r="T230">
        <v>159</v>
      </c>
      <c r="U230">
        <v>4.9000000000000004</v>
      </c>
      <c r="V230">
        <v>4</v>
      </c>
      <c r="W230">
        <f>IF('Cleaned Data'!V230&lt;0,"Review",'Cleaned Data'!V230)</f>
        <v>4</v>
      </c>
      <c r="X230">
        <v>5</v>
      </c>
      <c r="Y230" s="7">
        <f>IFERROR('Cleaned Data'!R230/'Cleaned Data'!L230,0)</f>
        <v>130086.21</v>
      </c>
      <c r="Z230" t="str">
        <f>TEXT(EV_Sales[[#This Row],[Order_Date]],"mmm-yyyy")</f>
        <v>Oct-2025</v>
      </c>
      <c r="AA230">
        <f>MONTH(EV_Sales[[#This Row],[Order_Date]])</f>
        <v>10</v>
      </c>
      <c r="AB230" s="12" t="str">
        <f>"Q"&amp;ROUNDUP(MONTH(EV_Sales[[#This Row],[Order_Date]])/3,0)</f>
        <v>Q4</v>
      </c>
    </row>
    <row r="231" spans="1:28" x14ac:dyDescent="0.3">
      <c r="A231" t="s">
        <v>336</v>
      </c>
      <c r="B231" s="2">
        <v>45923</v>
      </c>
      <c r="C231" t="s">
        <v>22</v>
      </c>
      <c r="D231" t="s">
        <v>107</v>
      </c>
      <c r="E231" t="s">
        <v>62</v>
      </c>
      <c r="F231" t="s">
        <v>25</v>
      </c>
      <c r="G231" t="s">
        <v>56</v>
      </c>
      <c r="H231" t="s">
        <v>27</v>
      </c>
      <c r="I231" t="str">
        <f>IF('Cleaned Data'!H231="Emi","EMI",'Cleaned Data'!H231)</f>
        <v>Finance</v>
      </c>
      <c r="J231" t="s">
        <v>36</v>
      </c>
      <c r="K231" t="s">
        <v>29</v>
      </c>
      <c r="L231">
        <v>1</v>
      </c>
      <c r="M231" s="9">
        <v>144772</v>
      </c>
      <c r="N231" s="4">
        <v>7.8E-2</v>
      </c>
      <c r="O231" s="4">
        <f t="shared" si="3"/>
        <v>7.8E-2</v>
      </c>
      <c r="P231" s="11">
        <v>144772</v>
      </c>
      <c r="Q231" s="9">
        <v>11292.22</v>
      </c>
      <c r="R231" s="9">
        <v>133479.78</v>
      </c>
      <c r="S231">
        <v>4</v>
      </c>
      <c r="T231">
        <v>207</v>
      </c>
      <c r="U231">
        <v>3.7</v>
      </c>
      <c r="V231">
        <v>12</v>
      </c>
      <c r="W231">
        <f>IF('Cleaned Data'!V231&lt;0,"Review",'Cleaned Data'!V231)</f>
        <v>12</v>
      </c>
      <c r="X231">
        <v>3</v>
      </c>
      <c r="Y231" s="7">
        <f>IFERROR('Cleaned Data'!R231/'Cleaned Data'!L231,0)</f>
        <v>133479.78</v>
      </c>
      <c r="Z231" t="str">
        <f>TEXT(EV_Sales[[#This Row],[Order_Date]],"mmm-yyyy")</f>
        <v>Sep-2025</v>
      </c>
      <c r="AA231">
        <f>MONTH(EV_Sales[[#This Row],[Order_Date]])</f>
        <v>9</v>
      </c>
      <c r="AB231" s="12" t="str">
        <f>"Q"&amp;ROUNDUP(MONTH(EV_Sales[[#This Row],[Order_Date]])/3,0)</f>
        <v>Q3</v>
      </c>
    </row>
    <row r="232" spans="1:28" x14ac:dyDescent="0.3">
      <c r="A232" t="s">
        <v>337</v>
      </c>
      <c r="B232" s="2">
        <v>45941</v>
      </c>
      <c r="C232" t="s">
        <v>87</v>
      </c>
      <c r="D232" t="s">
        <v>130</v>
      </c>
      <c r="E232" t="s">
        <v>46</v>
      </c>
      <c r="F232" t="s">
        <v>101</v>
      </c>
      <c r="G232" t="s">
        <v>26</v>
      </c>
      <c r="H232" t="s">
        <v>809</v>
      </c>
      <c r="I232" t="str">
        <f>IF('Cleaned Data'!H232="Emi","EMI",'Cleaned Data'!H232)</f>
        <v>EMI</v>
      </c>
      <c r="J232" t="s">
        <v>28</v>
      </c>
      <c r="K232" t="s">
        <v>212</v>
      </c>
      <c r="L232">
        <v>2</v>
      </c>
      <c r="M232" s="9">
        <v>109338</v>
      </c>
      <c r="N232" s="4">
        <v>0.114</v>
      </c>
      <c r="O232" s="4">
        <f t="shared" si="3"/>
        <v>0.114</v>
      </c>
      <c r="P232" s="11">
        <v>218676</v>
      </c>
      <c r="Q232" s="9">
        <v>24929.06</v>
      </c>
      <c r="R232" s="9">
        <v>193746.94</v>
      </c>
      <c r="S232">
        <v>4</v>
      </c>
      <c r="T232">
        <v>191</v>
      </c>
      <c r="U232">
        <v>4.8</v>
      </c>
      <c r="V232">
        <v>7</v>
      </c>
      <c r="W232">
        <f>IF('Cleaned Data'!V232&lt;0,"Review",'Cleaned Data'!V232)</f>
        <v>7</v>
      </c>
      <c r="X232">
        <v>3</v>
      </c>
      <c r="Y232" s="7">
        <f>IFERROR('Cleaned Data'!R232/'Cleaned Data'!L232,0)</f>
        <v>96873.47</v>
      </c>
      <c r="Z232" t="str">
        <f>TEXT(EV_Sales[[#This Row],[Order_Date]],"mmm-yyyy")</f>
        <v>Oct-2025</v>
      </c>
      <c r="AA232">
        <f>MONTH(EV_Sales[[#This Row],[Order_Date]])</f>
        <v>10</v>
      </c>
      <c r="AB232" s="12" t="str">
        <f>"Q"&amp;ROUNDUP(MONTH(EV_Sales[[#This Row],[Order_Date]])/3,0)</f>
        <v>Q4</v>
      </c>
    </row>
    <row r="233" spans="1:28" x14ac:dyDescent="0.3">
      <c r="A233" t="s">
        <v>338</v>
      </c>
      <c r="B233" s="2">
        <v>45998</v>
      </c>
      <c r="C233" t="s">
        <v>39</v>
      </c>
      <c r="D233" t="s">
        <v>154</v>
      </c>
      <c r="E233" t="s">
        <v>24</v>
      </c>
      <c r="F233" t="s">
        <v>47</v>
      </c>
      <c r="G233" t="s">
        <v>34</v>
      </c>
      <c r="H233" t="s">
        <v>53</v>
      </c>
      <c r="I233" t="str">
        <f>IF('Cleaned Data'!H233="Emi","EMI",'Cleaned Data'!H233)</f>
        <v>Cash</v>
      </c>
      <c r="J233" t="s">
        <v>57</v>
      </c>
      <c r="K233" t="s">
        <v>95</v>
      </c>
      <c r="L233">
        <v>4</v>
      </c>
      <c r="M233" s="9">
        <v>180137</v>
      </c>
      <c r="N233" s="4">
        <v>4.5999999999999999E-2</v>
      </c>
      <c r="O233" s="4">
        <f t="shared" si="3"/>
        <v>4.5999999999999999E-2</v>
      </c>
      <c r="P233" s="11">
        <v>720548</v>
      </c>
      <c r="Q233" s="9">
        <v>33145.21</v>
      </c>
      <c r="R233" s="9">
        <v>687402.79</v>
      </c>
      <c r="S233">
        <v>3</v>
      </c>
      <c r="T233">
        <v>184</v>
      </c>
      <c r="U233">
        <v>4.7</v>
      </c>
      <c r="V233">
        <v>10</v>
      </c>
      <c r="W233">
        <f>IF('Cleaned Data'!V233&lt;0,"Review",'Cleaned Data'!V233)</f>
        <v>10</v>
      </c>
      <c r="X233">
        <v>2</v>
      </c>
      <c r="Y233" s="7">
        <f>IFERROR('Cleaned Data'!R233/'Cleaned Data'!L233,0)</f>
        <v>171850.69750000001</v>
      </c>
      <c r="Z233" t="str">
        <f>TEXT(EV_Sales[[#This Row],[Order_Date]],"mmm-yyyy")</f>
        <v>Dec-2025</v>
      </c>
      <c r="AA233">
        <f>MONTH(EV_Sales[[#This Row],[Order_Date]])</f>
        <v>12</v>
      </c>
      <c r="AB233" s="12" t="str">
        <f>"Q"&amp;ROUNDUP(MONTH(EV_Sales[[#This Row],[Order_Date]])/3,0)</f>
        <v>Q4</v>
      </c>
    </row>
    <row r="234" spans="1:28" x14ac:dyDescent="0.3">
      <c r="A234" t="s">
        <v>339</v>
      </c>
      <c r="B234" s="2">
        <v>45704</v>
      </c>
      <c r="C234" t="s">
        <v>22</v>
      </c>
      <c r="D234" t="s">
        <v>107</v>
      </c>
      <c r="E234" t="s">
        <v>24</v>
      </c>
      <c r="F234" t="s">
        <v>101</v>
      </c>
      <c r="G234" t="s">
        <v>67</v>
      </c>
      <c r="H234" t="s">
        <v>809</v>
      </c>
      <c r="I234" t="str">
        <f>IF('Cleaned Data'!H234="Emi","EMI",'Cleaned Data'!H234)</f>
        <v>EMI</v>
      </c>
      <c r="J234" t="s">
        <v>48</v>
      </c>
      <c r="K234" t="s">
        <v>49</v>
      </c>
      <c r="L234">
        <v>1</v>
      </c>
      <c r="M234" s="9">
        <v>138577</v>
      </c>
      <c r="N234" s="4">
        <v>2.1999999999999999E-2</v>
      </c>
      <c r="O234" s="4">
        <f t="shared" si="3"/>
        <v>2.1999999999999999E-2</v>
      </c>
      <c r="P234" s="11">
        <v>138577</v>
      </c>
      <c r="Q234" s="9">
        <v>3048.69</v>
      </c>
      <c r="R234" s="9">
        <v>135528.31</v>
      </c>
      <c r="S234">
        <v>2</v>
      </c>
      <c r="T234">
        <v>143</v>
      </c>
      <c r="U234">
        <v>4.4000000000000004</v>
      </c>
      <c r="V234">
        <v>3</v>
      </c>
      <c r="W234">
        <f>IF('Cleaned Data'!V234&lt;0,"Review",'Cleaned Data'!V234)</f>
        <v>3</v>
      </c>
      <c r="X234">
        <v>5</v>
      </c>
      <c r="Y234" s="7">
        <f>IFERROR('Cleaned Data'!R234/'Cleaned Data'!L234,0)</f>
        <v>135528.31</v>
      </c>
      <c r="Z234" t="str">
        <f>TEXT(EV_Sales[[#This Row],[Order_Date]],"mmm-yyyy")</f>
        <v>Feb-2025</v>
      </c>
      <c r="AA234">
        <f>MONTH(EV_Sales[[#This Row],[Order_Date]])</f>
        <v>2</v>
      </c>
      <c r="AB234" s="12" t="str">
        <f>"Q"&amp;ROUNDUP(MONTH(EV_Sales[[#This Row],[Order_Date]])/3,0)</f>
        <v>Q1</v>
      </c>
    </row>
    <row r="235" spans="1:28" x14ac:dyDescent="0.3">
      <c r="A235" t="s">
        <v>340</v>
      </c>
      <c r="B235" s="2">
        <v>45795</v>
      </c>
      <c r="C235" t="s">
        <v>31</v>
      </c>
      <c r="D235" t="s">
        <v>97</v>
      </c>
      <c r="E235" t="s">
        <v>62</v>
      </c>
      <c r="F235" t="s">
        <v>52</v>
      </c>
      <c r="G235" t="s">
        <v>56</v>
      </c>
      <c r="H235" t="s">
        <v>27</v>
      </c>
      <c r="I235" t="str">
        <f>IF('Cleaned Data'!H235="Emi","EMI",'Cleaned Data'!H235)</f>
        <v>Finance</v>
      </c>
      <c r="J235" t="s">
        <v>63</v>
      </c>
      <c r="K235" t="s">
        <v>118</v>
      </c>
      <c r="L235">
        <v>4</v>
      </c>
      <c r="M235" s="9">
        <v>129175</v>
      </c>
      <c r="N235" s="4">
        <v>6.9000000000000006E-2</v>
      </c>
      <c r="O235" s="4">
        <f t="shared" si="3"/>
        <v>6.9000000000000006E-2</v>
      </c>
      <c r="P235" s="11">
        <v>516700</v>
      </c>
      <c r="Q235" s="9">
        <v>35652.300000000003</v>
      </c>
      <c r="R235" s="9">
        <v>481047.7</v>
      </c>
      <c r="S235">
        <v>3</v>
      </c>
      <c r="T235">
        <v>158</v>
      </c>
      <c r="U235">
        <v>4.7</v>
      </c>
      <c r="V235">
        <v>7</v>
      </c>
      <c r="W235">
        <f>IF('Cleaned Data'!V235&lt;0,"Review",'Cleaned Data'!V235)</f>
        <v>7</v>
      </c>
      <c r="X235">
        <v>2</v>
      </c>
      <c r="Y235" s="7">
        <f>IFERROR('Cleaned Data'!R235/'Cleaned Data'!L235,0)</f>
        <v>120261.925</v>
      </c>
      <c r="Z235" t="str">
        <f>TEXT(EV_Sales[[#This Row],[Order_Date]],"mmm-yyyy")</f>
        <v>May-2025</v>
      </c>
      <c r="AA235">
        <f>MONTH(EV_Sales[[#This Row],[Order_Date]])</f>
        <v>5</v>
      </c>
      <c r="AB235" s="12" t="str">
        <f>"Q"&amp;ROUNDUP(MONTH(EV_Sales[[#This Row],[Order_Date]])/3,0)</f>
        <v>Q2</v>
      </c>
    </row>
    <row r="236" spans="1:28" x14ac:dyDescent="0.3">
      <c r="A236" t="s">
        <v>341</v>
      </c>
      <c r="B236" s="2">
        <v>45730</v>
      </c>
      <c r="C236" t="s">
        <v>99</v>
      </c>
      <c r="D236" t="s">
        <v>141</v>
      </c>
      <c r="E236" t="s">
        <v>24</v>
      </c>
      <c r="F236" t="s">
        <v>52</v>
      </c>
      <c r="G236" t="s">
        <v>34</v>
      </c>
      <c r="H236" t="s">
        <v>27</v>
      </c>
      <c r="I236" t="str">
        <f>IF('Cleaned Data'!H236="Emi","EMI",'Cleaned Data'!H236)</f>
        <v>Finance</v>
      </c>
      <c r="J236" t="s">
        <v>36</v>
      </c>
      <c r="K236" t="s">
        <v>138</v>
      </c>
      <c r="L236">
        <v>1</v>
      </c>
      <c r="M236" s="9">
        <v>147274</v>
      </c>
      <c r="N236" s="4">
        <v>5.2999999999999999E-2</v>
      </c>
      <c r="O236" s="4">
        <f t="shared" si="3"/>
        <v>5.2999999999999999E-2</v>
      </c>
      <c r="P236" s="11">
        <v>147274</v>
      </c>
      <c r="Q236" s="9">
        <v>7805.52</v>
      </c>
      <c r="R236" s="9">
        <v>139468.48000000001</v>
      </c>
      <c r="S236">
        <v>5</v>
      </c>
      <c r="T236">
        <v>211</v>
      </c>
      <c r="U236">
        <v>4</v>
      </c>
      <c r="V236">
        <v>12</v>
      </c>
      <c r="W236">
        <f>IF('Cleaned Data'!V236&lt;0,"Review",'Cleaned Data'!V236)</f>
        <v>12</v>
      </c>
      <c r="X236">
        <v>3</v>
      </c>
      <c r="Y236" s="7">
        <f>IFERROR('Cleaned Data'!R236/'Cleaned Data'!L236,0)</f>
        <v>139468.48000000001</v>
      </c>
      <c r="Z236" t="str">
        <f>TEXT(EV_Sales[[#This Row],[Order_Date]],"mmm-yyyy")</f>
        <v>Mar-2025</v>
      </c>
      <c r="AA236">
        <f>MONTH(EV_Sales[[#This Row],[Order_Date]])</f>
        <v>3</v>
      </c>
      <c r="AB236" s="12" t="str">
        <f>"Q"&amp;ROUNDUP(MONTH(EV_Sales[[#This Row],[Order_Date]])/3,0)</f>
        <v>Q1</v>
      </c>
    </row>
    <row r="237" spans="1:28" x14ac:dyDescent="0.3">
      <c r="A237" t="s">
        <v>342</v>
      </c>
      <c r="B237" s="2">
        <v>45749</v>
      </c>
      <c r="C237" t="s">
        <v>60</v>
      </c>
      <c r="D237" t="s">
        <v>69</v>
      </c>
      <c r="E237" t="s">
        <v>62</v>
      </c>
      <c r="F237" t="s">
        <v>80</v>
      </c>
      <c r="G237" t="s">
        <v>34</v>
      </c>
      <c r="H237" t="s">
        <v>809</v>
      </c>
      <c r="I237" t="str">
        <f>IF('Cleaned Data'!H237="Emi","EMI",'Cleaned Data'!H237)</f>
        <v>EMI</v>
      </c>
      <c r="J237" t="s">
        <v>57</v>
      </c>
      <c r="K237" t="s">
        <v>78</v>
      </c>
      <c r="L237">
        <v>1</v>
      </c>
      <c r="M237" s="9">
        <v>106051</v>
      </c>
      <c r="N237" s="4">
        <v>9.9000000000000005E-2</v>
      </c>
      <c r="O237" s="4">
        <f t="shared" si="3"/>
        <v>9.9000000000000005E-2</v>
      </c>
      <c r="P237" s="11">
        <v>106051</v>
      </c>
      <c r="Q237" s="9">
        <v>10499.05</v>
      </c>
      <c r="R237" s="9">
        <v>95551.95</v>
      </c>
      <c r="S237">
        <v>4</v>
      </c>
      <c r="T237">
        <v>186</v>
      </c>
      <c r="U237">
        <v>3.5</v>
      </c>
      <c r="V237">
        <v>8</v>
      </c>
      <c r="W237">
        <f>IF('Cleaned Data'!V237&lt;0,"Review",'Cleaned Data'!V237)</f>
        <v>8</v>
      </c>
      <c r="X237">
        <v>2</v>
      </c>
      <c r="Y237" s="7">
        <f>IFERROR('Cleaned Data'!R237/'Cleaned Data'!L237,0)</f>
        <v>95551.95</v>
      </c>
      <c r="Z237" t="str">
        <f>TEXT(EV_Sales[[#This Row],[Order_Date]],"mmm-yyyy")</f>
        <v>Apr-2025</v>
      </c>
      <c r="AA237">
        <f>MONTH(EV_Sales[[#This Row],[Order_Date]])</f>
        <v>4</v>
      </c>
      <c r="AB237" s="12" t="str">
        <f>"Q"&amp;ROUNDUP(MONTH(EV_Sales[[#This Row],[Order_Date]])/3,0)</f>
        <v>Q2</v>
      </c>
    </row>
    <row r="238" spans="1:28" x14ac:dyDescent="0.3">
      <c r="A238" t="s">
        <v>343</v>
      </c>
      <c r="B238" s="2">
        <v>45899</v>
      </c>
      <c r="C238" t="s">
        <v>39</v>
      </c>
      <c r="D238" t="s">
        <v>154</v>
      </c>
      <c r="E238" t="s">
        <v>62</v>
      </c>
      <c r="F238" t="s">
        <v>41</v>
      </c>
      <c r="G238" t="s">
        <v>67</v>
      </c>
      <c r="H238" t="s">
        <v>53</v>
      </c>
      <c r="I238" t="str">
        <f>IF('Cleaned Data'!H238="Emi","EMI",'Cleaned Data'!H238)</f>
        <v>Cash</v>
      </c>
      <c r="J238" t="s">
        <v>36</v>
      </c>
      <c r="K238" t="s">
        <v>175</v>
      </c>
      <c r="L238">
        <v>1</v>
      </c>
      <c r="M238" s="9">
        <v>192485</v>
      </c>
      <c r="N238" s="4">
        <v>3.1E-2</v>
      </c>
      <c r="O238" s="4">
        <f t="shared" si="3"/>
        <v>3.1E-2</v>
      </c>
      <c r="P238" s="11">
        <v>192485</v>
      </c>
      <c r="Q238" s="9">
        <v>5967.03</v>
      </c>
      <c r="R238" s="9">
        <v>186517.97</v>
      </c>
      <c r="S238">
        <v>4</v>
      </c>
      <c r="T238">
        <v>192</v>
      </c>
      <c r="U238">
        <v>4.5</v>
      </c>
      <c r="V238">
        <v>5</v>
      </c>
      <c r="W238">
        <f>IF('Cleaned Data'!V238&lt;0,"Review",'Cleaned Data'!V238)</f>
        <v>5</v>
      </c>
      <c r="X238">
        <v>5</v>
      </c>
      <c r="Y238" s="7">
        <f>IFERROR('Cleaned Data'!R238/'Cleaned Data'!L238,0)</f>
        <v>186517.97</v>
      </c>
      <c r="Z238" t="str">
        <f>TEXT(EV_Sales[[#This Row],[Order_Date]],"mmm-yyyy")</f>
        <v>Aug-2025</v>
      </c>
      <c r="AA238">
        <f>MONTH(EV_Sales[[#This Row],[Order_Date]])</f>
        <v>8</v>
      </c>
      <c r="AB238" s="12" t="str">
        <f>"Q"&amp;ROUNDUP(MONTH(EV_Sales[[#This Row],[Order_Date]])/3,0)</f>
        <v>Q3</v>
      </c>
    </row>
    <row r="239" spans="1:28" x14ac:dyDescent="0.3">
      <c r="A239" t="s">
        <v>344</v>
      </c>
      <c r="B239" s="2">
        <v>45969</v>
      </c>
      <c r="C239" t="s">
        <v>44</v>
      </c>
      <c r="D239" t="s">
        <v>45</v>
      </c>
      <c r="E239" t="s">
        <v>24</v>
      </c>
      <c r="F239" t="s">
        <v>101</v>
      </c>
      <c r="G239" t="s">
        <v>67</v>
      </c>
      <c r="H239" t="s">
        <v>27</v>
      </c>
      <c r="I239" t="str">
        <f>IF('Cleaned Data'!H239="Emi","EMI",'Cleaned Data'!H239)</f>
        <v>Finance</v>
      </c>
      <c r="J239" t="s">
        <v>48</v>
      </c>
      <c r="K239" t="s">
        <v>42</v>
      </c>
      <c r="L239">
        <v>2</v>
      </c>
      <c r="M239" s="9">
        <v>146352</v>
      </c>
      <c r="N239" s="4">
        <v>9.4E-2</v>
      </c>
      <c r="O239" s="4">
        <f t="shared" si="3"/>
        <v>9.4E-2</v>
      </c>
      <c r="P239" s="11">
        <v>292704</v>
      </c>
      <c r="Q239" s="9">
        <v>27514.18</v>
      </c>
      <c r="R239" s="9">
        <v>265189.82</v>
      </c>
      <c r="S239">
        <v>2</v>
      </c>
      <c r="T239">
        <v>147</v>
      </c>
      <c r="U239">
        <v>4.2</v>
      </c>
      <c r="V239">
        <v>8</v>
      </c>
      <c r="W239">
        <f>IF('Cleaned Data'!V239&lt;0,"Review",'Cleaned Data'!V239)</f>
        <v>8</v>
      </c>
      <c r="X239">
        <v>2</v>
      </c>
      <c r="Y239" s="7">
        <f>IFERROR('Cleaned Data'!R239/'Cleaned Data'!L239,0)</f>
        <v>132594.91</v>
      </c>
      <c r="Z239" t="str">
        <f>TEXT(EV_Sales[[#This Row],[Order_Date]],"mmm-yyyy")</f>
        <v>Nov-2025</v>
      </c>
      <c r="AA239">
        <f>MONTH(EV_Sales[[#This Row],[Order_Date]])</f>
        <v>11</v>
      </c>
      <c r="AB239" s="12" t="str">
        <f>"Q"&amp;ROUNDUP(MONTH(EV_Sales[[#This Row],[Order_Date]])/3,0)</f>
        <v>Q4</v>
      </c>
    </row>
    <row r="240" spans="1:28" x14ac:dyDescent="0.3">
      <c r="A240" t="s">
        <v>345</v>
      </c>
      <c r="B240" s="2">
        <v>45870</v>
      </c>
      <c r="C240" t="s">
        <v>31</v>
      </c>
      <c r="D240" t="s">
        <v>97</v>
      </c>
      <c r="E240" t="s">
        <v>62</v>
      </c>
      <c r="F240" t="s">
        <v>33</v>
      </c>
      <c r="G240" t="s">
        <v>26</v>
      </c>
      <c r="H240" t="s">
        <v>53</v>
      </c>
      <c r="I240" t="str">
        <f>IF('Cleaned Data'!H240="Emi","EMI",'Cleaned Data'!H240)</f>
        <v>Cash</v>
      </c>
      <c r="J240" t="s">
        <v>28</v>
      </c>
      <c r="K240" t="s">
        <v>148</v>
      </c>
      <c r="L240">
        <v>4</v>
      </c>
      <c r="M240" s="9">
        <v>123613</v>
      </c>
      <c r="N240" s="4">
        <v>0.10299999999999999</v>
      </c>
      <c r="O240" s="4">
        <f t="shared" si="3"/>
        <v>0.10299999999999999</v>
      </c>
      <c r="P240" s="11">
        <v>494452</v>
      </c>
      <c r="Q240" s="9">
        <v>50928.56</v>
      </c>
      <c r="R240" s="9">
        <v>443523.44</v>
      </c>
      <c r="S240">
        <v>3</v>
      </c>
      <c r="T240">
        <v>181</v>
      </c>
      <c r="U240">
        <v>4.0999999999999996</v>
      </c>
      <c r="V240">
        <v>8</v>
      </c>
      <c r="W240">
        <f>IF('Cleaned Data'!V240&lt;0,"Review",'Cleaned Data'!V240)</f>
        <v>8</v>
      </c>
      <c r="X240">
        <v>2</v>
      </c>
      <c r="Y240" s="7">
        <f>IFERROR('Cleaned Data'!R240/'Cleaned Data'!L240,0)</f>
        <v>110880.86</v>
      </c>
      <c r="Z240" t="str">
        <f>TEXT(EV_Sales[[#This Row],[Order_Date]],"mmm-yyyy")</f>
        <v>Aug-2025</v>
      </c>
      <c r="AA240">
        <f>MONTH(EV_Sales[[#This Row],[Order_Date]])</f>
        <v>8</v>
      </c>
      <c r="AB240" s="12" t="str">
        <f>"Q"&amp;ROUNDUP(MONTH(EV_Sales[[#This Row],[Order_Date]])/3,0)</f>
        <v>Q3</v>
      </c>
    </row>
    <row r="241" spans="1:28" x14ac:dyDescent="0.3">
      <c r="A241" t="s">
        <v>346</v>
      </c>
      <c r="B241" s="2">
        <v>45822</v>
      </c>
      <c r="C241" t="s">
        <v>60</v>
      </c>
      <c r="D241" t="s">
        <v>69</v>
      </c>
      <c r="E241" t="s">
        <v>46</v>
      </c>
      <c r="F241" t="s">
        <v>80</v>
      </c>
      <c r="G241" t="s">
        <v>34</v>
      </c>
      <c r="H241" t="s">
        <v>27</v>
      </c>
      <c r="I241" t="str">
        <f>IF('Cleaned Data'!H241="Emi","EMI",'Cleaned Data'!H241)</f>
        <v>Finance</v>
      </c>
      <c r="J241" t="s">
        <v>28</v>
      </c>
      <c r="K241" t="s">
        <v>109</v>
      </c>
      <c r="L241">
        <v>1</v>
      </c>
      <c r="M241" s="9">
        <v>109312</v>
      </c>
      <c r="N241" s="4">
        <v>5.8000000000000003E-2</v>
      </c>
      <c r="O241" s="4">
        <f t="shared" si="3"/>
        <v>5.8000000000000003E-2</v>
      </c>
      <c r="P241" s="11">
        <v>109312</v>
      </c>
      <c r="Q241" s="9">
        <v>6340.1</v>
      </c>
      <c r="R241" s="9">
        <v>102971.9</v>
      </c>
      <c r="S241">
        <v>3</v>
      </c>
      <c r="T241">
        <v>183</v>
      </c>
      <c r="U241">
        <v>3.9</v>
      </c>
      <c r="V241">
        <v>6</v>
      </c>
      <c r="W241">
        <f>IF('Cleaned Data'!V241&lt;0,"Review",'Cleaned Data'!V241)</f>
        <v>6</v>
      </c>
      <c r="X241">
        <v>3</v>
      </c>
      <c r="Y241" s="7">
        <f>IFERROR('Cleaned Data'!R241/'Cleaned Data'!L241,0)</f>
        <v>102971.9</v>
      </c>
      <c r="Z241" t="str">
        <f>TEXT(EV_Sales[[#This Row],[Order_Date]],"mmm-yyyy")</f>
        <v>Jun-2025</v>
      </c>
      <c r="AA241">
        <f>MONTH(EV_Sales[[#This Row],[Order_Date]])</f>
        <v>6</v>
      </c>
      <c r="AB241" s="12" t="str">
        <f>"Q"&amp;ROUNDUP(MONTH(EV_Sales[[#This Row],[Order_Date]])/3,0)</f>
        <v>Q2</v>
      </c>
    </row>
    <row r="242" spans="1:28" x14ac:dyDescent="0.3">
      <c r="A242" t="s">
        <v>347</v>
      </c>
      <c r="B242" s="2">
        <v>45866</v>
      </c>
      <c r="C242" t="s">
        <v>87</v>
      </c>
      <c r="D242" t="s">
        <v>130</v>
      </c>
      <c r="E242" t="s">
        <v>24</v>
      </c>
      <c r="F242" t="s">
        <v>66</v>
      </c>
      <c r="G242" t="s">
        <v>56</v>
      </c>
      <c r="H242" t="s">
        <v>809</v>
      </c>
      <c r="I242" t="str">
        <f>IF('Cleaned Data'!H242="Emi","EMI",'Cleaned Data'!H242)</f>
        <v>EMI</v>
      </c>
      <c r="J242" t="s">
        <v>28</v>
      </c>
      <c r="K242" t="s">
        <v>123</v>
      </c>
      <c r="L242">
        <v>1</v>
      </c>
      <c r="M242" s="9">
        <v>114679</v>
      </c>
      <c r="N242" s="4">
        <v>0.108</v>
      </c>
      <c r="O242" s="4">
        <f t="shared" si="3"/>
        <v>0.108</v>
      </c>
      <c r="P242" s="11">
        <v>114679</v>
      </c>
      <c r="Q242" s="9">
        <v>12385.33</v>
      </c>
      <c r="R242" s="9">
        <v>102293.67</v>
      </c>
      <c r="S242">
        <v>3</v>
      </c>
      <c r="T242">
        <v>177</v>
      </c>
      <c r="U242">
        <v>4.9000000000000004</v>
      </c>
      <c r="V242">
        <v>3</v>
      </c>
      <c r="W242">
        <f>IF('Cleaned Data'!V242&lt;0,"Review",'Cleaned Data'!V242)</f>
        <v>3</v>
      </c>
      <c r="X242">
        <v>2</v>
      </c>
      <c r="Y242" s="7">
        <f>IFERROR('Cleaned Data'!R242/'Cleaned Data'!L242,0)</f>
        <v>102293.67</v>
      </c>
      <c r="Z242" t="str">
        <f>TEXT(EV_Sales[[#This Row],[Order_Date]],"mmm-yyyy")</f>
        <v>Jul-2025</v>
      </c>
      <c r="AA242">
        <f>MONTH(EV_Sales[[#This Row],[Order_Date]])</f>
        <v>7</v>
      </c>
      <c r="AB242" s="12" t="str">
        <f>"Q"&amp;ROUNDUP(MONTH(EV_Sales[[#This Row],[Order_Date]])/3,0)</f>
        <v>Q3</v>
      </c>
    </row>
    <row r="243" spans="1:28" x14ac:dyDescent="0.3">
      <c r="A243" t="s">
        <v>348</v>
      </c>
      <c r="B243" s="2">
        <v>45809</v>
      </c>
      <c r="C243" t="s">
        <v>87</v>
      </c>
      <c r="D243" t="s">
        <v>130</v>
      </c>
      <c r="E243" t="s">
        <v>46</v>
      </c>
      <c r="F243" t="s">
        <v>47</v>
      </c>
      <c r="G243" t="s">
        <v>26</v>
      </c>
      <c r="H243" t="s">
        <v>809</v>
      </c>
      <c r="I243" t="str">
        <f>IF('Cleaned Data'!H243="Emi","EMI",'Cleaned Data'!H243)</f>
        <v>EMI</v>
      </c>
      <c r="J243" t="s">
        <v>94</v>
      </c>
      <c r="K243" t="s">
        <v>109</v>
      </c>
      <c r="L243">
        <v>2</v>
      </c>
      <c r="M243" s="9">
        <v>111975</v>
      </c>
      <c r="N243" s="4">
        <v>6.2E-2</v>
      </c>
      <c r="O243" s="4">
        <f t="shared" si="3"/>
        <v>6.2E-2</v>
      </c>
      <c r="P243" s="11">
        <v>223950</v>
      </c>
      <c r="Q243" s="9">
        <v>13884.9</v>
      </c>
      <c r="R243" s="9">
        <v>210065.1</v>
      </c>
      <c r="S243">
        <v>3</v>
      </c>
      <c r="T243">
        <v>186</v>
      </c>
      <c r="U243">
        <v>4.3</v>
      </c>
      <c r="V243">
        <v>11</v>
      </c>
      <c r="W243">
        <f>IF('Cleaned Data'!V243&lt;0,"Review",'Cleaned Data'!V243)</f>
        <v>11</v>
      </c>
      <c r="X243">
        <v>2</v>
      </c>
      <c r="Y243" s="7">
        <f>IFERROR('Cleaned Data'!R243/'Cleaned Data'!L243,0)</f>
        <v>105032.55</v>
      </c>
      <c r="Z243" t="str">
        <f>TEXT(EV_Sales[[#This Row],[Order_Date]],"mmm-yyyy")</f>
        <v>Jun-2025</v>
      </c>
      <c r="AA243">
        <f>MONTH(EV_Sales[[#This Row],[Order_Date]])</f>
        <v>6</v>
      </c>
      <c r="AB243" s="12" t="str">
        <f>"Q"&amp;ROUNDUP(MONTH(EV_Sales[[#This Row],[Order_Date]])/3,0)</f>
        <v>Q2</v>
      </c>
    </row>
    <row r="244" spans="1:28" x14ac:dyDescent="0.3">
      <c r="A244" t="s">
        <v>349</v>
      </c>
      <c r="B244" s="2">
        <v>45750</v>
      </c>
      <c r="C244" t="s">
        <v>76</v>
      </c>
      <c r="D244" t="s">
        <v>115</v>
      </c>
      <c r="E244" t="s">
        <v>62</v>
      </c>
      <c r="F244" t="s">
        <v>25</v>
      </c>
      <c r="G244" t="s">
        <v>26</v>
      </c>
      <c r="H244" t="s">
        <v>53</v>
      </c>
      <c r="I244" t="str">
        <f>IF('Cleaned Data'!H244="Emi","EMI",'Cleaned Data'!H244)</f>
        <v>Cash</v>
      </c>
      <c r="J244" t="s">
        <v>63</v>
      </c>
      <c r="K244" t="s">
        <v>42</v>
      </c>
      <c r="L244">
        <v>2</v>
      </c>
      <c r="M244" s="9">
        <v>124300</v>
      </c>
      <c r="N244" s="4">
        <v>8.1000000000000003E-2</v>
      </c>
      <c r="O244" s="4">
        <f t="shared" si="3"/>
        <v>8.1000000000000003E-2</v>
      </c>
      <c r="P244" s="11">
        <v>248600</v>
      </c>
      <c r="Q244" s="9">
        <v>20136.599999999999</v>
      </c>
      <c r="R244" s="9">
        <v>228463.4</v>
      </c>
      <c r="S244">
        <v>2</v>
      </c>
      <c r="T244">
        <v>135</v>
      </c>
      <c r="U244">
        <v>3.9</v>
      </c>
      <c r="V244">
        <v>11</v>
      </c>
      <c r="W244">
        <f>IF('Cleaned Data'!V244&lt;0,"Review",'Cleaned Data'!V244)</f>
        <v>11</v>
      </c>
      <c r="X244">
        <v>2</v>
      </c>
      <c r="Y244" s="7">
        <f>IFERROR('Cleaned Data'!R244/'Cleaned Data'!L244,0)</f>
        <v>114231.7</v>
      </c>
      <c r="Z244" t="str">
        <f>TEXT(EV_Sales[[#This Row],[Order_Date]],"mmm-yyyy")</f>
        <v>Apr-2025</v>
      </c>
      <c r="AA244">
        <f>MONTH(EV_Sales[[#This Row],[Order_Date]])</f>
        <v>4</v>
      </c>
      <c r="AB244" s="12" t="str">
        <f>"Q"&amp;ROUNDUP(MONTH(EV_Sales[[#This Row],[Order_Date]])/3,0)</f>
        <v>Q2</v>
      </c>
    </row>
    <row r="245" spans="1:28" x14ac:dyDescent="0.3">
      <c r="A245" t="s">
        <v>350</v>
      </c>
      <c r="B245" s="2">
        <v>45760</v>
      </c>
      <c r="C245" t="s">
        <v>99</v>
      </c>
      <c r="D245" t="s">
        <v>141</v>
      </c>
      <c r="E245" t="s">
        <v>24</v>
      </c>
      <c r="F245" t="s">
        <v>70</v>
      </c>
      <c r="G245" t="s">
        <v>26</v>
      </c>
      <c r="H245" t="s">
        <v>53</v>
      </c>
      <c r="I245" t="str">
        <f>IF('Cleaned Data'!H245="Emi","EMI",'Cleaned Data'!H245)</f>
        <v>Cash</v>
      </c>
      <c r="J245" t="s">
        <v>57</v>
      </c>
      <c r="K245" t="s">
        <v>104</v>
      </c>
      <c r="L245">
        <v>1</v>
      </c>
      <c r="M245" s="9">
        <v>131955</v>
      </c>
      <c r="N245" s="4"/>
      <c r="O245" s="4" t="str">
        <f t="shared" si="3"/>
        <v>missing</v>
      </c>
      <c r="P245" s="11">
        <v>131955</v>
      </c>
      <c r="Q245" s="9">
        <v>13063.55</v>
      </c>
      <c r="R245" s="9">
        <v>118891.45</v>
      </c>
      <c r="S245">
        <v>2</v>
      </c>
      <c r="T245">
        <v>177</v>
      </c>
      <c r="U245">
        <v>3.6</v>
      </c>
      <c r="V245">
        <v>6</v>
      </c>
      <c r="W245">
        <f>IF('Cleaned Data'!V245&lt;0,"Review",'Cleaned Data'!V245)</f>
        <v>6</v>
      </c>
      <c r="X245">
        <v>5</v>
      </c>
      <c r="Y245" s="7">
        <f>IFERROR('Cleaned Data'!R245/'Cleaned Data'!L245,0)</f>
        <v>118891.45</v>
      </c>
      <c r="Z245" t="str">
        <f>TEXT(EV_Sales[[#This Row],[Order_Date]],"mmm-yyyy")</f>
        <v>Apr-2025</v>
      </c>
      <c r="AA245">
        <f>MONTH(EV_Sales[[#This Row],[Order_Date]])</f>
        <v>4</v>
      </c>
      <c r="AB245" s="12" t="str">
        <f>"Q"&amp;ROUNDUP(MONTH(EV_Sales[[#This Row],[Order_Date]])/3,0)</f>
        <v>Q2</v>
      </c>
    </row>
    <row r="246" spans="1:28" x14ac:dyDescent="0.3">
      <c r="A246" t="s">
        <v>351</v>
      </c>
      <c r="B246" s="2">
        <v>45993</v>
      </c>
      <c r="C246" t="s">
        <v>76</v>
      </c>
      <c r="D246" t="s">
        <v>115</v>
      </c>
      <c r="E246" t="s">
        <v>62</v>
      </c>
      <c r="F246" t="s">
        <v>33</v>
      </c>
      <c r="G246" t="s">
        <v>56</v>
      </c>
      <c r="H246" t="s">
        <v>53</v>
      </c>
      <c r="I246" t="str">
        <f>IF('Cleaned Data'!H246="Emi","EMI",'Cleaned Data'!H246)</f>
        <v>Cash</v>
      </c>
      <c r="J246" t="s">
        <v>28</v>
      </c>
      <c r="K246" t="s">
        <v>49</v>
      </c>
      <c r="L246">
        <v>1</v>
      </c>
      <c r="M246" s="9">
        <v>124518</v>
      </c>
      <c r="N246" s="4">
        <v>4.9000000000000002E-2</v>
      </c>
      <c r="O246" s="4">
        <f t="shared" si="3"/>
        <v>4.9000000000000002E-2</v>
      </c>
      <c r="P246" s="11">
        <v>124518</v>
      </c>
      <c r="Q246" s="9">
        <v>6101.38</v>
      </c>
      <c r="R246" s="9">
        <v>118416.62</v>
      </c>
      <c r="S246">
        <v>4</v>
      </c>
      <c r="T246">
        <v>197</v>
      </c>
      <c r="U246">
        <v>4.0999999999999996</v>
      </c>
      <c r="V246">
        <v>10</v>
      </c>
      <c r="W246">
        <f>IF('Cleaned Data'!V246&lt;0,"Review",'Cleaned Data'!V246)</f>
        <v>10</v>
      </c>
      <c r="X246">
        <v>2</v>
      </c>
      <c r="Y246" s="7">
        <f>IFERROR('Cleaned Data'!R246/'Cleaned Data'!L246,0)</f>
        <v>118416.62</v>
      </c>
      <c r="Z246" t="str">
        <f>TEXT(EV_Sales[[#This Row],[Order_Date]],"mmm-yyyy")</f>
        <v>Dec-2025</v>
      </c>
      <c r="AA246">
        <f>MONTH(EV_Sales[[#This Row],[Order_Date]])</f>
        <v>12</v>
      </c>
      <c r="AB246" s="12" t="str">
        <f>"Q"&amp;ROUNDUP(MONTH(EV_Sales[[#This Row],[Order_Date]])/3,0)</f>
        <v>Q4</v>
      </c>
    </row>
    <row r="247" spans="1:28" x14ac:dyDescent="0.3">
      <c r="A247" t="s">
        <v>352</v>
      </c>
      <c r="B247" s="2">
        <v>45705</v>
      </c>
      <c r="C247" t="s">
        <v>76</v>
      </c>
      <c r="D247" t="s">
        <v>115</v>
      </c>
      <c r="E247" t="s">
        <v>46</v>
      </c>
      <c r="F247" t="s">
        <v>47</v>
      </c>
      <c r="G247" t="s">
        <v>26</v>
      </c>
      <c r="H247" t="s">
        <v>53</v>
      </c>
      <c r="I247" t="str">
        <f>IF('Cleaned Data'!H247="Emi","EMI",'Cleaned Data'!H247)</f>
        <v>Cash</v>
      </c>
      <c r="J247" t="s">
        <v>94</v>
      </c>
      <c r="K247" t="s">
        <v>109</v>
      </c>
      <c r="L247">
        <v>1</v>
      </c>
      <c r="M247" s="9">
        <v>122964</v>
      </c>
      <c r="N247" s="4">
        <v>6.8000000000000005E-2</v>
      </c>
      <c r="O247" s="4">
        <f t="shared" si="3"/>
        <v>6.8000000000000005E-2</v>
      </c>
      <c r="P247" s="11">
        <v>122964</v>
      </c>
      <c r="Q247" s="9">
        <v>8361.5499999999993</v>
      </c>
      <c r="R247" s="9">
        <v>114602.45</v>
      </c>
      <c r="S247">
        <v>3</v>
      </c>
      <c r="T247">
        <v>171</v>
      </c>
      <c r="U247">
        <v>4.3</v>
      </c>
      <c r="V247">
        <v>5</v>
      </c>
      <c r="W247">
        <f>IF('Cleaned Data'!V247&lt;0,"Review",'Cleaned Data'!V247)</f>
        <v>5</v>
      </c>
      <c r="X247">
        <v>2</v>
      </c>
      <c r="Y247" s="7">
        <f>IFERROR('Cleaned Data'!R247/'Cleaned Data'!L247,0)</f>
        <v>114602.45</v>
      </c>
      <c r="Z247" t="str">
        <f>TEXT(EV_Sales[[#This Row],[Order_Date]],"mmm-yyyy")</f>
        <v>Feb-2025</v>
      </c>
      <c r="AA247">
        <f>MONTH(EV_Sales[[#This Row],[Order_Date]])</f>
        <v>2</v>
      </c>
      <c r="AB247" s="12" t="str">
        <f>"Q"&amp;ROUNDUP(MONTH(EV_Sales[[#This Row],[Order_Date]])/3,0)</f>
        <v>Q1</v>
      </c>
    </row>
    <row r="248" spans="1:28" x14ac:dyDescent="0.3">
      <c r="A248" t="s">
        <v>353</v>
      </c>
      <c r="B248" s="2">
        <v>45878</v>
      </c>
      <c r="C248" t="s">
        <v>22</v>
      </c>
      <c r="D248" t="s">
        <v>23</v>
      </c>
      <c r="E248" t="s">
        <v>62</v>
      </c>
      <c r="F248" t="s">
        <v>101</v>
      </c>
      <c r="G248" t="s">
        <v>56</v>
      </c>
      <c r="H248" t="s">
        <v>809</v>
      </c>
      <c r="I248" t="str">
        <f>IF('Cleaned Data'!H248="Emi","EMI",'Cleaned Data'!H248)</f>
        <v>EMI</v>
      </c>
      <c r="J248" t="s">
        <v>63</v>
      </c>
      <c r="K248" t="s">
        <v>49</v>
      </c>
      <c r="L248">
        <v>2</v>
      </c>
      <c r="M248" s="9">
        <v>118195</v>
      </c>
      <c r="N248" s="4"/>
      <c r="O248" s="4" t="str">
        <f t="shared" si="3"/>
        <v>missing</v>
      </c>
      <c r="P248" s="11">
        <v>236390</v>
      </c>
      <c r="Q248" s="9">
        <v>9928.3799999999992</v>
      </c>
      <c r="R248" s="9">
        <v>226461.62</v>
      </c>
      <c r="S248">
        <v>3</v>
      </c>
      <c r="T248">
        <v>156</v>
      </c>
      <c r="U248">
        <v>4</v>
      </c>
      <c r="V248">
        <v>5</v>
      </c>
      <c r="W248">
        <f>IF('Cleaned Data'!V248&lt;0,"Review",'Cleaned Data'!V248)</f>
        <v>5</v>
      </c>
      <c r="X248">
        <v>5</v>
      </c>
      <c r="Y248" s="7">
        <f>IFERROR('Cleaned Data'!R248/'Cleaned Data'!L248,0)</f>
        <v>113230.81</v>
      </c>
      <c r="Z248" t="str">
        <f>TEXT(EV_Sales[[#This Row],[Order_Date]],"mmm-yyyy")</f>
        <v>Aug-2025</v>
      </c>
      <c r="AA248">
        <f>MONTH(EV_Sales[[#This Row],[Order_Date]])</f>
        <v>8</v>
      </c>
      <c r="AB248" s="12" t="str">
        <f>"Q"&amp;ROUNDUP(MONTH(EV_Sales[[#This Row],[Order_Date]])/3,0)</f>
        <v>Q3</v>
      </c>
    </row>
    <row r="249" spans="1:28" x14ac:dyDescent="0.3">
      <c r="A249" t="s">
        <v>354</v>
      </c>
      <c r="B249" s="2">
        <v>45719</v>
      </c>
      <c r="C249" t="s">
        <v>39</v>
      </c>
      <c r="D249" t="s">
        <v>154</v>
      </c>
      <c r="E249" t="s">
        <v>46</v>
      </c>
      <c r="F249" t="s">
        <v>66</v>
      </c>
      <c r="G249" t="s">
        <v>34</v>
      </c>
      <c r="H249" t="s">
        <v>27</v>
      </c>
      <c r="I249" t="str">
        <f>IF('Cleaned Data'!H249="Emi","EMI",'Cleaned Data'!H249)</f>
        <v>Finance</v>
      </c>
      <c r="J249" t="s">
        <v>36</v>
      </c>
      <c r="K249" t="s">
        <v>92</v>
      </c>
      <c r="L249">
        <v>3</v>
      </c>
      <c r="M249" s="9">
        <v>178605</v>
      </c>
      <c r="N249" s="4">
        <v>8.3000000000000004E-2</v>
      </c>
      <c r="O249" s="4">
        <f t="shared" si="3"/>
        <v>8.3000000000000004E-2</v>
      </c>
      <c r="P249" s="11">
        <v>535815</v>
      </c>
      <c r="Q249" s="9">
        <v>44472.65</v>
      </c>
      <c r="R249" s="9">
        <v>491342.35</v>
      </c>
      <c r="S249">
        <v>2</v>
      </c>
      <c r="T249">
        <v>126</v>
      </c>
      <c r="U249">
        <v>4.9000000000000004</v>
      </c>
      <c r="V249">
        <v>11</v>
      </c>
      <c r="W249">
        <f>IF('Cleaned Data'!V249&lt;0,"Review",'Cleaned Data'!V249)</f>
        <v>11</v>
      </c>
      <c r="X249">
        <v>2</v>
      </c>
      <c r="Y249" s="7">
        <f>IFERROR('Cleaned Data'!R249/'Cleaned Data'!L249,0)</f>
        <v>163780.78333333333</v>
      </c>
      <c r="Z249" t="str">
        <f>TEXT(EV_Sales[[#This Row],[Order_Date]],"mmm-yyyy")</f>
        <v>Mar-2025</v>
      </c>
      <c r="AA249">
        <f>MONTH(EV_Sales[[#This Row],[Order_Date]])</f>
        <v>3</v>
      </c>
      <c r="AB249" s="12" t="str">
        <f>"Q"&amp;ROUNDUP(MONTH(EV_Sales[[#This Row],[Order_Date]])/3,0)</f>
        <v>Q1</v>
      </c>
    </row>
    <row r="250" spans="1:28" x14ac:dyDescent="0.3">
      <c r="A250" t="s">
        <v>355</v>
      </c>
      <c r="B250" s="2">
        <v>45868</v>
      </c>
      <c r="C250" t="s">
        <v>39</v>
      </c>
      <c r="D250" t="s">
        <v>40</v>
      </c>
      <c r="E250" t="s">
        <v>62</v>
      </c>
      <c r="F250" t="s">
        <v>33</v>
      </c>
      <c r="G250" t="s">
        <v>67</v>
      </c>
      <c r="H250" t="s">
        <v>27</v>
      </c>
      <c r="I250" t="str">
        <f>IF('Cleaned Data'!H250="Emi","EMI",'Cleaned Data'!H250)</f>
        <v>Finance</v>
      </c>
      <c r="J250" t="s">
        <v>36</v>
      </c>
      <c r="K250" t="s">
        <v>83</v>
      </c>
      <c r="L250">
        <v>2</v>
      </c>
      <c r="M250" s="9">
        <v>130489</v>
      </c>
      <c r="N250" s="4">
        <v>3.6999999999999998E-2</v>
      </c>
      <c r="O250" s="4">
        <f t="shared" si="3"/>
        <v>3.6999999999999998E-2</v>
      </c>
      <c r="P250" s="11">
        <v>260978</v>
      </c>
      <c r="Q250" s="9">
        <v>9656.19</v>
      </c>
      <c r="R250" s="9">
        <v>251321.81</v>
      </c>
      <c r="S250">
        <v>3</v>
      </c>
      <c r="T250">
        <v>167</v>
      </c>
      <c r="U250">
        <v>4.3</v>
      </c>
      <c r="V250">
        <v>2</v>
      </c>
      <c r="W250">
        <f>IF('Cleaned Data'!V250&lt;0,"Review",'Cleaned Data'!V250)</f>
        <v>2</v>
      </c>
      <c r="X250">
        <v>5</v>
      </c>
      <c r="Y250" s="7">
        <f>IFERROR('Cleaned Data'!R250/'Cleaned Data'!L250,0)</f>
        <v>125660.905</v>
      </c>
      <c r="Z250" t="str">
        <f>TEXT(EV_Sales[[#This Row],[Order_Date]],"mmm-yyyy")</f>
        <v>Jul-2025</v>
      </c>
      <c r="AA250">
        <f>MONTH(EV_Sales[[#This Row],[Order_Date]])</f>
        <v>7</v>
      </c>
      <c r="AB250" s="12" t="str">
        <f>"Q"&amp;ROUNDUP(MONTH(EV_Sales[[#This Row],[Order_Date]])/3,0)</f>
        <v>Q3</v>
      </c>
    </row>
    <row r="251" spans="1:28" x14ac:dyDescent="0.3">
      <c r="A251" t="s">
        <v>356</v>
      </c>
      <c r="B251" s="2">
        <v>45719</v>
      </c>
      <c r="C251" t="s">
        <v>60</v>
      </c>
      <c r="D251" t="s">
        <v>69</v>
      </c>
      <c r="E251" t="s">
        <v>62</v>
      </c>
      <c r="F251" t="s">
        <v>47</v>
      </c>
      <c r="G251" t="s">
        <v>26</v>
      </c>
      <c r="H251" t="s">
        <v>27</v>
      </c>
      <c r="I251" t="str">
        <f>IF('Cleaned Data'!H251="Emi","EMI",'Cleaned Data'!H251)</f>
        <v>Finance</v>
      </c>
      <c r="J251" t="s">
        <v>36</v>
      </c>
      <c r="K251" t="s">
        <v>83</v>
      </c>
      <c r="L251">
        <v>1</v>
      </c>
      <c r="M251" s="9">
        <v>105666</v>
      </c>
      <c r="N251" s="4">
        <v>9.1999999999999998E-2</v>
      </c>
      <c r="O251" s="4">
        <f t="shared" si="3"/>
        <v>9.1999999999999998E-2</v>
      </c>
      <c r="P251" s="11">
        <v>105666</v>
      </c>
      <c r="Q251" s="9">
        <v>9721.27</v>
      </c>
      <c r="R251" s="9">
        <v>95944.73</v>
      </c>
      <c r="S251">
        <v>3</v>
      </c>
      <c r="T251">
        <v>156</v>
      </c>
      <c r="U251">
        <v>3.6</v>
      </c>
      <c r="V251">
        <v>9</v>
      </c>
      <c r="W251">
        <f>IF('Cleaned Data'!V251&lt;0,"Review",'Cleaned Data'!V251)</f>
        <v>9</v>
      </c>
      <c r="X251">
        <v>2</v>
      </c>
      <c r="Y251" s="7">
        <f>IFERROR('Cleaned Data'!R251/'Cleaned Data'!L251,0)</f>
        <v>95944.73</v>
      </c>
      <c r="Z251" t="str">
        <f>TEXT(EV_Sales[[#This Row],[Order_Date]],"mmm-yyyy")</f>
        <v>Mar-2025</v>
      </c>
      <c r="AA251">
        <f>MONTH(EV_Sales[[#This Row],[Order_Date]])</f>
        <v>3</v>
      </c>
      <c r="AB251" s="12" t="str">
        <f>"Q"&amp;ROUNDUP(MONTH(EV_Sales[[#This Row],[Order_Date]])/3,0)</f>
        <v>Q1</v>
      </c>
    </row>
    <row r="252" spans="1:28" x14ac:dyDescent="0.3">
      <c r="A252" t="s">
        <v>357</v>
      </c>
      <c r="B252" s="2">
        <v>45864</v>
      </c>
      <c r="C252" t="s">
        <v>44</v>
      </c>
      <c r="D252" t="s">
        <v>45</v>
      </c>
      <c r="E252" t="s">
        <v>24</v>
      </c>
      <c r="F252" t="s">
        <v>70</v>
      </c>
      <c r="G252" t="s">
        <v>56</v>
      </c>
      <c r="H252" t="s">
        <v>809</v>
      </c>
      <c r="I252" t="str">
        <f>IF('Cleaned Data'!H252="Emi","EMI",'Cleaned Data'!H252)</f>
        <v>EMI</v>
      </c>
      <c r="J252" t="s">
        <v>28</v>
      </c>
      <c r="K252" t="s">
        <v>72</v>
      </c>
      <c r="L252">
        <v>2</v>
      </c>
      <c r="M252" s="9">
        <v>153278</v>
      </c>
      <c r="N252" s="4">
        <v>3.3000000000000002E-2</v>
      </c>
      <c r="O252" s="4">
        <f t="shared" si="3"/>
        <v>3.3000000000000002E-2</v>
      </c>
      <c r="P252" s="11">
        <v>306556</v>
      </c>
      <c r="Q252" s="9">
        <v>10116.35</v>
      </c>
      <c r="R252" s="9">
        <v>296439.65000000002</v>
      </c>
      <c r="S252">
        <v>3</v>
      </c>
      <c r="T252">
        <v>170</v>
      </c>
      <c r="U252">
        <v>4.0999999999999996</v>
      </c>
      <c r="V252">
        <v>2</v>
      </c>
      <c r="W252">
        <f>IF('Cleaned Data'!V252&lt;0,"Review",'Cleaned Data'!V252)</f>
        <v>2</v>
      </c>
      <c r="X252">
        <v>3</v>
      </c>
      <c r="Y252" s="7">
        <f>IFERROR('Cleaned Data'!R252/'Cleaned Data'!L252,0)</f>
        <v>148219.82500000001</v>
      </c>
      <c r="Z252" t="str">
        <f>TEXT(EV_Sales[[#This Row],[Order_Date]],"mmm-yyyy")</f>
        <v>Jul-2025</v>
      </c>
      <c r="AA252">
        <f>MONTH(EV_Sales[[#This Row],[Order_Date]])</f>
        <v>7</v>
      </c>
      <c r="AB252" s="12" t="str">
        <f>"Q"&amp;ROUNDUP(MONTH(EV_Sales[[#This Row],[Order_Date]])/3,0)</f>
        <v>Q3</v>
      </c>
    </row>
    <row r="253" spans="1:28" x14ac:dyDescent="0.3">
      <c r="A253" t="s">
        <v>358</v>
      </c>
      <c r="B253" s="2">
        <v>45786</v>
      </c>
      <c r="C253" t="s">
        <v>87</v>
      </c>
      <c r="D253" t="s">
        <v>130</v>
      </c>
      <c r="E253" t="s">
        <v>46</v>
      </c>
      <c r="F253" t="s">
        <v>41</v>
      </c>
      <c r="G253" t="s">
        <v>34</v>
      </c>
      <c r="H253" t="s">
        <v>809</v>
      </c>
      <c r="I253" t="str">
        <f>IF('Cleaned Data'!H253="Emi","EMI",'Cleaned Data'!H253)</f>
        <v>EMI</v>
      </c>
      <c r="J253" t="s">
        <v>28</v>
      </c>
      <c r="K253" t="s">
        <v>85</v>
      </c>
      <c r="L253">
        <v>2</v>
      </c>
      <c r="M253" s="9">
        <v>116119</v>
      </c>
      <c r="N253" s="4">
        <v>6.6000000000000003E-2</v>
      </c>
      <c r="O253" s="4">
        <f t="shared" si="3"/>
        <v>6.6000000000000003E-2</v>
      </c>
      <c r="P253" s="11">
        <v>232238</v>
      </c>
      <c r="Q253" s="9">
        <v>15327.71</v>
      </c>
      <c r="R253" s="9">
        <v>216910.29</v>
      </c>
      <c r="S253">
        <v>3</v>
      </c>
      <c r="T253">
        <v>176</v>
      </c>
      <c r="U253">
        <v>4.3</v>
      </c>
      <c r="V253">
        <v>11</v>
      </c>
      <c r="W253">
        <f>IF('Cleaned Data'!V253&lt;0,"Review",'Cleaned Data'!V253)</f>
        <v>11</v>
      </c>
      <c r="X253">
        <v>5</v>
      </c>
      <c r="Y253" s="7">
        <f>IFERROR('Cleaned Data'!R253/'Cleaned Data'!L253,0)</f>
        <v>108455.145</v>
      </c>
      <c r="Z253" t="str">
        <f>TEXT(EV_Sales[[#This Row],[Order_Date]],"mmm-yyyy")</f>
        <v>May-2025</v>
      </c>
      <c r="AA253">
        <f>MONTH(EV_Sales[[#This Row],[Order_Date]])</f>
        <v>5</v>
      </c>
      <c r="AB253" s="12" t="str">
        <f>"Q"&amp;ROUNDUP(MONTH(EV_Sales[[#This Row],[Order_Date]])/3,0)</f>
        <v>Q2</v>
      </c>
    </row>
    <row r="254" spans="1:28" x14ac:dyDescent="0.3">
      <c r="A254" t="s">
        <v>359</v>
      </c>
      <c r="B254" s="2">
        <v>46014</v>
      </c>
      <c r="C254" t="s">
        <v>44</v>
      </c>
      <c r="D254" t="s">
        <v>51</v>
      </c>
      <c r="E254" t="s">
        <v>46</v>
      </c>
      <c r="F254" t="s">
        <v>52</v>
      </c>
      <c r="G254" t="s">
        <v>26</v>
      </c>
      <c r="H254" t="s">
        <v>27</v>
      </c>
      <c r="I254" t="str">
        <f>IF('Cleaned Data'!H254="Emi","EMI",'Cleaned Data'!H254)</f>
        <v>Finance</v>
      </c>
      <c r="J254" t="s">
        <v>28</v>
      </c>
      <c r="K254" t="s">
        <v>37</v>
      </c>
      <c r="L254">
        <v>2</v>
      </c>
      <c r="M254" s="9">
        <v>115330</v>
      </c>
      <c r="N254" s="4">
        <v>4.2000000000000003E-2</v>
      </c>
      <c r="O254" s="4">
        <f t="shared" si="3"/>
        <v>4.2000000000000003E-2</v>
      </c>
      <c r="P254" s="11">
        <v>230660</v>
      </c>
      <c r="Q254" s="9">
        <v>9687.7199999999993</v>
      </c>
      <c r="R254" s="9">
        <v>220972.28</v>
      </c>
      <c r="S254">
        <v>3</v>
      </c>
      <c r="T254">
        <v>157</v>
      </c>
      <c r="U254">
        <v>3.4</v>
      </c>
      <c r="V254">
        <v>4</v>
      </c>
      <c r="W254">
        <f>IF('Cleaned Data'!V254&lt;0,"Review",'Cleaned Data'!V254)</f>
        <v>4</v>
      </c>
      <c r="X254">
        <v>5</v>
      </c>
      <c r="Y254" s="7">
        <f>IFERROR('Cleaned Data'!R254/'Cleaned Data'!L254,0)</f>
        <v>110486.14</v>
      </c>
      <c r="Z254" t="str">
        <f>TEXT(EV_Sales[[#This Row],[Order_Date]],"mmm-yyyy")</f>
        <v>Dec-2025</v>
      </c>
      <c r="AA254">
        <f>MONTH(EV_Sales[[#This Row],[Order_Date]])</f>
        <v>12</v>
      </c>
      <c r="AB254" s="12" t="str">
        <f>"Q"&amp;ROUNDUP(MONTH(EV_Sales[[#This Row],[Order_Date]])/3,0)</f>
        <v>Q4</v>
      </c>
    </row>
    <row r="255" spans="1:28" x14ac:dyDescent="0.3">
      <c r="A255" t="s">
        <v>360</v>
      </c>
      <c r="B255" s="2">
        <v>45844</v>
      </c>
      <c r="C255" t="s">
        <v>31</v>
      </c>
      <c r="D255" t="s">
        <v>32</v>
      </c>
      <c r="E255" t="s">
        <v>46</v>
      </c>
      <c r="F255" t="s">
        <v>80</v>
      </c>
      <c r="G255" t="s">
        <v>34</v>
      </c>
      <c r="H255" t="s">
        <v>809</v>
      </c>
      <c r="I255" t="str">
        <f>IF('Cleaned Data'!H255="Emi","EMI",'Cleaned Data'!H255)</f>
        <v>EMI</v>
      </c>
      <c r="J255" t="s">
        <v>36</v>
      </c>
      <c r="K255" t="s">
        <v>175</v>
      </c>
      <c r="L255">
        <v>2</v>
      </c>
      <c r="M255" s="9">
        <v>114737</v>
      </c>
      <c r="N255" s="4">
        <v>6.4000000000000001E-2</v>
      </c>
      <c r="O255" s="4">
        <f t="shared" si="3"/>
        <v>6.4000000000000001E-2</v>
      </c>
      <c r="P255" s="11">
        <v>229474</v>
      </c>
      <c r="Q255" s="9">
        <v>14686.34</v>
      </c>
      <c r="R255" s="9">
        <v>214787.66</v>
      </c>
      <c r="S255">
        <v>4</v>
      </c>
      <c r="T255">
        <v>184</v>
      </c>
      <c r="U255">
        <v>3.9</v>
      </c>
      <c r="V255">
        <v>2</v>
      </c>
      <c r="W255">
        <f>IF('Cleaned Data'!V255&lt;0,"Review",'Cleaned Data'!V255)</f>
        <v>2</v>
      </c>
      <c r="X255">
        <v>3</v>
      </c>
      <c r="Y255" s="7">
        <f>IFERROR('Cleaned Data'!R255/'Cleaned Data'!L255,0)</f>
        <v>107393.83</v>
      </c>
      <c r="Z255" t="str">
        <f>TEXT(EV_Sales[[#This Row],[Order_Date]],"mmm-yyyy")</f>
        <v>Jul-2025</v>
      </c>
      <c r="AA255">
        <f>MONTH(EV_Sales[[#This Row],[Order_Date]])</f>
        <v>7</v>
      </c>
      <c r="AB255" s="12" t="str">
        <f>"Q"&amp;ROUNDUP(MONTH(EV_Sales[[#This Row],[Order_Date]])/3,0)</f>
        <v>Q3</v>
      </c>
    </row>
    <row r="256" spans="1:28" x14ac:dyDescent="0.3">
      <c r="A256" t="s">
        <v>361</v>
      </c>
      <c r="B256" s="2">
        <v>45944</v>
      </c>
      <c r="C256" t="s">
        <v>39</v>
      </c>
      <c r="D256" t="s">
        <v>40</v>
      </c>
      <c r="E256" t="s">
        <v>62</v>
      </c>
      <c r="F256" t="s">
        <v>41</v>
      </c>
      <c r="G256" t="s">
        <v>56</v>
      </c>
      <c r="H256" t="s">
        <v>809</v>
      </c>
      <c r="I256" t="str">
        <f>IF('Cleaned Data'!H256="Emi","EMI",'Cleaned Data'!H256)</f>
        <v>EMI</v>
      </c>
      <c r="J256" t="s">
        <v>94</v>
      </c>
      <c r="K256" t="s">
        <v>123</v>
      </c>
      <c r="L256">
        <v>3</v>
      </c>
      <c r="M256" s="9">
        <v>129299</v>
      </c>
      <c r="N256" s="4">
        <v>2.1000000000000001E-2</v>
      </c>
      <c r="O256" s="4">
        <f t="shared" si="3"/>
        <v>2.1000000000000001E-2</v>
      </c>
      <c r="P256" s="11">
        <v>387897</v>
      </c>
      <c r="Q256" s="9">
        <v>8145.84</v>
      </c>
      <c r="R256" s="9">
        <v>379751.16</v>
      </c>
      <c r="S256">
        <v>3</v>
      </c>
      <c r="T256">
        <v>142</v>
      </c>
      <c r="U256">
        <v>4.4000000000000004</v>
      </c>
      <c r="V256">
        <v>14</v>
      </c>
      <c r="W256">
        <f>IF('Cleaned Data'!V256&lt;0,"Review",'Cleaned Data'!V256)</f>
        <v>14</v>
      </c>
      <c r="X256">
        <v>2</v>
      </c>
      <c r="Y256" s="7">
        <f>IFERROR('Cleaned Data'!R256/'Cleaned Data'!L256,0)</f>
        <v>126583.71999999999</v>
      </c>
      <c r="Z256" t="str">
        <f>TEXT(EV_Sales[[#This Row],[Order_Date]],"mmm-yyyy")</f>
        <v>Oct-2025</v>
      </c>
      <c r="AA256">
        <f>MONTH(EV_Sales[[#This Row],[Order_Date]])</f>
        <v>10</v>
      </c>
      <c r="AB256" s="12" t="str">
        <f>"Q"&amp;ROUNDUP(MONTH(EV_Sales[[#This Row],[Order_Date]])/3,0)</f>
        <v>Q4</v>
      </c>
    </row>
    <row r="257" spans="1:28" x14ac:dyDescent="0.3">
      <c r="A257" t="s">
        <v>362</v>
      </c>
      <c r="B257" s="2">
        <v>45961</v>
      </c>
      <c r="C257" t="s">
        <v>87</v>
      </c>
      <c r="D257" t="s">
        <v>130</v>
      </c>
      <c r="E257" t="s">
        <v>62</v>
      </c>
      <c r="F257" t="s">
        <v>101</v>
      </c>
      <c r="G257" t="s">
        <v>56</v>
      </c>
      <c r="H257" t="s">
        <v>809</v>
      </c>
      <c r="I257" t="str">
        <f>IF('Cleaned Data'!H257="Emi","EMI",'Cleaned Data'!H257)</f>
        <v>EMI</v>
      </c>
      <c r="J257" t="s">
        <v>94</v>
      </c>
      <c r="K257" t="s">
        <v>95</v>
      </c>
      <c r="L257">
        <v>1</v>
      </c>
      <c r="M257" s="9">
        <v>103642</v>
      </c>
      <c r="N257" s="4">
        <v>2.1999999999999999E-2</v>
      </c>
      <c r="O257" s="4">
        <f t="shared" si="3"/>
        <v>2.1999999999999999E-2</v>
      </c>
      <c r="P257" s="11">
        <v>103642</v>
      </c>
      <c r="Q257" s="9">
        <v>2280.12</v>
      </c>
      <c r="R257" s="9">
        <v>101361.88</v>
      </c>
      <c r="S257">
        <v>5</v>
      </c>
      <c r="T257">
        <v>187</v>
      </c>
      <c r="U257">
        <v>4.5999999999999996</v>
      </c>
      <c r="V257">
        <v>8</v>
      </c>
      <c r="W257">
        <f>IF('Cleaned Data'!V257&lt;0,"Review",'Cleaned Data'!V257)</f>
        <v>8</v>
      </c>
      <c r="X257">
        <v>5</v>
      </c>
      <c r="Y257" s="7">
        <f>IFERROR('Cleaned Data'!R257/'Cleaned Data'!L257,0)</f>
        <v>101361.88</v>
      </c>
      <c r="Z257" t="str">
        <f>TEXT(EV_Sales[[#This Row],[Order_Date]],"mmm-yyyy")</f>
        <v>Oct-2025</v>
      </c>
      <c r="AA257">
        <f>MONTH(EV_Sales[[#This Row],[Order_Date]])</f>
        <v>10</v>
      </c>
      <c r="AB257" s="12" t="str">
        <f>"Q"&amp;ROUNDUP(MONTH(EV_Sales[[#This Row],[Order_Date]])/3,0)</f>
        <v>Q4</v>
      </c>
    </row>
    <row r="258" spans="1:28" x14ac:dyDescent="0.3">
      <c r="A258" t="s">
        <v>363</v>
      </c>
      <c r="B258" s="2">
        <v>45996</v>
      </c>
      <c r="C258" t="s">
        <v>60</v>
      </c>
      <c r="D258" t="s">
        <v>61</v>
      </c>
      <c r="E258" t="s">
        <v>62</v>
      </c>
      <c r="F258" t="s">
        <v>52</v>
      </c>
      <c r="G258" t="s">
        <v>56</v>
      </c>
      <c r="H258" t="s">
        <v>27</v>
      </c>
      <c r="I258" t="str">
        <f>IF('Cleaned Data'!H258="Emi","EMI",'Cleaned Data'!H258)</f>
        <v>Finance</v>
      </c>
      <c r="J258" t="s">
        <v>48</v>
      </c>
      <c r="K258" t="s">
        <v>78</v>
      </c>
      <c r="L258">
        <v>2</v>
      </c>
      <c r="M258" s="9">
        <v>124049</v>
      </c>
      <c r="N258" s="4">
        <v>9.6000000000000002E-2</v>
      </c>
      <c r="O258" s="4">
        <f t="shared" ref="O258:O321" si="4">IF(TRIM(N258&amp;"")="","missing",N258)</f>
        <v>9.6000000000000002E-2</v>
      </c>
      <c r="P258" s="11">
        <v>248098</v>
      </c>
      <c r="Q258" s="9">
        <v>23817.41</v>
      </c>
      <c r="R258" s="9">
        <v>224280.59</v>
      </c>
      <c r="S258">
        <v>3</v>
      </c>
      <c r="T258">
        <v>154</v>
      </c>
      <c r="U258">
        <v>4.8</v>
      </c>
      <c r="V258">
        <v>5</v>
      </c>
      <c r="W258">
        <f>IF('Cleaned Data'!V258&lt;0,"Review",'Cleaned Data'!V258)</f>
        <v>5</v>
      </c>
      <c r="X258">
        <v>5</v>
      </c>
      <c r="Y258" s="7">
        <f>IFERROR('Cleaned Data'!R258/'Cleaned Data'!L258,0)</f>
        <v>112140.295</v>
      </c>
      <c r="Z258" t="str">
        <f>TEXT(EV_Sales[[#This Row],[Order_Date]],"mmm-yyyy")</f>
        <v>Dec-2025</v>
      </c>
      <c r="AA258">
        <f>MONTH(EV_Sales[[#This Row],[Order_Date]])</f>
        <v>12</v>
      </c>
      <c r="AB258" s="12" t="str">
        <f>"Q"&amp;ROUNDUP(MONTH(EV_Sales[[#This Row],[Order_Date]])/3,0)</f>
        <v>Q4</v>
      </c>
    </row>
    <row r="259" spans="1:28" x14ac:dyDescent="0.3">
      <c r="A259" t="s">
        <v>364</v>
      </c>
      <c r="B259" s="2">
        <v>45848</v>
      </c>
      <c r="C259" t="s">
        <v>44</v>
      </c>
      <c r="D259" t="s">
        <v>45</v>
      </c>
      <c r="E259" t="s">
        <v>62</v>
      </c>
      <c r="F259" t="s">
        <v>47</v>
      </c>
      <c r="G259" t="s">
        <v>56</v>
      </c>
      <c r="H259" t="s">
        <v>809</v>
      </c>
      <c r="I259" t="str">
        <f>IF('Cleaned Data'!H259="Emi","EMI",'Cleaned Data'!H259)</f>
        <v>EMI</v>
      </c>
      <c r="J259" t="s">
        <v>28</v>
      </c>
      <c r="K259" t="s">
        <v>212</v>
      </c>
      <c r="L259">
        <v>1</v>
      </c>
      <c r="M259" s="9">
        <v>161908</v>
      </c>
      <c r="N259" s="4">
        <v>0.11799999999999999</v>
      </c>
      <c r="O259" s="4">
        <f t="shared" si="4"/>
        <v>0.11799999999999999</v>
      </c>
      <c r="P259" s="11">
        <v>161908</v>
      </c>
      <c r="Q259" s="9">
        <v>19105.14</v>
      </c>
      <c r="R259" s="9">
        <v>142802.85999999999</v>
      </c>
      <c r="S259">
        <v>4</v>
      </c>
      <c r="T259">
        <v>189</v>
      </c>
      <c r="U259">
        <v>4.5</v>
      </c>
      <c r="V259">
        <v>10</v>
      </c>
      <c r="W259">
        <f>IF('Cleaned Data'!V259&lt;0,"Review",'Cleaned Data'!V259)</f>
        <v>10</v>
      </c>
      <c r="X259">
        <v>3</v>
      </c>
      <c r="Y259" s="7">
        <f>IFERROR('Cleaned Data'!R259/'Cleaned Data'!L259,0)</f>
        <v>142802.85999999999</v>
      </c>
      <c r="Z259" t="str">
        <f>TEXT(EV_Sales[[#This Row],[Order_Date]],"mmm-yyyy")</f>
        <v>Jul-2025</v>
      </c>
      <c r="AA259">
        <f>MONTH(EV_Sales[[#This Row],[Order_Date]])</f>
        <v>7</v>
      </c>
      <c r="AB259" s="12" t="str">
        <f>"Q"&amp;ROUNDUP(MONTH(EV_Sales[[#This Row],[Order_Date]])/3,0)</f>
        <v>Q3</v>
      </c>
    </row>
    <row r="260" spans="1:28" x14ac:dyDescent="0.3">
      <c r="A260" t="s">
        <v>365</v>
      </c>
      <c r="B260" s="2">
        <v>45732</v>
      </c>
      <c r="C260" t="s">
        <v>31</v>
      </c>
      <c r="D260" t="s">
        <v>97</v>
      </c>
      <c r="E260" t="s">
        <v>62</v>
      </c>
      <c r="F260" t="s">
        <v>41</v>
      </c>
      <c r="G260" t="s">
        <v>67</v>
      </c>
      <c r="H260" t="s">
        <v>809</v>
      </c>
      <c r="I260" t="str">
        <f>IF('Cleaned Data'!H260="Emi","EMI",'Cleaned Data'!H260)</f>
        <v>EMI</v>
      </c>
      <c r="J260" t="s">
        <v>36</v>
      </c>
      <c r="K260" t="s">
        <v>109</v>
      </c>
      <c r="L260">
        <v>1</v>
      </c>
      <c r="M260" s="9">
        <v>131306</v>
      </c>
      <c r="N260" s="4">
        <v>8.8999999999999996E-2</v>
      </c>
      <c r="O260" s="4">
        <f t="shared" si="4"/>
        <v>8.8999999999999996E-2</v>
      </c>
      <c r="P260" s="11">
        <v>131306</v>
      </c>
      <c r="Q260" s="9">
        <v>11686.23</v>
      </c>
      <c r="R260" s="9">
        <v>119619.77</v>
      </c>
      <c r="S260">
        <v>4</v>
      </c>
      <c r="T260">
        <v>166</v>
      </c>
      <c r="U260">
        <v>4.5</v>
      </c>
      <c r="V260">
        <v>4</v>
      </c>
      <c r="W260">
        <f>IF('Cleaned Data'!V260&lt;0,"Review",'Cleaned Data'!V260)</f>
        <v>4</v>
      </c>
      <c r="X260">
        <v>2</v>
      </c>
      <c r="Y260" s="7">
        <f>IFERROR('Cleaned Data'!R260/'Cleaned Data'!L260,0)</f>
        <v>119619.77</v>
      </c>
      <c r="Z260" t="str">
        <f>TEXT(EV_Sales[[#This Row],[Order_Date]],"mmm-yyyy")</f>
        <v>Mar-2025</v>
      </c>
      <c r="AA260">
        <f>MONTH(EV_Sales[[#This Row],[Order_Date]])</f>
        <v>3</v>
      </c>
      <c r="AB260" s="12" t="str">
        <f>"Q"&amp;ROUNDUP(MONTH(EV_Sales[[#This Row],[Order_Date]])/3,0)</f>
        <v>Q1</v>
      </c>
    </row>
    <row r="261" spans="1:28" x14ac:dyDescent="0.3">
      <c r="A261" t="s">
        <v>366</v>
      </c>
      <c r="B261" s="2">
        <v>45866</v>
      </c>
      <c r="C261" t="s">
        <v>87</v>
      </c>
      <c r="D261" t="s">
        <v>88</v>
      </c>
      <c r="E261" t="s">
        <v>24</v>
      </c>
      <c r="F261" t="s">
        <v>80</v>
      </c>
      <c r="G261" t="s">
        <v>56</v>
      </c>
      <c r="H261" t="s">
        <v>27</v>
      </c>
      <c r="I261" t="str">
        <f>IF('Cleaned Data'!H261="Emi","EMI",'Cleaned Data'!H261)</f>
        <v>Finance</v>
      </c>
      <c r="J261" t="s">
        <v>28</v>
      </c>
      <c r="K261" t="s">
        <v>102</v>
      </c>
      <c r="L261">
        <v>3</v>
      </c>
      <c r="M261" s="9">
        <v>144564</v>
      </c>
      <c r="N261" s="4">
        <v>2.1999999999999999E-2</v>
      </c>
      <c r="O261" s="4">
        <f t="shared" si="4"/>
        <v>2.1999999999999999E-2</v>
      </c>
      <c r="P261" s="11">
        <v>433692</v>
      </c>
      <c r="Q261" s="9">
        <v>9541.2199999999993</v>
      </c>
      <c r="R261" s="9">
        <v>424150.78</v>
      </c>
      <c r="S261">
        <v>4</v>
      </c>
      <c r="T261">
        <v>200</v>
      </c>
      <c r="U261">
        <v>4.5</v>
      </c>
      <c r="V261">
        <v>13</v>
      </c>
      <c r="W261">
        <f>IF('Cleaned Data'!V261&lt;0,"Review",'Cleaned Data'!V261)</f>
        <v>13</v>
      </c>
      <c r="X261">
        <v>3</v>
      </c>
      <c r="Y261" s="7">
        <f>IFERROR('Cleaned Data'!R261/'Cleaned Data'!L261,0)</f>
        <v>141383.59333333335</v>
      </c>
      <c r="Z261" t="str">
        <f>TEXT(EV_Sales[[#This Row],[Order_Date]],"mmm-yyyy")</f>
        <v>Jul-2025</v>
      </c>
      <c r="AA261">
        <f>MONTH(EV_Sales[[#This Row],[Order_Date]])</f>
        <v>7</v>
      </c>
      <c r="AB261" s="12" t="str">
        <f>"Q"&amp;ROUNDUP(MONTH(EV_Sales[[#This Row],[Order_Date]])/3,0)</f>
        <v>Q3</v>
      </c>
    </row>
    <row r="262" spans="1:28" x14ac:dyDescent="0.3">
      <c r="A262" t="s">
        <v>367</v>
      </c>
      <c r="B262" s="2">
        <v>45950</v>
      </c>
      <c r="C262" t="s">
        <v>60</v>
      </c>
      <c r="D262" t="s">
        <v>61</v>
      </c>
      <c r="E262" t="s">
        <v>24</v>
      </c>
      <c r="F262" t="s">
        <v>74</v>
      </c>
      <c r="G262" t="s">
        <v>34</v>
      </c>
      <c r="H262" t="s">
        <v>809</v>
      </c>
      <c r="I262" t="str">
        <f>IF('Cleaned Data'!H262="Emi","EMI",'Cleaned Data'!H262)</f>
        <v>EMI</v>
      </c>
      <c r="J262" t="s">
        <v>28</v>
      </c>
      <c r="K262" t="s">
        <v>49</v>
      </c>
      <c r="L262">
        <v>3</v>
      </c>
      <c r="M262" s="9">
        <v>118445</v>
      </c>
      <c r="N262" s="4">
        <v>2.8000000000000001E-2</v>
      </c>
      <c r="O262" s="4">
        <f t="shared" si="4"/>
        <v>2.8000000000000001E-2</v>
      </c>
      <c r="P262" s="11">
        <v>355335</v>
      </c>
      <c r="Q262" s="9">
        <v>9949.3799999999992</v>
      </c>
      <c r="R262" s="9">
        <v>345385.62</v>
      </c>
      <c r="S262">
        <v>4</v>
      </c>
      <c r="T262">
        <v>184</v>
      </c>
      <c r="U262">
        <v>3.7</v>
      </c>
      <c r="V262">
        <v>5</v>
      </c>
      <c r="W262">
        <f>IF('Cleaned Data'!V262&lt;0,"Review",'Cleaned Data'!V262)</f>
        <v>5</v>
      </c>
      <c r="X262">
        <v>2</v>
      </c>
      <c r="Y262" s="7">
        <f>IFERROR('Cleaned Data'!R262/'Cleaned Data'!L262,0)</f>
        <v>115128.54</v>
      </c>
      <c r="Z262" t="str">
        <f>TEXT(EV_Sales[[#This Row],[Order_Date]],"mmm-yyyy")</f>
        <v>Oct-2025</v>
      </c>
      <c r="AA262">
        <f>MONTH(EV_Sales[[#This Row],[Order_Date]])</f>
        <v>10</v>
      </c>
      <c r="AB262" s="12" t="str">
        <f>"Q"&amp;ROUNDUP(MONTH(EV_Sales[[#This Row],[Order_Date]])/3,0)</f>
        <v>Q4</v>
      </c>
    </row>
    <row r="263" spans="1:28" x14ac:dyDescent="0.3">
      <c r="A263" t="s">
        <v>368</v>
      </c>
      <c r="B263" s="2">
        <v>45702</v>
      </c>
      <c r="C263" t="s">
        <v>39</v>
      </c>
      <c r="D263" t="s">
        <v>40</v>
      </c>
      <c r="E263" t="s">
        <v>62</v>
      </c>
      <c r="F263" t="s">
        <v>66</v>
      </c>
      <c r="G263" t="s">
        <v>67</v>
      </c>
      <c r="H263" t="s">
        <v>809</v>
      </c>
      <c r="I263" t="str">
        <f>IF('Cleaned Data'!H263="Emi","EMI",'Cleaned Data'!H263)</f>
        <v>EMI</v>
      </c>
      <c r="J263" t="s">
        <v>94</v>
      </c>
      <c r="K263" t="s">
        <v>49</v>
      </c>
      <c r="L263">
        <v>5</v>
      </c>
      <c r="M263" s="9">
        <v>129460</v>
      </c>
      <c r="N263" s="4">
        <v>5.8000000000000003E-2</v>
      </c>
      <c r="O263" s="4">
        <f t="shared" si="4"/>
        <v>5.8000000000000003E-2</v>
      </c>
      <c r="P263" s="11">
        <v>647300</v>
      </c>
      <c r="Q263" s="9">
        <v>37543.4</v>
      </c>
      <c r="R263" s="9">
        <v>609756.6</v>
      </c>
      <c r="S263">
        <v>4</v>
      </c>
      <c r="T263">
        <v>174</v>
      </c>
      <c r="U263">
        <v>3.8</v>
      </c>
      <c r="V263">
        <v>2</v>
      </c>
      <c r="W263">
        <f>IF('Cleaned Data'!V263&lt;0,"Review",'Cleaned Data'!V263)</f>
        <v>2</v>
      </c>
      <c r="X263">
        <v>5</v>
      </c>
      <c r="Y263" s="7">
        <f>IFERROR('Cleaned Data'!R263/'Cleaned Data'!L263,0)</f>
        <v>121951.31999999999</v>
      </c>
      <c r="Z263" t="str">
        <f>TEXT(EV_Sales[[#This Row],[Order_Date]],"mmm-yyyy")</f>
        <v>Feb-2025</v>
      </c>
      <c r="AA263">
        <f>MONTH(EV_Sales[[#This Row],[Order_Date]])</f>
        <v>2</v>
      </c>
      <c r="AB263" s="12" t="str">
        <f>"Q"&amp;ROUNDUP(MONTH(EV_Sales[[#This Row],[Order_Date]])/3,0)</f>
        <v>Q1</v>
      </c>
    </row>
    <row r="264" spans="1:28" x14ac:dyDescent="0.3">
      <c r="A264" t="s">
        <v>369</v>
      </c>
      <c r="B264" s="2">
        <v>45888</v>
      </c>
      <c r="C264" t="s">
        <v>87</v>
      </c>
      <c r="D264" t="s">
        <v>88</v>
      </c>
      <c r="E264" t="s">
        <v>62</v>
      </c>
      <c r="F264" t="s">
        <v>101</v>
      </c>
      <c r="G264" t="s">
        <v>26</v>
      </c>
      <c r="H264" t="s">
        <v>809</v>
      </c>
      <c r="I264" t="str">
        <f>IF('Cleaned Data'!H264="Emi","EMI",'Cleaned Data'!H264)</f>
        <v>EMI</v>
      </c>
      <c r="J264" t="s">
        <v>36</v>
      </c>
      <c r="K264" t="s">
        <v>212</v>
      </c>
      <c r="L264">
        <v>1</v>
      </c>
      <c r="M264" s="9">
        <v>149315</v>
      </c>
      <c r="N264" s="4">
        <v>8.6999999999999994E-2</v>
      </c>
      <c r="O264" s="4">
        <f t="shared" si="4"/>
        <v>8.6999999999999994E-2</v>
      </c>
      <c r="P264" s="11">
        <v>149315</v>
      </c>
      <c r="Q264" s="9">
        <v>12990.4</v>
      </c>
      <c r="R264" s="9">
        <v>136324.6</v>
      </c>
      <c r="S264">
        <v>5</v>
      </c>
      <c r="T264">
        <v>205</v>
      </c>
      <c r="U264">
        <v>3.3</v>
      </c>
      <c r="V264">
        <v>3</v>
      </c>
      <c r="W264">
        <f>IF('Cleaned Data'!V264&lt;0,"Review",'Cleaned Data'!V264)</f>
        <v>3</v>
      </c>
      <c r="X264">
        <v>3</v>
      </c>
      <c r="Y264" s="7">
        <f>IFERROR('Cleaned Data'!R264/'Cleaned Data'!L264,0)</f>
        <v>136324.6</v>
      </c>
      <c r="Z264" t="str">
        <f>TEXT(EV_Sales[[#This Row],[Order_Date]],"mmm-yyyy")</f>
        <v>Aug-2025</v>
      </c>
      <c r="AA264">
        <f>MONTH(EV_Sales[[#This Row],[Order_Date]])</f>
        <v>8</v>
      </c>
      <c r="AB264" s="12" t="str">
        <f>"Q"&amp;ROUNDUP(MONTH(EV_Sales[[#This Row],[Order_Date]])/3,0)</f>
        <v>Q3</v>
      </c>
    </row>
    <row r="265" spans="1:28" x14ac:dyDescent="0.3">
      <c r="A265" t="s">
        <v>370</v>
      </c>
      <c r="B265" s="2">
        <v>45709</v>
      </c>
      <c r="C265" t="s">
        <v>87</v>
      </c>
      <c r="D265" t="s">
        <v>88</v>
      </c>
      <c r="E265" t="s">
        <v>24</v>
      </c>
      <c r="F265" t="s">
        <v>52</v>
      </c>
      <c r="G265" t="s">
        <v>34</v>
      </c>
      <c r="H265" t="s">
        <v>27</v>
      </c>
      <c r="I265" t="str">
        <f>IF('Cleaned Data'!H265="Emi","EMI",'Cleaned Data'!H265)</f>
        <v>Finance</v>
      </c>
      <c r="J265" t="s">
        <v>36</v>
      </c>
      <c r="K265" t="s">
        <v>92</v>
      </c>
      <c r="L265">
        <v>1</v>
      </c>
      <c r="M265" s="9">
        <v>152127</v>
      </c>
      <c r="N265" s="4">
        <v>0.11899999999999999</v>
      </c>
      <c r="O265" s="4">
        <f t="shared" si="4"/>
        <v>0.11899999999999999</v>
      </c>
      <c r="P265" s="11">
        <v>152127</v>
      </c>
      <c r="Q265" s="9">
        <v>18103.11</v>
      </c>
      <c r="R265" s="9">
        <v>134023.89000000001</v>
      </c>
      <c r="S265">
        <v>3</v>
      </c>
      <c r="T265">
        <v>159</v>
      </c>
      <c r="U265">
        <v>3.9</v>
      </c>
      <c r="V265">
        <v>9</v>
      </c>
      <c r="W265">
        <f>IF('Cleaned Data'!V265&lt;0,"Review",'Cleaned Data'!V265)</f>
        <v>9</v>
      </c>
      <c r="X265">
        <v>2</v>
      </c>
      <c r="Y265" s="7">
        <f>IFERROR('Cleaned Data'!R265/'Cleaned Data'!L265,0)</f>
        <v>134023.89000000001</v>
      </c>
      <c r="Z265" t="str">
        <f>TEXT(EV_Sales[[#This Row],[Order_Date]],"mmm-yyyy")</f>
        <v>Feb-2025</v>
      </c>
      <c r="AA265">
        <f>MONTH(EV_Sales[[#This Row],[Order_Date]])</f>
        <v>2</v>
      </c>
      <c r="AB265" s="12" t="str">
        <f>"Q"&amp;ROUNDUP(MONTH(EV_Sales[[#This Row],[Order_Date]])/3,0)</f>
        <v>Q1</v>
      </c>
    </row>
    <row r="266" spans="1:28" x14ac:dyDescent="0.3">
      <c r="A266" t="s">
        <v>371</v>
      </c>
      <c r="B266" s="2">
        <v>45670</v>
      </c>
      <c r="C266" t="s">
        <v>44</v>
      </c>
      <c r="D266" t="s">
        <v>45</v>
      </c>
      <c r="E266" t="s">
        <v>24</v>
      </c>
      <c r="F266" t="s">
        <v>47</v>
      </c>
      <c r="G266" t="s">
        <v>56</v>
      </c>
      <c r="H266" t="s">
        <v>809</v>
      </c>
      <c r="I266" t="str">
        <f>IF('Cleaned Data'!H266="Emi","EMI",'Cleaned Data'!H266)</f>
        <v>EMI</v>
      </c>
      <c r="J266" t="s">
        <v>63</v>
      </c>
      <c r="K266" t="s">
        <v>54</v>
      </c>
      <c r="L266">
        <v>1</v>
      </c>
      <c r="M266" s="9">
        <v>145420</v>
      </c>
      <c r="N266" s="4">
        <v>0.10100000000000001</v>
      </c>
      <c r="O266" s="4">
        <f t="shared" si="4"/>
        <v>0.10100000000000001</v>
      </c>
      <c r="P266" s="11">
        <v>145420</v>
      </c>
      <c r="Q266" s="9">
        <v>14687.42</v>
      </c>
      <c r="R266" s="9">
        <v>130732.58</v>
      </c>
      <c r="S266">
        <v>3</v>
      </c>
      <c r="T266">
        <v>174</v>
      </c>
      <c r="U266">
        <v>3.9</v>
      </c>
      <c r="V266">
        <v>9</v>
      </c>
      <c r="W266">
        <f>IF('Cleaned Data'!V266&lt;0,"Review",'Cleaned Data'!V266)</f>
        <v>9</v>
      </c>
      <c r="X266">
        <v>5</v>
      </c>
      <c r="Y266" s="7">
        <f>IFERROR('Cleaned Data'!R266/'Cleaned Data'!L266,0)</f>
        <v>130732.58</v>
      </c>
      <c r="Z266" t="str">
        <f>TEXT(EV_Sales[[#This Row],[Order_Date]],"mmm-yyyy")</f>
        <v>Jan-2025</v>
      </c>
      <c r="AA266">
        <f>MONTH(EV_Sales[[#This Row],[Order_Date]])</f>
        <v>1</v>
      </c>
      <c r="AB266" s="12" t="str">
        <f>"Q"&amp;ROUNDUP(MONTH(EV_Sales[[#This Row],[Order_Date]])/3,0)</f>
        <v>Q1</v>
      </c>
    </row>
    <row r="267" spans="1:28" x14ac:dyDescent="0.3">
      <c r="A267" t="s">
        <v>372</v>
      </c>
      <c r="B267" s="2">
        <v>45847</v>
      </c>
      <c r="C267" t="s">
        <v>87</v>
      </c>
      <c r="D267" t="s">
        <v>88</v>
      </c>
      <c r="E267" t="s">
        <v>46</v>
      </c>
      <c r="F267" t="s">
        <v>66</v>
      </c>
      <c r="G267" t="s">
        <v>56</v>
      </c>
      <c r="H267" t="s">
        <v>809</v>
      </c>
      <c r="I267" t="str">
        <f>IF('Cleaned Data'!H267="Emi","EMI",'Cleaned Data'!H267)</f>
        <v>EMI</v>
      </c>
      <c r="J267" t="s">
        <v>48</v>
      </c>
      <c r="K267" t="s">
        <v>37</v>
      </c>
      <c r="L267">
        <v>1</v>
      </c>
      <c r="M267" s="9">
        <v>153194</v>
      </c>
      <c r="N267" s="4">
        <v>7.0999999999999994E-2</v>
      </c>
      <c r="O267" s="4">
        <f t="shared" si="4"/>
        <v>7.0999999999999994E-2</v>
      </c>
      <c r="P267" s="11">
        <v>153194</v>
      </c>
      <c r="Q267" s="9">
        <v>10876.77</v>
      </c>
      <c r="R267" s="9">
        <v>142317.23000000001</v>
      </c>
      <c r="S267">
        <v>3</v>
      </c>
      <c r="T267">
        <v>146</v>
      </c>
      <c r="U267">
        <v>4.5</v>
      </c>
      <c r="V267">
        <v>8</v>
      </c>
      <c r="W267">
        <f>IF('Cleaned Data'!V267&lt;0,"Review",'Cleaned Data'!V267)</f>
        <v>8</v>
      </c>
      <c r="X267">
        <v>2</v>
      </c>
      <c r="Y267" s="7">
        <f>IFERROR('Cleaned Data'!R267/'Cleaned Data'!L267,0)</f>
        <v>142317.23000000001</v>
      </c>
      <c r="Z267" t="str">
        <f>TEXT(EV_Sales[[#This Row],[Order_Date]],"mmm-yyyy")</f>
        <v>Jul-2025</v>
      </c>
      <c r="AA267">
        <f>MONTH(EV_Sales[[#This Row],[Order_Date]])</f>
        <v>7</v>
      </c>
      <c r="AB267" s="12" t="str">
        <f>"Q"&amp;ROUNDUP(MONTH(EV_Sales[[#This Row],[Order_Date]])/3,0)</f>
        <v>Q3</v>
      </c>
    </row>
    <row r="268" spans="1:28" x14ac:dyDescent="0.3">
      <c r="A268" t="s">
        <v>373</v>
      </c>
      <c r="B268" s="2">
        <v>45838</v>
      </c>
      <c r="C268" t="s">
        <v>22</v>
      </c>
      <c r="D268" t="s">
        <v>23</v>
      </c>
      <c r="E268" t="s">
        <v>62</v>
      </c>
      <c r="F268" t="s">
        <v>66</v>
      </c>
      <c r="G268" t="s">
        <v>56</v>
      </c>
      <c r="H268" t="s">
        <v>53</v>
      </c>
      <c r="I268" t="str">
        <f>IF('Cleaned Data'!H268="Emi","EMI",'Cleaned Data'!H268)</f>
        <v>Cash</v>
      </c>
      <c r="J268" t="s">
        <v>57</v>
      </c>
      <c r="K268" t="s">
        <v>148</v>
      </c>
      <c r="L268">
        <v>1</v>
      </c>
      <c r="M268" s="9">
        <v>120501</v>
      </c>
      <c r="N268" s="4">
        <v>9.2999999999999999E-2</v>
      </c>
      <c r="O268" s="4">
        <f t="shared" si="4"/>
        <v>9.2999999999999999E-2</v>
      </c>
      <c r="P268" s="11">
        <v>120501</v>
      </c>
      <c r="Q268" s="9">
        <v>11206.59</v>
      </c>
      <c r="R268" s="9">
        <v>109294.41</v>
      </c>
      <c r="S268">
        <v>4</v>
      </c>
      <c r="T268">
        <v>195</v>
      </c>
      <c r="U268">
        <v>4.4000000000000004</v>
      </c>
      <c r="V268">
        <v>11</v>
      </c>
      <c r="W268">
        <f>IF('Cleaned Data'!V268&lt;0,"Review",'Cleaned Data'!V268)</f>
        <v>11</v>
      </c>
      <c r="X268">
        <v>5</v>
      </c>
      <c r="Y268" s="7">
        <f>IFERROR('Cleaned Data'!R268/'Cleaned Data'!L268,0)</f>
        <v>109294.41</v>
      </c>
      <c r="Z268" t="str">
        <f>TEXT(EV_Sales[[#This Row],[Order_Date]],"mmm-yyyy")</f>
        <v>Jun-2025</v>
      </c>
      <c r="AA268">
        <f>MONTH(EV_Sales[[#This Row],[Order_Date]])</f>
        <v>6</v>
      </c>
      <c r="AB268" s="12" t="str">
        <f>"Q"&amp;ROUNDUP(MONTH(EV_Sales[[#This Row],[Order_Date]])/3,0)</f>
        <v>Q2</v>
      </c>
    </row>
    <row r="269" spans="1:28" x14ac:dyDescent="0.3">
      <c r="A269" t="s">
        <v>374</v>
      </c>
      <c r="B269" s="2">
        <v>45875</v>
      </c>
      <c r="C269" t="s">
        <v>31</v>
      </c>
      <c r="D269" t="s">
        <v>32</v>
      </c>
      <c r="E269" t="s">
        <v>62</v>
      </c>
      <c r="F269" t="s">
        <v>47</v>
      </c>
      <c r="G269" t="s">
        <v>34</v>
      </c>
      <c r="H269" t="s">
        <v>809</v>
      </c>
      <c r="I269" t="str">
        <f>IF('Cleaned Data'!H269="Emi","EMI",'Cleaned Data'!H269)</f>
        <v>EMI</v>
      </c>
      <c r="J269" t="s">
        <v>36</v>
      </c>
      <c r="K269" t="s">
        <v>58</v>
      </c>
      <c r="L269">
        <v>1</v>
      </c>
      <c r="M269" s="9">
        <v>110936</v>
      </c>
      <c r="N269" s="4">
        <v>9.4E-2</v>
      </c>
      <c r="O269" s="4">
        <f t="shared" si="4"/>
        <v>9.4E-2</v>
      </c>
      <c r="P269" s="11">
        <v>110936</v>
      </c>
      <c r="Q269" s="9">
        <v>10427.98</v>
      </c>
      <c r="R269" s="9">
        <v>100508.02</v>
      </c>
      <c r="S269">
        <v>3</v>
      </c>
      <c r="T269">
        <v>178</v>
      </c>
      <c r="U269">
        <v>4.0999999999999996</v>
      </c>
      <c r="V269">
        <v>8</v>
      </c>
      <c r="W269">
        <f>IF('Cleaned Data'!V269&lt;0,"Review",'Cleaned Data'!V269)</f>
        <v>8</v>
      </c>
      <c r="X269">
        <v>2</v>
      </c>
      <c r="Y269" s="7">
        <f>IFERROR('Cleaned Data'!R269/'Cleaned Data'!L269,0)</f>
        <v>100508.02</v>
      </c>
      <c r="Z269" t="str">
        <f>TEXT(EV_Sales[[#This Row],[Order_Date]],"mmm-yyyy")</f>
        <v>Aug-2025</v>
      </c>
      <c r="AA269">
        <f>MONTH(EV_Sales[[#This Row],[Order_Date]])</f>
        <v>8</v>
      </c>
      <c r="AB269" s="12" t="str">
        <f>"Q"&amp;ROUNDUP(MONTH(EV_Sales[[#This Row],[Order_Date]])/3,0)</f>
        <v>Q3</v>
      </c>
    </row>
    <row r="270" spans="1:28" x14ac:dyDescent="0.3">
      <c r="A270" t="s">
        <v>375</v>
      </c>
      <c r="B270" s="2">
        <v>46022</v>
      </c>
      <c r="C270" t="s">
        <v>76</v>
      </c>
      <c r="D270" t="s">
        <v>115</v>
      </c>
      <c r="E270" t="s">
        <v>46</v>
      </c>
      <c r="F270" t="s">
        <v>80</v>
      </c>
      <c r="G270" t="s">
        <v>56</v>
      </c>
      <c r="H270" t="s">
        <v>27</v>
      </c>
      <c r="I270" t="str">
        <f>IF('Cleaned Data'!H270="Emi","EMI",'Cleaned Data'!H270)</f>
        <v>Finance</v>
      </c>
      <c r="J270" t="s">
        <v>36</v>
      </c>
      <c r="K270" t="s">
        <v>95</v>
      </c>
      <c r="L270">
        <v>5</v>
      </c>
      <c r="M270" s="9">
        <v>125393</v>
      </c>
      <c r="N270" s="4">
        <v>7.6999999999999999E-2</v>
      </c>
      <c r="O270" s="4">
        <f t="shared" si="4"/>
        <v>7.6999999999999999E-2</v>
      </c>
      <c r="P270" s="11">
        <v>626965</v>
      </c>
      <c r="Q270" s="9">
        <v>48276.31</v>
      </c>
      <c r="R270" s="9">
        <v>578688.68999999994</v>
      </c>
      <c r="S270">
        <v>4</v>
      </c>
      <c r="T270">
        <v>208</v>
      </c>
      <c r="U270">
        <v>4</v>
      </c>
      <c r="V270">
        <v>5</v>
      </c>
      <c r="W270">
        <f>IF('Cleaned Data'!V270&lt;0,"Review",'Cleaned Data'!V270)</f>
        <v>5</v>
      </c>
      <c r="X270">
        <v>5</v>
      </c>
      <c r="Y270" s="7">
        <f>IFERROR('Cleaned Data'!R270/'Cleaned Data'!L270,0)</f>
        <v>115737.73799999998</v>
      </c>
      <c r="Z270" t="str">
        <f>TEXT(EV_Sales[[#This Row],[Order_Date]],"mmm-yyyy")</f>
        <v>Dec-2025</v>
      </c>
      <c r="AA270">
        <f>MONTH(EV_Sales[[#This Row],[Order_Date]])</f>
        <v>12</v>
      </c>
      <c r="AB270" s="12" t="str">
        <f>"Q"&amp;ROUNDUP(MONTH(EV_Sales[[#This Row],[Order_Date]])/3,0)</f>
        <v>Q4</v>
      </c>
    </row>
    <row r="271" spans="1:28" x14ac:dyDescent="0.3">
      <c r="A271" t="s">
        <v>376</v>
      </c>
      <c r="B271" s="2">
        <v>45788</v>
      </c>
      <c r="C271" t="s">
        <v>87</v>
      </c>
      <c r="D271" t="s">
        <v>130</v>
      </c>
      <c r="E271" t="s">
        <v>24</v>
      </c>
      <c r="F271" t="s">
        <v>33</v>
      </c>
      <c r="G271" t="s">
        <v>26</v>
      </c>
      <c r="H271" t="s">
        <v>809</v>
      </c>
      <c r="I271" t="str">
        <f>IF('Cleaned Data'!H271="Emi","EMI",'Cleaned Data'!H271)</f>
        <v>EMI</v>
      </c>
      <c r="J271" t="s">
        <v>63</v>
      </c>
      <c r="K271" t="s">
        <v>175</v>
      </c>
      <c r="L271">
        <v>1</v>
      </c>
      <c r="M271" s="9">
        <v>116115</v>
      </c>
      <c r="N271" s="4">
        <v>4.9000000000000002E-2</v>
      </c>
      <c r="O271" s="4">
        <f t="shared" si="4"/>
        <v>4.9000000000000002E-2</v>
      </c>
      <c r="P271" s="11">
        <v>116115</v>
      </c>
      <c r="Q271" s="9">
        <v>5689.64</v>
      </c>
      <c r="R271" s="9">
        <v>110425.36</v>
      </c>
      <c r="S271">
        <v>5</v>
      </c>
      <c r="T271">
        <v>200</v>
      </c>
      <c r="U271">
        <v>4.3</v>
      </c>
      <c r="V271">
        <v>10</v>
      </c>
      <c r="W271">
        <f>IF('Cleaned Data'!V271&lt;0,"Review",'Cleaned Data'!V271)</f>
        <v>10</v>
      </c>
      <c r="X271">
        <v>3</v>
      </c>
      <c r="Y271" s="7">
        <f>IFERROR('Cleaned Data'!R271/'Cleaned Data'!L271,0)</f>
        <v>110425.36</v>
      </c>
      <c r="Z271" t="str">
        <f>TEXT(EV_Sales[[#This Row],[Order_Date]],"mmm-yyyy")</f>
        <v>May-2025</v>
      </c>
      <c r="AA271">
        <f>MONTH(EV_Sales[[#This Row],[Order_Date]])</f>
        <v>5</v>
      </c>
      <c r="AB271" s="12" t="str">
        <f>"Q"&amp;ROUNDUP(MONTH(EV_Sales[[#This Row],[Order_Date]])/3,0)</f>
        <v>Q2</v>
      </c>
    </row>
    <row r="272" spans="1:28" x14ac:dyDescent="0.3">
      <c r="A272" t="s">
        <v>377</v>
      </c>
      <c r="B272" s="2">
        <v>45944</v>
      </c>
      <c r="C272" t="s">
        <v>76</v>
      </c>
      <c r="D272" t="s">
        <v>117</v>
      </c>
      <c r="E272" t="s">
        <v>62</v>
      </c>
      <c r="F272" t="s">
        <v>80</v>
      </c>
      <c r="G272" t="s">
        <v>34</v>
      </c>
      <c r="H272" t="s">
        <v>53</v>
      </c>
      <c r="I272" t="str">
        <f>IF('Cleaned Data'!H272="Emi","EMI",'Cleaned Data'!H272)</f>
        <v>Cash</v>
      </c>
      <c r="J272" t="s">
        <v>94</v>
      </c>
      <c r="K272" t="s">
        <v>83</v>
      </c>
      <c r="L272">
        <v>2</v>
      </c>
      <c r="M272" s="9">
        <v>133281</v>
      </c>
      <c r="N272" s="4">
        <v>0.11899999999999999</v>
      </c>
      <c r="O272" s="4">
        <f t="shared" si="4"/>
        <v>0.11899999999999999</v>
      </c>
      <c r="P272" s="11">
        <v>266562</v>
      </c>
      <c r="Q272" s="9">
        <v>31720.880000000001</v>
      </c>
      <c r="R272" s="9">
        <v>234841.12</v>
      </c>
      <c r="S272">
        <v>2</v>
      </c>
      <c r="T272">
        <v>147</v>
      </c>
      <c r="U272">
        <v>3.3</v>
      </c>
      <c r="V272">
        <v>5</v>
      </c>
      <c r="W272">
        <f>IF('Cleaned Data'!V272&lt;0,"Review",'Cleaned Data'!V272)</f>
        <v>5</v>
      </c>
      <c r="X272">
        <v>5</v>
      </c>
      <c r="Y272" s="7">
        <f>IFERROR('Cleaned Data'!R272/'Cleaned Data'!L272,0)</f>
        <v>117420.56</v>
      </c>
      <c r="Z272" t="str">
        <f>TEXT(EV_Sales[[#This Row],[Order_Date]],"mmm-yyyy")</f>
        <v>Oct-2025</v>
      </c>
      <c r="AA272">
        <f>MONTH(EV_Sales[[#This Row],[Order_Date]])</f>
        <v>10</v>
      </c>
      <c r="AB272" s="12" t="str">
        <f>"Q"&amp;ROUNDUP(MONTH(EV_Sales[[#This Row],[Order_Date]])/3,0)</f>
        <v>Q4</v>
      </c>
    </row>
    <row r="273" spans="1:28" x14ac:dyDescent="0.3">
      <c r="A273" t="s">
        <v>378</v>
      </c>
      <c r="B273" s="2">
        <v>45933</v>
      </c>
      <c r="C273" t="s">
        <v>99</v>
      </c>
      <c r="D273" t="s">
        <v>141</v>
      </c>
      <c r="E273" t="s">
        <v>62</v>
      </c>
      <c r="F273" t="s">
        <v>66</v>
      </c>
      <c r="G273" t="s">
        <v>26</v>
      </c>
      <c r="H273" t="s">
        <v>809</v>
      </c>
      <c r="I273" t="str">
        <f>IF('Cleaned Data'!H273="Emi","EMI",'Cleaned Data'!H273)</f>
        <v>EMI</v>
      </c>
      <c r="J273" t="s">
        <v>48</v>
      </c>
      <c r="K273" t="s">
        <v>143</v>
      </c>
      <c r="L273">
        <v>1</v>
      </c>
      <c r="M273" s="9">
        <v>136148</v>
      </c>
      <c r="N273" s="4">
        <v>4.7E-2</v>
      </c>
      <c r="O273" s="4">
        <f t="shared" si="4"/>
        <v>4.7E-2</v>
      </c>
      <c r="P273" s="11">
        <v>136148</v>
      </c>
      <c r="Q273" s="9">
        <v>6398.96</v>
      </c>
      <c r="R273" s="9">
        <v>129749.04</v>
      </c>
      <c r="S273">
        <v>4</v>
      </c>
      <c r="T273">
        <v>174</v>
      </c>
      <c r="U273">
        <v>3.7</v>
      </c>
      <c r="V273">
        <v>9</v>
      </c>
      <c r="W273">
        <f>IF('Cleaned Data'!V273&lt;0,"Review",'Cleaned Data'!V273)</f>
        <v>9</v>
      </c>
      <c r="X273">
        <v>3</v>
      </c>
      <c r="Y273" s="7">
        <f>IFERROR('Cleaned Data'!R273/'Cleaned Data'!L273,0)</f>
        <v>129749.04</v>
      </c>
      <c r="Z273" t="str">
        <f>TEXT(EV_Sales[[#This Row],[Order_Date]],"mmm-yyyy")</f>
        <v>Oct-2025</v>
      </c>
      <c r="AA273">
        <f>MONTH(EV_Sales[[#This Row],[Order_Date]])</f>
        <v>10</v>
      </c>
      <c r="AB273" s="12" t="str">
        <f>"Q"&amp;ROUNDUP(MONTH(EV_Sales[[#This Row],[Order_Date]])/3,0)</f>
        <v>Q4</v>
      </c>
    </row>
    <row r="274" spans="1:28" x14ac:dyDescent="0.3">
      <c r="A274" t="s">
        <v>379</v>
      </c>
      <c r="B274" s="2">
        <v>45886</v>
      </c>
      <c r="C274" t="s">
        <v>39</v>
      </c>
      <c r="D274" t="s">
        <v>40</v>
      </c>
      <c r="E274" t="s">
        <v>24</v>
      </c>
      <c r="F274" t="s">
        <v>47</v>
      </c>
      <c r="G274" t="s">
        <v>67</v>
      </c>
      <c r="H274" t="s">
        <v>809</v>
      </c>
      <c r="I274" t="str">
        <f>IF('Cleaned Data'!H274="Emi","EMI",'Cleaned Data'!H274)</f>
        <v>EMI</v>
      </c>
      <c r="J274" t="s">
        <v>94</v>
      </c>
      <c r="K274" t="s">
        <v>49</v>
      </c>
      <c r="L274">
        <v>1</v>
      </c>
      <c r="M274" s="9">
        <v>130810</v>
      </c>
      <c r="N274" s="4">
        <v>3.5000000000000003E-2</v>
      </c>
      <c r="O274" s="4">
        <f t="shared" si="4"/>
        <v>3.5000000000000003E-2</v>
      </c>
      <c r="P274" s="11">
        <v>130810</v>
      </c>
      <c r="Q274" s="9">
        <v>4578.3500000000004</v>
      </c>
      <c r="R274" s="9">
        <v>126231.65</v>
      </c>
      <c r="S274">
        <v>3</v>
      </c>
      <c r="T274">
        <v>187</v>
      </c>
      <c r="U274">
        <v>3.5</v>
      </c>
      <c r="V274">
        <v>8</v>
      </c>
      <c r="W274">
        <f>IF('Cleaned Data'!V274&lt;0,"Review",'Cleaned Data'!V274)</f>
        <v>8</v>
      </c>
      <c r="X274">
        <v>2</v>
      </c>
      <c r="Y274" s="7">
        <f>IFERROR('Cleaned Data'!R274/'Cleaned Data'!L274,0)</f>
        <v>126231.65</v>
      </c>
      <c r="Z274" t="str">
        <f>TEXT(EV_Sales[[#This Row],[Order_Date]],"mmm-yyyy")</f>
        <v>Aug-2025</v>
      </c>
      <c r="AA274">
        <f>MONTH(EV_Sales[[#This Row],[Order_Date]])</f>
        <v>8</v>
      </c>
      <c r="AB274" s="12" t="str">
        <f>"Q"&amp;ROUNDUP(MONTH(EV_Sales[[#This Row],[Order_Date]])/3,0)</f>
        <v>Q3</v>
      </c>
    </row>
    <row r="275" spans="1:28" x14ac:dyDescent="0.3">
      <c r="A275" t="s">
        <v>380</v>
      </c>
      <c r="B275" s="2">
        <v>45712</v>
      </c>
      <c r="C275" t="s">
        <v>60</v>
      </c>
      <c r="D275" t="s">
        <v>61</v>
      </c>
      <c r="E275" t="s">
        <v>46</v>
      </c>
      <c r="F275" t="s">
        <v>70</v>
      </c>
      <c r="G275" t="s">
        <v>34</v>
      </c>
      <c r="H275" t="s">
        <v>53</v>
      </c>
      <c r="I275" t="str">
        <f>IF('Cleaned Data'!H275="Emi","EMI",'Cleaned Data'!H275)</f>
        <v>Cash</v>
      </c>
      <c r="J275" t="s">
        <v>28</v>
      </c>
      <c r="K275" t="s">
        <v>143</v>
      </c>
      <c r="L275">
        <v>2</v>
      </c>
      <c r="M275" s="9">
        <v>111750</v>
      </c>
      <c r="N275" s="4">
        <v>8.6999999999999994E-2</v>
      </c>
      <c r="O275" s="4">
        <f t="shared" si="4"/>
        <v>8.6999999999999994E-2</v>
      </c>
      <c r="P275" s="11">
        <v>223500</v>
      </c>
      <c r="Q275" s="9">
        <v>19444.5</v>
      </c>
      <c r="R275" s="9">
        <v>204055.5</v>
      </c>
      <c r="S275">
        <v>3</v>
      </c>
      <c r="T275">
        <v>158</v>
      </c>
      <c r="U275">
        <v>4.2</v>
      </c>
      <c r="V275">
        <v>5</v>
      </c>
      <c r="W275">
        <f>IF('Cleaned Data'!V275&lt;0,"Review",'Cleaned Data'!V275)</f>
        <v>5</v>
      </c>
      <c r="X275">
        <v>3</v>
      </c>
      <c r="Y275" s="7">
        <f>IFERROR('Cleaned Data'!R275/'Cleaned Data'!L275,0)</f>
        <v>102027.75</v>
      </c>
      <c r="Z275" t="str">
        <f>TEXT(EV_Sales[[#This Row],[Order_Date]],"mmm-yyyy")</f>
        <v>Feb-2025</v>
      </c>
      <c r="AA275">
        <f>MONTH(EV_Sales[[#This Row],[Order_Date]])</f>
        <v>2</v>
      </c>
      <c r="AB275" s="12" t="str">
        <f>"Q"&amp;ROUNDUP(MONTH(EV_Sales[[#This Row],[Order_Date]])/3,0)</f>
        <v>Q1</v>
      </c>
    </row>
    <row r="276" spans="1:28" x14ac:dyDescent="0.3">
      <c r="A276" t="s">
        <v>381</v>
      </c>
      <c r="B276" s="2">
        <v>45988</v>
      </c>
      <c r="C276" t="s">
        <v>76</v>
      </c>
      <c r="D276" t="s">
        <v>117</v>
      </c>
      <c r="E276" t="s">
        <v>24</v>
      </c>
      <c r="F276" t="s">
        <v>74</v>
      </c>
      <c r="G276" t="s">
        <v>56</v>
      </c>
      <c r="H276" t="s">
        <v>27</v>
      </c>
      <c r="I276" t="str">
        <f>IF('Cleaned Data'!H276="Emi","EMI",'Cleaned Data'!H276)</f>
        <v>Finance</v>
      </c>
      <c r="J276" t="s">
        <v>28</v>
      </c>
      <c r="K276" t="s">
        <v>123</v>
      </c>
      <c r="L276">
        <v>1</v>
      </c>
      <c r="M276" s="9">
        <v>131388</v>
      </c>
      <c r="N276" s="4">
        <v>2.5000000000000001E-2</v>
      </c>
      <c r="O276" s="4">
        <f t="shared" si="4"/>
        <v>2.5000000000000001E-2</v>
      </c>
      <c r="P276" s="11">
        <v>131388</v>
      </c>
      <c r="Q276" s="9">
        <v>3284.7</v>
      </c>
      <c r="R276" s="9">
        <v>128103.3</v>
      </c>
      <c r="S276">
        <v>4</v>
      </c>
      <c r="T276">
        <v>184</v>
      </c>
      <c r="U276">
        <v>3.7</v>
      </c>
      <c r="V276">
        <v>9</v>
      </c>
      <c r="W276">
        <f>IF('Cleaned Data'!V276&lt;0,"Review",'Cleaned Data'!V276)</f>
        <v>9</v>
      </c>
      <c r="X276">
        <v>5</v>
      </c>
      <c r="Y276" s="7">
        <f>IFERROR('Cleaned Data'!R276/'Cleaned Data'!L276,0)</f>
        <v>128103.3</v>
      </c>
      <c r="Z276" t="str">
        <f>TEXT(EV_Sales[[#This Row],[Order_Date]],"mmm-yyyy")</f>
        <v>Nov-2025</v>
      </c>
      <c r="AA276">
        <f>MONTH(EV_Sales[[#This Row],[Order_Date]])</f>
        <v>11</v>
      </c>
      <c r="AB276" s="12" t="str">
        <f>"Q"&amp;ROUNDUP(MONTH(EV_Sales[[#This Row],[Order_Date]])/3,0)</f>
        <v>Q4</v>
      </c>
    </row>
    <row r="277" spans="1:28" x14ac:dyDescent="0.3">
      <c r="A277" t="s">
        <v>382</v>
      </c>
      <c r="B277" s="2">
        <v>45828</v>
      </c>
      <c r="C277" t="s">
        <v>39</v>
      </c>
      <c r="D277" t="s">
        <v>40</v>
      </c>
      <c r="E277" t="s">
        <v>24</v>
      </c>
      <c r="F277" t="s">
        <v>52</v>
      </c>
      <c r="G277" t="s">
        <v>67</v>
      </c>
      <c r="H277" t="s">
        <v>53</v>
      </c>
      <c r="I277" t="str">
        <f>IF('Cleaned Data'!H277="Emi","EMI",'Cleaned Data'!H277)</f>
        <v>Cash</v>
      </c>
      <c r="J277" t="s">
        <v>63</v>
      </c>
      <c r="K277" t="s">
        <v>123</v>
      </c>
      <c r="L277">
        <v>2</v>
      </c>
      <c r="M277" s="9">
        <v>121188</v>
      </c>
      <c r="N277" s="4">
        <v>7.5999999999999998E-2</v>
      </c>
      <c r="O277" s="4">
        <f t="shared" si="4"/>
        <v>7.5999999999999998E-2</v>
      </c>
      <c r="P277" s="11">
        <v>242376</v>
      </c>
      <c r="Q277" s="9">
        <v>18420.580000000002</v>
      </c>
      <c r="R277" s="9">
        <v>223955.42</v>
      </c>
      <c r="S277">
        <v>5</v>
      </c>
      <c r="T277">
        <v>182</v>
      </c>
      <c r="U277">
        <v>3.6</v>
      </c>
      <c r="V277">
        <v>14</v>
      </c>
      <c r="W277">
        <f>IF('Cleaned Data'!V277&lt;0,"Review",'Cleaned Data'!V277)</f>
        <v>14</v>
      </c>
      <c r="X277">
        <v>5</v>
      </c>
      <c r="Y277" s="7">
        <f>IFERROR('Cleaned Data'!R277/'Cleaned Data'!L277,0)</f>
        <v>111977.71</v>
      </c>
      <c r="Z277" t="str">
        <f>TEXT(EV_Sales[[#This Row],[Order_Date]],"mmm-yyyy")</f>
        <v>Jun-2025</v>
      </c>
      <c r="AA277">
        <f>MONTH(EV_Sales[[#This Row],[Order_Date]])</f>
        <v>6</v>
      </c>
      <c r="AB277" s="12" t="str">
        <f>"Q"&amp;ROUNDUP(MONTH(EV_Sales[[#This Row],[Order_Date]])/3,0)</f>
        <v>Q2</v>
      </c>
    </row>
    <row r="278" spans="1:28" x14ac:dyDescent="0.3">
      <c r="A278" t="s">
        <v>383</v>
      </c>
      <c r="B278" s="2">
        <v>45962</v>
      </c>
      <c r="C278" t="s">
        <v>39</v>
      </c>
      <c r="D278" t="s">
        <v>154</v>
      </c>
      <c r="E278" t="s">
        <v>24</v>
      </c>
      <c r="F278" t="s">
        <v>80</v>
      </c>
      <c r="G278" t="s">
        <v>56</v>
      </c>
      <c r="H278" t="s">
        <v>53</v>
      </c>
      <c r="I278" t="str">
        <f>IF('Cleaned Data'!H278="Emi","EMI",'Cleaned Data'!H278)</f>
        <v>Cash</v>
      </c>
      <c r="J278" t="s">
        <v>63</v>
      </c>
      <c r="K278" t="s">
        <v>81</v>
      </c>
      <c r="L278">
        <v>1</v>
      </c>
      <c r="M278" s="9">
        <v>176603</v>
      </c>
      <c r="N278" s="4">
        <v>2.4E-2</v>
      </c>
      <c r="O278" s="4">
        <f t="shared" si="4"/>
        <v>2.4E-2</v>
      </c>
      <c r="P278" s="11">
        <v>176603</v>
      </c>
      <c r="Q278" s="9">
        <v>4238.47</v>
      </c>
      <c r="R278" s="9">
        <v>172364.53</v>
      </c>
      <c r="S278">
        <v>4</v>
      </c>
      <c r="T278">
        <v>202</v>
      </c>
      <c r="U278">
        <v>4.5999999999999996</v>
      </c>
      <c r="V278">
        <v>9</v>
      </c>
      <c r="W278">
        <f>IF('Cleaned Data'!V278&lt;0,"Review",'Cleaned Data'!V278)</f>
        <v>9</v>
      </c>
      <c r="X278">
        <v>3</v>
      </c>
      <c r="Y278" s="7">
        <f>IFERROR('Cleaned Data'!R278/'Cleaned Data'!L278,0)</f>
        <v>172364.53</v>
      </c>
      <c r="Z278" t="str">
        <f>TEXT(EV_Sales[[#This Row],[Order_Date]],"mmm-yyyy")</f>
        <v>Nov-2025</v>
      </c>
      <c r="AA278">
        <f>MONTH(EV_Sales[[#This Row],[Order_Date]])</f>
        <v>11</v>
      </c>
      <c r="AB278" s="12" t="str">
        <f>"Q"&amp;ROUNDUP(MONTH(EV_Sales[[#This Row],[Order_Date]])/3,0)</f>
        <v>Q4</v>
      </c>
    </row>
    <row r="279" spans="1:28" x14ac:dyDescent="0.3">
      <c r="A279" t="s">
        <v>384</v>
      </c>
      <c r="B279" s="2">
        <v>45875</v>
      </c>
      <c r="C279" t="s">
        <v>44</v>
      </c>
      <c r="D279" t="s">
        <v>51</v>
      </c>
      <c r="E279" t="s">
        <v>62</v>
      </c>
      <c r="F279" t="s">
        <v>101</v>
      </c>
      <c r="G279" t="s">
        <v>34</v>
      </c>
      <c r="H279" t="s">
        <v>809</v>
      </c>
      <c r="I279" t="str">
        <f>IF('Cleaned Data'!H279="Emi","EMI",'Cleaned Data'!H279)</f>
        <v>EMI</v>
      </c>
      <c r="J279" t="s">
        <v>28</v>
      </c>
      <c r="K279" t="s">
        <v>197</v>
      </c>
      <c r="L279">
        <v>4</v>
      </c>
      <c r="M279" s="9">
        <v>118508</v>
      </c>
      <c r="N279" s="4">
        <v>6.6000000000000003E-2</v>
      </c>
      <c r="O279" s="4">
        <f t="shared" si="4"/>
        <v>6.6000000000000003E-2</v>
      </c>
      <c r="P279" s="11">
        <v>474032</v>
      </c>
      <c r="Q279" s="9">
        <v>31286.11</v>
      </c>
      <c r="R279" s="9">
        <v>442745.89</v>
      </c>
      <c r="S279">
        <v>4</v>
      </c>
      <c r="T279">
        <v>157</v>
      </c>
      <c r="U279">
        <v>4.4000000000000004</v>
      </c>
      <c r="V279">
        <v>13</v>
      </c>
      <c r="W279">
        <f>IF('Cleaned Data'!V279&lt;0,"Review",'Cleaned Data'!V279)</f>
        <v>13</v>
      </c>
      <c r="X279">
        <v>3</v>
      </c>
      <c r="Y279" s="7">
        <f>IFERROR('Cleaned Data'!R279/'Cleaned Data'!L279,0)</f>
        <v>110686.4725</v>
      </c>
      <c r="Z279" t="str">
        <f>TEXT(EV_Sales[[#This Row],[Order_Date]],"mmm-yyyy")</f>
        <v>Aug-2025</v>
      </c>
      <c r="AA279">
        <f>MONTH(EV_Sales[[#This Row],[Order_Date]])</f>
        <v>8</v>
      </c>
      <c r="AB279" s="12" t="str">
        <f>"Q"&amp;ROUNDUP(MONTH(EV_Sales[[#This Row],[Order_Date]])/3,0)</f>
        <v>Q3</v>
      </c>
    </row>
    <row r="280" spans="1:28" x14ac:dyDescent="0.3">
      <c r="A280" t="s">
        <v>385</v>
      </c>
      <c r="B280" s="2">
        <v>45941</v>
      </c>
      <c r="C280" t="s">
        <v>31</v>
      </c>
      <c r="D280" t="s">
        <v>97</v>
      </c>
      <c r="E280" t="s">
        <v>62</v>
      </c>
      <c r="F280" t="s">
        <v>70</v>
      </c>
      <c r="G280" t="s">
        <v>56</v>
      </c>
      <c r="H280" t="s">
        <v>809</v>
      </c>
      <c r="I280" t="str">
        <f>IF('Cleaned Data'!H280="Emi","EMI",'Cleaned Data'!H280)</f>
        <v>EMI</v>
      </c>
      <c r="J280" t="s">
        <v>28</v>
      </c>
      <c r="K280" t="s">
        <v>102</v>
      </c>
      <c r="L280">
        <v>1</v>
      </c>
      <c r="M280" s="9">
        <v>128449</v>
      </c>
      <c r="N280" s="4">
        <v>0.10299999999999999</v>
      </c>
      <c r="O280" s="4">
        <f t="shared" si="4"/>
        <v>0.10299999999999999</v>
      </c>
      <c r="P280" s="11">
        <v>128449</v>
      </c>
      <c r="Q280" s="9">
        <v>13230.25</v>
      </c>
      <c r="R280" s="9">
        <v>115218.75</v>
      </c>
      <c r="S280">
        <v>5</v>
      </c>
      <c r="T280">
        <v>194</v>
      </c>
      <c r="U280">
        <v>3.6</v>
      </c>
      <c r="V280">
        <v>5</v>
      </c>
      <c r="W280">
        <f>IF('Cleaned Data'!V280&lt;0,"Review",'Cleaned Data'!V280)</f>
        <v>5</v>
      </c>
      <c r="X280">
        <v>3</v>
      </c>
      <c r="Y280" s="7">
        <f>IFERROR('Cleaned Data'!R280/'Cleaned Data'!L280,0)</f>
        <v>115218.75</v>
      </c>
      <c r="Z280" t="str">
        <f>TEXT(EV_Sales[[#This Row],[Order_Date]],"mmm-yyyy")</f>
        <v>Oct-2025</v>
      </c>
      <c r="AA280">
        <f>MONTH(EV_Sales[[#This Row],[Order_Date]])</f>
        <v>10</v>
      </c>
      <c r="AB280" s="12" t="str">
        <f>"Q"&amp;ROUNDUP(MONTH(EV_Sales[[#This Row],[Order_Date]])/3,0)</f>
        <v>Q4</v>
      </c>
    </row>
    <row r="281" spans="1:28" x14ac:dyDescent="0.3">
      <c r="A281" t="s">
        <v>386</v>
      </c>
      <c r="B281" s="2">
        <v>45947</v>
      </c>
      <c r="C281" t="s">
        <v>76</v>
      </c>
      <c r="D281" t="s">
        <v>117</v>
      </c>
      <c r="E281" t="s">
        <v>46</v>
      </c>
      <c r="F281" t="s">
        <v>33</v>
      </c>
      <c r="G281" t="s">
        <v>26</v>
      </c>
      <c r="H281" t="s">
        <v>809</v>
      </c>
      <c r="I281" t="str">
        <f>IF('Cleaned Data'!H281="Emi","EMI",'Cleaned Data'!H281)</f>
        <v>EMI</v>
      </c>
      <c r="J281" t="s">
        <v>57</v>
      </c>
      <c r="K281" t="s">
        <v>143</v>
      </c>
      <c r="L281">
        <v>1</v>
      </c>
      <c r="M281" s="9">
        <v>126995</v>
      </c>
      <c r="N281" s="4">
        <v>2.5999999999999999E-2</v>
      </c>
      <c r="O281" s="4">
        <f t="shared" si="4"/>
        <v>2.5999999999999999E-2</v>
      </c>
      <c r="P281" s="11">
        <v>126995</v>
      </c>
      <c r="Q281" s="9">
        <v>3301.87</v>
      </c>
      <c r="R281" s="9">
        <v>123693.13</v>
      </c>
      <c r="S281">
        <v>5</v>
      </c>
      <c r="T281">
        <v>184</v>
      </c>
      <c r="U281">
        <v>4.5</v>
      </c>
      <c r="V281">
        <v>4</v>
      </c>
      <c r="W281">
        <f>IF('Cleaned Data'!V281&lt;0,"Review",'Cleaned Data'!V281)</f>
        <v>4</v>
      </c>
      <c r="X281">
        <v>5</v>
      </c>
      <c r="Y281" s="7">
        <f>IFERROR('Cleaned Data'!R281/'Cleaned Data'!L281,0)</f>
        <v>123693.13</v>
      </c>
      <c r="Z281" t="str">
        <f>TEXT(EV_Sales[[#This Row],[Order_Date]],"mmm-yyyy")</f>
        <v>Oct-2025</v>
      </c>
      <c r="AA281">
        <f>MONTH(EV_Sales[[#This Row],[Order_Date]])</f>
        <v>10</v>
      </c>
      <c r="AB281" s="12" t="str">
        <f>"Q"&amp;ROUNDUP(MONTH(EV_Sales[[#This Row],[Order_Date]])/3,0)</f>
        <v>Q4</v>
      </c>
    </row>
    <row r="282" spans="1:28" x14ac:dyDescent="0.3">
      <c r="A282" t="s">
        <v>387</v>
      </c>
      <c r="B282" s="2">
        <v>45762</v>
      </c>
      <c r="C282" t="s">
        <v>39</v>
      </c>
      <c r="D282" t="s">
        <v>154</v>
      </c>
      <c r="E282" t="s">
        <v>46</v>
      </c>
      <c r="F282" t="s">
        <v>47</v>
      </c>
      <c r="G282" t="s">
        <v>26</v>
      </c>
      <c r="H282" t="s">
        <v>809</v>
      </c>
      <c r="I282" t="str">
        <f>IF('Cleaned Data'!H282="Emi","EMI",'Cleaned Data'!H282)</f>
        <v>EMI</v>
      </c>
      <c r="J282" t="s">
        <v>48</v>
      </c>
      <c r="K282" t="s">
        <v>95</v>
      </c>
      <c r="L282">
        <v>2</v>
      </c>
      <c r="M282" s="9">
        <v>179562</v>
      </c>
      <c r="N282" s="4">
        <v>0.06</v>
      </c>
      <c r="O282" s="4">
        <f t="shared" si="4"/>
        <v>0.06</v>
      </c>
      <c r="P282" s="11">
        <v>359124</v>
      </c>
      <c r="Q282" s="9">
        <v>21547.439999999999</v>
      </c>
      <c r="R282" s="9">
        <v>337576.56</v>
      </c>
      <c r="S282">
        <v>5</v>
      </c>
      <c r="T282">
        <v>213</v>
      </c>
      <c r="U282">
        <v>3.6</v>
      </c>
      <c r="V282">
        <v>2</v>
      </c>
      <c r="W282">
        <f>IF('Cleaned Data'!V282&lt;0,"Review",'Cleaned Data'!V282)</f>
        <v>2</v>
      </c>
      <c r="X282">
        <v>3</v>
      </c>
      <c r="Y282" s="7">
        <f>IFERROR('Cleaned Data'!R282/'Cleaned Data'!L282,0)</f>
        <v>168788.28</v>
      </c>
      <c r="Z282" t="str">
        <f>TEXT(EV_Sales[[#This Row],[Order_Date]],"mmm-yyyy")</f>
        <v>Apr-2025</v>
      </c>
      <c r="AA282">
        <f>MONTH(EV_Sales[[#This Row],[Order_Date]])</f>
        <v>4</v>
      </c>
      <c r="AB282" s="12" t="str">
        <f>"Q"&amp;ROUNDUP(MONTH(EV_Sales[[#This Row],[Order_Date]])/3,0)</f>
        <v>Q2</v>
      </c>
    </row>
    <row r="283" spans="1:28" x14ac:dyDescent="0.3">
      <c r="A283" t="s">
        <v>388</v>
      </c>
      <c r="B283" s="2">
        <v>45773</v>
      </c>
      <c r="C283" t="s">
        <v>76</v>
      </c>
      <c r="D283" t="s">
        <v>77</v>
      </c>
      <c r="E283" t="s">
        <v>24</v>
      </c>
      <c r="F283" t="s">
        <v>70</v>
      </c>
      <c r="G283" t="s">
        <v>67</v>
      </c>
      <c r="H283" t="s">
        <v>53</v>
      </c>
      <c r="I283" t="str">
        <f>IF('Cleaned Data'!H283="Emi","EMI",'Cleaned Data'!H283)</f>
        <v>Cash</v>
      </c>
      <c r="J283" t="s">
        <v>48</v>
      </c>
      <c r="K283" t="s">
        <v>131</v>
      </c>
      <c r="L283">
        <v>1</v>
      </c>
      <c r="M283" s="9">
        <v>151218</v>
      </c>
      <c r="N283" s="4">
        <v>7.2999999999999995E-2</v>
      </c>
      <c r="O283" s="4">
        <f t="shared" si="4"/>
        <v>7.2999999999999995E-2</v>
      </c>
      <c r="P283" s="11">
        <v>151218</v>
      </c>
      <c r="Q283" s="9">
        <v>11038.91</v>
      </c>
      <c r="R283" s="9">
        <v>140179.09</v>
      </c>
      <c r="S283">
        <v>3</v>
      </c>
      <c r="T283">
        <v>141</v>
      </c>
      <c r="U283">
        <v>4.0999999999999996</v>
      </c>
      <c r="V283">
        <v>5</v>
      </c>
      <c r="W283">
        <f>IF('Cleaned Data'!V283&lt;0,"Review",'Cleaned Data'!V283)</f>
        <v>5</v>
      </c>
      <c r="X283">
        <v>5</v>
      </c>
      <c r="Y283" s="7">
        <f>IFERROR('Cleaned Data'!R283/'Cleaned Data'!L283,0)</f>
        <v>140179.09</v>
      </c>
      <c r="Z283" t="str">
        <f>TEXT(EV_Sales[[#This Row],[Order_Date]],"mmm-yyyy")</f>
        <v>Apr-2025</v>
      </c>
      <c r="AA283">
        <f>MONTH(EV_Sales[[#This Row],[Order_Date]])</f>
        <v>4</v>
      </c>
      <c r="AB283" s="12" t="str">
        <f>"Q"&amp;ROUNDUP(MONTH(EV_Sales[[#This Row],[Order_Date]])/3,0)</f>
        <v>Q2</v>
      </c>
    </row>
    <row r="284" spans="1:28" x14ac:dyDescent="0.3">
      <c r="A284" t="s">
        <v>389</v>
      </c>
      <c r="B284" s="2">
        <v>46020</v>
      </c>
      <c r="C284" t="s">
        <v>87</v>
      </c>
      <c r="D284" t="s">
        <v>130</v>
      </c>
      <c r="E284" t="s">
        <v>24</v>
      </c>
      <c r="F284" t="s">
        <v>101</v>
      </c>
      <c r="G284" t="s">
        <v>67</v>
      </c>
      <c r="H284" t="s">
        <v>53</v>
      </c>
      <c r="I284" t="str">
        <f>IF('Cleaned Data'!H284="Emi","EMI",'Cleaned Data'!H284)</f>
        <v>Cash</v>
      </c>
      <c r="J284" t="s">
        <v>63</v>
      </c>
      <c r="K284" t="s">
        <v>104</v>
      </c>
      <c r="L284">
        <v>1</v>
      </c>
      <c r="M284" s="9">
        <v>114688</v>
      </c>
      <c r="N284" s="4">
        <v>8.5999999999999993E-2</v>
      </c>
      <c r="O284" s="4">
        <f t="shared" si="4"/>
        <v>8.5999999999999993E-2</v>
      </c>
      <c r="P284" s="11">
        <v>114688</v>
      </c>
      <c r="Q284" s="9">
        <v>9863.17</v>
      </c>
      <c r="R284" s="9">
        <v>104824.83</v>
      </c>
      <c r="S284">
        <v>5</v>
      </c>
      <c r="T284">
        <v>203</v>
      </c>
      <c r="U284">
        <v>4.7</v>
      </c>
      <c r="V284">
        <v>8</v>
      </c>
      <c r="W284">
        <f>IF('Cleaned Data'!V284&lt;0,"Review",'Cleaned Data'!V284)</f>
        <v>8</v>
      </c>
      <c r="X284">
        <v>5</v>
      </c>
      <c r="Y284" s="7">
        <f>IFERROR('Cleaned Data'!R284/'Cleaned Data'!L284,0)</f>
        <v>104824.83</v>
      </c>
      <c r="Z284" t="str">
        <f>TEXT(EV_Sales[[#This Row],[Order_Date]],"mmm-yyyy")</f>
        <v>Dec-2025</v>
      </c>
      <c r="AA284">
        <f>MONTH(EV_Sales[[#This Row],[Order_Date]])</f>
        <v>12</v>
      </c>
      <c r="AB284" s="12" t="str">
        <f>"Q"&amp;ROUNDUP(MONTH(EV_Sales[[#This Row],[Order_Date]])/3,0)</f>
        <v>Q4</v>
      </c>
    </row>
    <row r="285" spans="1:28" x14ac:dyDescent="0.3">
      <c r="A285" t="s">
        <v>390</v>
      </c>
      <c r="B285" s="2">
        <v>45894</v>
      </c>
      <c r="C285" t="s">
        <v>31</v>
      </c>
      <c r="D285" t="s">
        <v>97</v>
      </c>
      <c r="E285" t="s">
        <v>62</v>
      </c>
      <c r="F285" t="s">
        <v>66</v>
      </c>
      <c r="G285" t="s">
        <v>26</v>
      </c>
      <c r="H285" t="s">
        <v>53</v>
      </c>
      <c r="I285" t="str">
        <f>IF('Cleaned Data'!H285="Emi","EMI",'Cleaned Data'!H285)</f>
        <v>Cash</v>
      </c>
      <c r="J285" t="s">
        <v>63</v>
      </c>
      <c r="K285" t="s">
        <v>197</v>
      </c>
      <c r="L285">
        <v>1</v>
      </c>
      <c r="M285" s="9">
        <v>128780</v>
      </c>
      <c r="N285" s="4">
        <v>2.9000000000000001E-2</v>
      </c>
      <c r="O285" s="4">
        <f t="shared" si="4"/>
        <v>2.9000000000000001E-2</v>
      </c>
      <c r="P285" s="11">
        <v>128780</v>
      </c>
      <c r="Q285" s="9">
        <v>3734.62</v>
      </c>
      <c r="R285" s="9">
        <v>125045.38</v>
      </c>
      <c r="S285">
        <v>4</v>
      </c>
      <c r="T285">
        <v>185</v>
      </c>
      <c r="U285">
        <v>4</v>
      </c>
      <c r="V285">
        <v>3</v>
      </c>
      <c r="W285">
        <f>IF('Cleaned Data'!V285&lt;0,"Review",'Cleaned Data'!V285)</f>
        <v>3</v>
      </c>
      <c r="X285">
        <v>2</v>
      </c>
      <c r="Y285" s="7">
        <f>IFERROR('Cleaned Data'!R285/'Cleaned Data'!L285,0)</f>
        <v>125045.38</v>
      </c>
      <c r="Z285" t="str">
        <f>TEXT(EV_Sales[[#This Row],[Order_Date]],"mmm-yyyy")</f>
        <v>Aug-2025</v>
      </c>
      <c r="AA285">
        <f>MONTH(EV_Sales[[#This Row],[Order_Date]])</f>
        <v>8</v>
      </c>
      <c r="AB285" s="12" t="str">
        <f>"Q"&amp;ROUNDUP(MONTH(EV_Sales[[#This Row],[Order_Date]])/3,0)</f>
        <v>Q3</v>
      </c>
    </row>
    <row r="286" spans="1:28" x14ac:dyDescent="0.3">
      <c r="A286" t="s">
        <v>391</v>
      </c>
      <c r="B286" s="2">
        <v>45877</v>
      </c>
      <c r="C286" t="s">
        <v>22</v>
      </c>
      <c r="D286" t="s">
        <v>23</v>
      </c>
      <c r="E286" t="s">
        <v>46</v>
      </c>
      <c r="F286" t="s">
        <v>66</v>
      </c>
      <c r="G286" t="s">
        <v>26</v>
      </c>
      <c r="H286" t="s">
        <v>53</v>
      </c>
      <c r="I286" t="str">
        <f>IF('Cleaned Data'!H286="Emi","EMI",'Cleaned Data'!H286)</f>
        <v>Cash</v>
      </c>
      <c r="J286" t="s">
        <v>57</v>
      </c>
      <c r="K286" t="s">
        <v>64</v>
      </c>
      <c r="L286">
        <v>5</v>
      </c>
      <c r="M286" s="9">
        <v>117162</v>
      </c>
      <c r="N286" s="4">
        <v>0.11700000000000001</v>
      </c>
      <c r="O286" s="4">
        <f t="shared" si="4"/>
        <v>0.11700000000000001</v>
      </c>
      <c r="P286" s="11">
        <v>585810</v>
      </c>
      <c r="Q286" s="9">
        <v>68539.77</v>
      </c>
      <c r="R286" s="9">
        <v>517270.23</v>
      </c>
      <c r="S286">
        <v>3</v>
      </c>
      <c r="T286">
        <v>158</v>
      </c>
      <c r="U286">
        <v>4</v>
      </c>
      <c r="V286">
        <v>5</v>
      </c>
      <c r="W286">
        <f>IF('Cleaned Data'!V286&lt;0,"Review",'Cleaned Data'!V286)</f>
        <v>5</v>
      </c>
      <c r="X286">
        <v>2</v>
      </c>
      <c r="Y286" s="7">
        <f>IFERROR('Cleaned Data'!R286/'Cleaned Data'!L286,0)</f>
        <v>103454.046</v>
      </c>
      <c r="Z286" t="str">
        <f>TEXT(EV_Sales[[#This Row],[Order_Date]],"mmm-yyyy")</f>
        <v>Aug-2025</v>
      </c>
      <c r="AA286">
        <f>MONTH(EV_Sales[[#This Row],[Order_Date]])</f>
        <v>8</v>
      </c>
      <c r="AB286" s="12" t="str">
        <f>"Q"&amp;ROUNDUP(MONTH(EV_Sales[[#This Row],[Order_Date]])/3,0)</f>
        <v>Q3</v>
      </c>
    </row>
    <row r="287" spans="1:28" x14ac:dyDescent="0.3">
      <c r="A287" t="s">
        <v>392</v>
      </c>
      <c r="B287" s="2">
        <v>45839</v>
      </c>
      <c r="C287" t="s">
        <v>76</v>
      </c>
      <c r="D287" t="s">
        <v>117</v>
      </c>
      <c r="E287" t="s">
        <v>24</v>
      </c>
      <c r="F287" t="s">
        <v>101</v>
      </c>
      <c r="G287" t="s">
        <v>67</v>
      </c>
      <c r="H287" t="s">
        <v>53</v>
      </c>
      <c r="I287" t="str">
        <f>IF('Cleaned Data'!H287="Emi","EMI",'Cleaned Data'!H287)</f>
        <v>Cash</v>
      </c>
      <c r="J287" t="s">
        <v>28</v>
      </c>
      <c r="K287" t="s">
        <v>92</v>
      </c>
      <c r="L287">
        <v>4</v>
      </c>
      <c r="M287" s="9">
        <v>140983</v>
      </c>
      <c r="N287" s="4">
        <v>2.8000000000000001E-2</v>
      </c>
      <c r="O287" s="4">
        <f t="shared" si="4"/>
        <v>2.8000000000000001E-2</v>
      </c>
      <c r="P287" s="11">
        <v>563932</v>
      </c>
      <c r="Q287" s="9">
        <v>15790.1</v>
      </c>
      <c r="R287" s="9">
        <v>548141.9</v>
      </c>
      <c r="S287">
        <v>5</v>
      </c>
      <c r="T287">
        <v>194</v>
      </c>
      <c r="U287">
        <v>4.3</v>
      </c>
      <c r="V287">
        <v>2</v>
      </c>
      <c r="W287">
        <f>IF('Cleaned Data'!V287&lt;0,"Review",'Cleaned Data'!V287)</f>
        <v>2</v>
      </c>
      <c r="X287">
        <v>2</v>
      </c>
      <c r="Y287" s="7">
        <f>IFERROR('Cleaned Data'!R287/'Cleaned Data'!L287,0)</f>
        <v>137035.47500000001</v>
      </c>
      <c r="Z287" t="str">
        <f>TEXT(EV_Sales[[#This Row],[Order_Date]],"mmm-yyyy")</f>
        <v>Jul-2025</v>
      </c>
      <c r="AA287">
        <f>MONTH(EV_Sales[[#This Row],[Order_Date]])</f>
        <v>7</v>
      </c>
      <c r="AB287" s="12" t="str">
        <f>"Q"&amp;ROUNDUP(MONTH(EV_Sales[[#This Row],[Order_Date]])/3,0)</f>
        <v>Q3</v>
      </c>
    </row>
    <row r="288" spans="1:28" x14ac:dyDescent="0.3">
      <c r="A288" t="s">
        <v>393</v>
      </c>
      <c r="B288" s="2">
        <v>45919</v>
      </c>
      <c r="C288" t="s">
        <v>31</v>
      </c>
      <c r="D288" t="s">
        <v>32</v>
      </c>
      <c r="E288" t="s">
        <v>24</v>
      </c>
      <c r="F288" t="s">
        <v>25</v>
      </c>
      <c r="G288" t="s">
        <v>26</v>
      </c>
      <c r="H288" t="s">
        <v>27</v>
      </c>
      <c r="I288" t="str">
        <f>IF('Cleaned Data'!H288="Emi","EMI",'Cleaned Data'!H288)</f>
        <v>Finance</v>
      </c>
      <c r="J288" t="s">
        <v>57</v>
      </c>
      <c r="K288" t="s">
        <v>78</v>
      </c>
      <c r="L288">
        <v>2</v>
      </c>
      <c r="M288" s="9">
        <v>106213</v>
      </c>
      <c r="N288" s="4">
        <v>3.4000000000000002E-2</v>
      </c>
      <c r="O288" s="4">
        <f t="shared" si="4"/>
        <v>3.4000000000000002E-2</v>
      </c>
      <c r="P288" s="11">
        <v>212426</v>
      </c>
      <c r="Q288" s="9">
        <v>7222.48</v>
      </c>
      <c r="R288" s="9">
        <v>205203.52</v>
      </c>
      <c r="S288">
        <v>4</v>
      </c>
      <c r="T288">
        <v>191</v>
      </c>
      <c r="U288">
        <v>4.4000000000000004</v>
      </c>
      <c r="V288">
        <v>6</v>
      </c>
      <c r="W288">
        <f>IF('Cleaned Data'!V288&lt;0,"Review",'Cleaned Data'!V288)</f>
        <v>6</v>
      </c>
      <c r="X288">
        <v>5</v>
      </c>
      <c r="Y288" s="7">
        <f>IFERROR('Cleaned Data'!R288/'Cleaned Data'!L288,0)</f>
        <v>102601.76</v>
      </c>
      <c r="Z288" t="str">
        <f>TEXT(EV_Sales[[#This Row],[Order_Date]],"mmm-yyyy")</f>
        <v>Sep-2025</v>
      </c>
      <c r="AA288">
        <f>MONTH(EV_Sales[[#This Row],[Order_Date]])</f>
        <v>9</v>
      </c>
      <c r="AB288" s="12" t="str">
        <f>"Q"&amp;ROUNDUP(MONTH(EV_Sales[[#This Row],[Order_Date]])/3,0)</f>
        <v>Q3</v>
      </c>
    </row>
    <row r="289" spans="1:28" x14ac:dyDescent="0.3">
      <c r="A289" t="s">
        <v>394</v>
      </c>
      <c r="B289" s="2">
        <v>45683</v>
      </c>
      <c r="C289" t="s">
        <v>76</v>
      </c>
      <c r="D289" t="s">
        <v>115</v>
      </c>
      <c r="E289" t="s">
        <v>24</v>
      </c>
      <c r="F289" t="s">
        <v>66</v>
      </c>
      <c r="G289" t="s">
        <v>34</v>
      </c>
      <c r="H289" t="s">
        <v>809</v>
      </c>
      <c r="I289" t="str">
        <f>IF('Cleaned Data'!H289="Emi","EMI",'Cleaned Data'!H289)</f>
        <v>EMI</v>
      </c>
      <c r="J289" t="s">
        <v>63</v>
      </c>
      <c r="K289" t="s">
        <v>138</v>
      </c>
      <c r="L289">
        <v>5</v>
      </c>
      <c r="M289" s="9">
        <v>127874</v>
      </c>
      <c r="N289" s="4">
        <v>4.4999999999999998E-2</v>
      </c>
      <c r="O289" s="4">
        <f t="shared" si="4"/>
        <v>4.4999999999999998E-2</v>
      </c>
      <c r="P289" s="11">
        <v>639370</v>
      </c>
      <c r="Q289" s="9">
        <v>28771.65</v>
      </c>
      <c r="R289" s="9">
        <v>610598.35</v>
      </c>
      <c r="S289">
        <v>4</v>
      </c>
      <c r="T289">
        <v>163</v>
      </c>
      <c r="U289">
        <v>4.5999999999999996</v>
      </c>
      <c r="V289">
        <v>10</v>
      </c>
      <c r="W289">
        <f>IF('Cleaned Data'!V289&lt;0,"Review",'Cleaned Data'!V289)</f>
        <v>10</v>
      </c>
      <c r="X289">
        <v>3</v>
      </c>
      <c r="Y289" s="7">
        <f>IFERROR('Cleaned Data'!R289/'Cleaned Data'!L289,0)</f>
        <v>122119.67</v>
      </c>
      <c r="Z289" t="str">
        <f>TEXT(EV_Sales[[#This Row],[Order_Date]],"mmm-yyyy")</f>
        <v>Jan-2025</v>
      </c>
      <c r="AA289">
        <f>MONTH(EV_Sales[[#This Row],[Order_Date]])</f>
        <v>1</v>
      </c>
      <c r="AB289" s="12" t="str">
        <f>"Q"&amp;ROUNDUP(MONTH(EV_Sales[[#This Row],[Order_Date]])/3,0)</f>
        <v>Q1</v>
      </c>
    </row>
    <row r="290" spans="1:28" x14ac:dyDescent="0.3">
      <c r="A290" t="s">
        <v>395</v>
      </c>
      <c r="B290" s="2">
        <v>45994</v>
      </c>
      <c r="C290" t="s">
        <v>22</v>
      </c>
      <c r="D290" t="s">
        <v>23</v>
      </c>
      <c r="E290" t="s">
        <v>62</v>
      </c>
      <c r="F290" t="s">
        <v>47</v>
      </c>
      <c r="G290" t="s">
        <v>67</v>
      </c>
      <c r="H290" t="s">
        <v>809</v>
      </c>
      <c r="I290" t="str">
        <f>IF('Cleaned Data'!H290="Emi","EMI",'Cleaned Data'!H290)</f>
        <v>EMI</v>
      </c>
      <c r="J290" t="s">
        <v>36</v>
      </c>
      <c r="K290" t="s">
        <v>102</v>
      </c>
      <c r="L290">
        <v>2</v>
      </c>
      <c r="M290" s="9">
        <v>116688</v>
      </c>
      <c r="N290" s="4">
        <v>8.7999999999999995E-2</v>
      </c>
      <c r="O290" s="4">
        <f t="shared" si="4"/>
        <v>8.7999999999999995E-2</v>
      </c>
      <c r="P290" s="11">
        <v>233376</v>
      </c>
      <c r="Q290" s="9">
        <v>20537.09</v>
      </c>
      <c r="R290" s="9">
        <v>212838.91</v>
      </c>
      <c r="S290">
        <v>5</v>
      </c>
      <c r="T290">
        <v>198</v>
      </c>
      <c r="U290">
        <v>4</v>
      </c>
      <c r="V290">
        <v>14</v>
      </c>
      <c r="W290">
        <f>IF('Cleaned Data'!V290&lt;0,"Review",'Cleaned Data'!V290)</f>
        <v>14</v>
      </c>
      <c r="X290">
        <v>2</v>
      </c>
      <c r="Y290" s="7">
        <f>IFERROR('Cleaned Data'!R290/'Cleaned Data'!L290,0)</f>
        <v>106419.455</v>
      </c>
      <c r="Z290" t="str">
        <f>TEXT(EV_Sales[[#This Row],[Order_Date]],"mmm-yyyy")</f>
        <v>Dec-2025</v>
      </c>
      <c r="AA290">
        <f>MONTH(EV_Sales[[#This Row],[Order_Date]])</f>
        <v>12</v>
      </c>
      <c r="AB290" s="12" t="str">
        <f>"Q"&amp;ROUNDUP(MONTH(EV_Sales[[#This Row],[Order_Date]])/3,0)</f>
        <v>Q4</v>
      </c>
    </row>
    <row r="291" spans="1:28" x14ac:dyDescent="0.3">
      <c r="A291" t="s">
        <v>396</v>
      </c>
      <c r="B291" s="2">
        <v>45785</v>
      </c>
      <c r="C291" t="s">
        <v>87</v>
      </c>
      <c r="D291" t="s">
        <v>88</v>
      </c>
      <c r="E291" t="s">
        <v>24</v>
      </c>
      <c r="F291" t="s">
        <v>47</v>
      </c>
      <c r="G291" t="s">
        <v>56</v>
      </c>
      <c r="H291" t="s">
        <v>809</v>
      </c>
      <c r="I291" t="str">
        <f>IF('Cleaned Data'!H291="Emi","EMI",'Cleaned Data'!H291)</f>
        <v>EMI</v>
      </c>
      <c r="J291" t="s">
        <v>28</v>
      </c>
      <c r="K291" t="s">
        <v>197</v>
      </c>
      <c r="L291">
        <v>2</v>
      </c>
      <c r="M291" s="9">
        <v>142472</v>
      </c>
      <c r="N291" s="4">
        <v>0.06</v>
      </c>
      <c r="O291" s="4">
        <f t="shared" si="4"/>
        <v>0.06</v>
      </c>
      <c r="P291" s="11">
        <v>284944</v>
      </c>
      <c r="Q291" s="9">
        <v>17096.64</v>
      </c>
      <c r="R291" s="9">
        <v>267847.36</v>
      </c>
      <c r="S291">
        <v>3</v>
      </c>
      <c r="T291">
        <v>167</v>
      </c>
      <c r="U291">
        <v>4</v>
      </c>
      <c r="V291">
        <v>5</v>
      </c>
      <c r="W291">
        <f>IF('Cleaned Data'!V291&lt;0,"Review",'Cleaned Data'!V291)</f>
        <v>5</v>
      </c>
      <c r="X291">
        <v>2</v>
      </c>
      <c r="Y291" s="7">
        <f>IFERROR('Cleaned Data'!R291/'Cleaned Data'!L291,0)</f>
        <v>133923.68</v>
      </c>
      <c r="Z291" t="str">
        <f>TEXT(EV_Sales[[#This Row],[Order_Date]],"mmm-yyyy")</f>
        <v>May-2025</v>
      </c>
      <c r="AA291">
        <f>MONTH(EV_Sales[[#This Row],[Order_Date]])</f>
        <v>5</v>
      </c>
      <c r="AB291" s="12" t="str">
        <f>"Q"&amp;ROUNDUP(MONTH(EV_Sales[[#This Row],[Order_Date]])/3,0)</f>
        <v>Q2</v>
      </c>
    </row>
    <row r="292" spans="1:28" x14ac:dyDescent="0.3">
      <c r="A292" t="s">
        <v>397</v>
      </c>
      <c r="B292" s="2">
        <v>45828</v>
      </c>
      <c r="C292" t="s">
        <v>31</v>
      </c>
      <c r="D292" t="s">
        <v>97</v>
      </c>
      <c r="E292" t="s">
        <v>62</v>
      </c>
      <c r="F292" t="s">
        <v>101</v>
      </c>
      <c r="G292" t="s">
        <v>26</v>
      </c>
      <c r="H292" t="s">
        <v>27</v>
      </c>
      <c r="I292" t="str">
        <f>IF('Cleaned Data'!H292="Emi","EMI",'Cleaned Data'!H292)</f>
        <v>Finance</v>
      </c>
      <c r="J292" t="s">
        <v>48</v>
      </c>
      <c r="K292" t="s">
        <v>131</v>
      </c>
      <c r="L292">
        <v>1</v>
      </c>
      <c r="M292" s="9">
        <v>127897</v>
      </c>
      <c r="N292" s="4">
        <v>0.104</v>
      </c>
      <c r="O292" s="4">
        <f t="shared" si="4"/>
        <v>0.104</v>
      </c>
      <c r="P292" s="11">
        <v>127897</v>
      </c>
      <c r="Q292" s="9">
        <v>13301.29</v>
      </c>
      <c r="R292" s="9">
        <v>114595.71</v>
      </c>
      <c r="S292">
        <v>2</v>
      </c>
      <c r="T292">
        <v>118</v>
      </c>
      <c r="U292">
        <v>3.8</v>
      </c>
      <c r="V292">
        <v>14</v>
      </c>
      <c r="W292">
        <f>IF('Cleaned Data'!V292&lt;0,"Review",'Cleaned Data'!V292)</f>
        <v>14</v>
      </c>
      <c r="X292">
        <v>2</v>
      </c>
      <c r="Y292" s="7">
        <f>IFERROR('Cleaned Data'!R292/'Cleaned Data'!L292,0)</f>
        <v>114595.71</v>
      </c>
      <c r="Z292" t="str">
        <f>TEXT(EV_Sales[[#This Row],[Order_Date]],"mmm-yyyy")</f>
        <v>Jun-2025</v>
      </c>
      <c r="AA292">
        <f>MONTH(EV_Sales[[#This Row],[Order_Date]])</f>
        <v>6</v>
      </c>
      <c r="AB292" s="12" t="str">
        <f>"Q"&amp;ROUNDUP(MONTH(EV_Sales[[#This Row],[Order_Date]])/3,0)</f>
        <v>Q2</v>
      </c>
    </row>
    <row r="293" spans="1:28" x14ac:dyDescent="0.3">
      <c r="A293" t="s">
        <v>398</v>
      </c>
      <c r="B293" s="2">
        <v>45717</v>
      </c>
      <c r="C293" t="s">
        <v>60</v>
      </c>
      <c r="D293" t="s">
        <v>69</v>
      </c>
      <c r="E293" t="s">
        <v>24</v>
      </c>
      <c r="F293" t="s">
        <v>52</v>
      </c>
      <c r="G293" t="s">
        <v>26</v>
      </c>
      <c r="H293" t="s">
        <v>53</v>
      </c>
      <c r="I293" t="str">
        <f>IF('Cleaned Data'!H293="Emi","EMI",'Cleaned Data'!H293)</f>
        <v>Cash</v>
      </c>
      <c r="J293" t="s">
        <v>94</v>
      </c>
      <c r="K293" t="s">
        <v>83</v>
      </c>
      <c r="L293">
        <v>1</v>
      </c>
      <c r="M293" s="9">
        <v>111835</v>
      </c>
      <c r="N293" s="4">
        <v>8.5999999999999993E-2</v>
      </c>
      <c r="O293" s="4">
        <f t="shared" si="4"/>
        <v>8.5999999999999993E-2</v>
      </c>
      <c r="P293" s="11">
        <v>111835</v>
      </c>
      <c r="Q293" s="9">
        <v>9617.81</v>
      </c>
      <c r="R293" s="9">
        <v>102217.19</v>
      </c>
      <c r="S293">
        <v>2</v>
      </c>
      <c r="T293">
        <v>149</v>
      </c>
      <c r="U293">
        <v>3.9</v>
      </c>
      <c r="V293">
        <v>7</v>
      </c>
      <c r="W293">
        <f>IF('Cleaned Data'!V293&lt;0,"Review",'Cleaned Data'!V293)</f>
        <v>7</v>
      </c>
      <c r="X293">
        <v>3</v>
      </c>
      <c r="Y293" s="7">
        <f>IFERROR('Cleaned Data'!R293/'Cleaned Data'!L293,0)</f>
        <v>102217.19</v>
      </c>
      <c r="Z293" t="str">
        <f>TEXT(EV_Sales[[#This Row],[Order_Date]],"mmm-yyyy")</f>
        <v>Mar-2025</v>
      </c>
      <c r="AA293">
        <f>MONTH(EV_Sales[[#This Row],[Order_Date]])</f>
        <v>3</v>
      </c>
      <c r="AB293" s="12" t="str">
        <f>"Q"&amp;ROUNDUP(MONTH(EV_Sales[[#This Row],[Order_Date]])/3,0)</f>
        <v>Q1</v>
      </c>
    </row>
    <row r="294" spans="1:28" x14ac:dyDescent="0.3">
      <c r="A294" t="s">
        <v>399</v>
      </c>
      <c r="B294" s="2">
        <v>45769</v>
      </c>
      <c r="C294" t="s">
        <v>44</v>
      </c>
      <c r="D294" t="s">
        <v>51</v>
      </c>
      <c r="E294" t="s">
        <v>62</v>
      </c>
      <c r="F294" t="s">
        <v>25</v>
      </c>
      <c r="G294" t="s">
        <v>34</v>
      </c>
      <c r="H294" t="s">
        <v>27</v>
      </c>
      <c r="I294" t="str">
        <f>IF('Cleaned Data'!H294="Emi","EMI",'Cleaned Data'!H294)</f>
        <v>Finance</v>
      </c>
      <c r="J294" t="s">
        <v>28</v>
      </c>
      <c r="K294" t="s">
        <v>72</v>
      </c>
      <c r="L294">
        <v>4</v>
      </c>
      <c r="M294" s="9">
        <v>122198</v>
      </c>
      <c r="N294" s="4">
        <v>0.10299999999999999</v>
      </c>
      <c r="O294" s="4">
        <f t="shared" si="4"/>
        <v>0.10299999999999999</v>
      </c>
      <c r="P294" s="11">
        <v>488792</v>
      </c>
      <c r="Q294" s="9">
        <v>50345.58</v>
      </c>
      <c r="R294" s="9">
        <v>438446.42</v>
      </c>
      <c r="S294">
        <v>4</v>
      </c>
      <c r="T294">
        <v>169</v>
      </c>
      <c r="U294">
        <v>4.5999999999999996</v>
      </c>
      <c r="V294">
        <v>2</v>
      </c>
      <c r="W294">
        <f>IF('Cleaned Data'!V294&lt;0,"Review",'Cleaned Data'!V294)</f>
        <v>2</v>
      </c>
      <c r="X294">
        <v>2</v>
      </c>
      <c r="Y294" s="7">
        <f>IFERROR('Cleaned Data'!R294/'Cleaned Data'!L294,0)</f>
        <v>109611.605</v>
      </c>
      <c r="Z294" t="str">
        <f>TEXT(EV_Sales[[#This Row],[Order_Date]],"mmm-yyyy")</f>
        <v>Apr-2025</v>
      </c>
      <c r="AA294">
        <f>MONTH(EV_Sales[[#This Row],[Order_Date]])</f>
        <v>4</v>
      </c>
      <c r="AB294" s="12" t="str">
        <f>"Q"&amp;ROUNDUP(MONTH(EV_Sales[[#This Row],[Order_Date]])/3,0)</f>
        <v>Q2</v>
      </c>
    </row>
    <row r="295" spans="1:28" x14ac:dyDescent="0.3">
      <c r="A295" t="s">
        <v>400</v>
      </c>
      <c r="B295" s="2">
        <v>45807</v>
      </c>
      <c r="C295" t="s">
        <v>87</v>
      </c>
      <c r="D295" t="s">
        <v>130</v>
      </c>
      <c r="E295" t="s">
        <v>46</v>
      </c>
      <c r="F295" t="s">
        <v>70</v>
      </c>
      <c r="G295" t="s">
        <v>67</v>
      </c>
      <c r="H295" t="s">
        <v>809</v>
      </c>
      <c r="I295" t="str">
        <f>IF('Cleaned Data'!H295="Emi","EMI",'Cleaned Data'!H295)</f>
        <v>EMI</v>
      </c>
      <c r="J295" t="s">
        <v>48</v>
      </c>
      <c r="K295" t="s">
        <v>123</v>
      </c>
      <c r="L295">
        <v>3</v>
      </c>
      <c r="M295" s="9">
        <v>107495</v>
      </c>
      <c r="N295" s="4">
        <v>0.11899999999999999</v>
      </c>
      <c r="O295" s="4">
        <f t="shared" si="4"/>
        <v>0.11899999999999999</v>
      </c>
      <c r="P295" s="11">
        <v>322485</v>
      </c>
      <c r="Q295" s="9">
        <v>38375.71</v>
      </c>
      <c r="R295" s="9">
        <v>284109.28999999998</v>
      </c>
      <c r="S295">
        <v>2</v>
      </c>
      <c r="T295">
        <v>165</v>
      </c>
      <c r="U295">
        <v>4.5999999999999996</v>
      </c>
      <c r="V295">
        <v>2</v>
      </c>
      <c r="W295">
        <f>IF('Cleaned Data'!V295&lt;0,"Review",'Cleaned Data'!V295)</f>
        <v>2</v>
      </c>
      <c r="X295">
        <v>3</v>
      </c>
      <c r="Y295" s="7">
        <f>IFERROR('Cleaned Data'!R295/'Cleaned Data'!L295,0)</f>
        <v>94703.096666666665</v>
      </c>
      <c r="Z295" t="str">
        <f>TEXT(EV_Sales[[#This Row],[Order_Date]],"mmm-yyyy")</f>
        <v>May-2025</v>
      </c>
      <c r="AA295">
        <f>MONTH(EV_Sales[[#This Row],[Order_Date]])</f>
        <v>5</v>
      </c>
      <c r="AB295" s="12" t="str">
        <f>"Q"&amp;ROUNDUP(MONTH(EV_Sales[[#This Row],[Order_Date]])/3,0)</f>
        <v>Q2</v>
      </c>
    </row>
    <row r="296" spans="1:28" x14ac:dyDescent="0.3">
      <c r="A296" t="s">
        <v>401</v>
      </c>
      <c r="B296" s="2">
        <v>45726</v>
      </c>
      <c r="C296" t="s">
        <v>60</v>
      </c>
      <c r="D296" t="s">
        <v>69</v>
      </c>
      <c r="E296" t="s">
        <v>24</v>
      </c>
      <c r="F296" t="s">
        <v>101</v>
      </c>
      <c r="G296" t="s">
        <v>67</v>
      </c>
      <c r="H296" t="s">
        <v>27</v>
      </c>
      <c r="I296" t="str">
        <f>IF('Cleaned Data'!H296="Emi","EMI",'Cleaned Data'!H296)</f>
        <v>Finance</v>
      </c>
      <c r="J296" t="s">
        <v>48</v>
      </c>
      <c r="K296" t="s">
        <v>49</v>
      </c>
      <c r="L296">
        <v>1</v>
      </c>
      <c r="M296" s="9">
        <v>106732</v>
      </c>
      <c r="N296" s="4">
        <v>6.2E-2</v>
      </c>
      <c r="O296" s="4">
        <f t="shared" si="4"/>
        <v>6.2E-2</v>
      </c>
      <c r="P296" s="11">
        <v>106732</v>
      </c>
      <c r="Q296" s="9">
        <v>6617.38</v>
      </c>
      <c r="R296" s="9">
        <v>100114.62</v>
      </c>
      <c r="S296">
        <v>3</v>
      </c>
      <c r="T296">
        <v>160</v>
      </c>
      <c r="U296">
        <v>3.6</v>
      </c>
      <c r="V296">
        <v>10</v>
      </c>
      <c r="W296">
        <f>IF('Cleaned Data'!V296&lt;0,"Review",'Cleaned Data'!V296)</f>
        <v>10</v>
      </c>
      <c r="X296">
        <v>3</v>
      </c>
      <c r="Y296" s="7">
        <f>IFERROR('Cleaned Data'!R296/'Cleaned Data'!L296,0)</f>
        <v>100114.62</v>
      </c>
      <c r="Z296" t="str">
        <f>TEXT(EV_Sales[[#This Row],[Order_Date]],"mmm-yyyy")</f>
        <v>Mar-2025</v>
      </c>
      <c r="AA296">
        <f>MONTH(EV_Sales[[#This Row],[Order_Date]])</f>
        <v>3</v>
      </c>
      <c r="AB296" s="12" t="str">
        <f>"Q"&amp;ROUNDUP(MONTH(EV_Sales[[#This Row],[Order_Date]])/3,0)</f>
        <v>Q1</v>
      </c>
    </row>
    <row r="297" spans="1:28" x14ac:dyDescent="0.3">
      <c r="A297" t="s">
        <v>402</v>
      </c>
      <c r="B297" s="2">
        <v>45682</v>
      </c>
      <c r="C297" t="s">
        <v>22</v>
      </c>
      <c r="D297" t="s">
        <v>107</v>
      </c>
      <c r="E297" t="s">
        <v>24</v>
      </c>
      <c r="F297" t="s">
        <v>47</v>
      </c>
      <c r="G297" t="s">
        <v>26</v>
      </c>
      <c r="H297" t="s">
        <v>809</v>
      </c>
      <c r="I297" t="str">
        <f>IF('Cleaned Data'!H297="Emi","EMI",'Cleaned Data'!H297)</f>
        <v>EMI</v>
      </c>
      <c r="J297" t="s">
        <v>63</v>
      </c>
      <c r="K297" t="s">
        <v>89</v>
      </c>
      <c r="L297">
        <v>2</v>
      </c>
      <c r="M297" s="9">
        <v>143408</v>
      </c>
      <c r="N297" s="4">
        <v>3.5999999999999997E-2</v>
      </c>
      <c r="O297" s="4">
        <f t="shared" si="4"/>
        <v>3.5999999999999997E-2</v>
      </c>
      <c r="P297" s="11">
        <v>286816</v>
      </c>
      <c r="Q297" s="9">
        <v>10325.379999999999</v>
      </c>
      <c r="R297" s="9">
        <v>276490.62</v>
      </c>
      <c r="S297">
        <v>3</v>
      </c>
      <c r="T297">
        <v>169</v>
      </c>
      <c r="U297">
        <v>3.9</v>
      </c>
      <c r="V297">
        <v>13</v>
      </c>
      <c r="W297">
        <f>IF('Cleaned Data'!V297&lt;0,"Review",'Cleaned Data'!V297)</f>
        <v>13</v>
      </c>
      <c r="X297">
        <v>2</v>
      </c>
      <c r="Y297" s="7">
        <f>IFERROR('Cleaned Data'!R297/'Cleaned Data'!L297,0)</f>
        <v>138245.31</v>
      </c>
      <c r="Z297" t="str">
        <f>TEXT(EV_Sales[[#This Row],[Order_Date]],"mmm-yyyy")</f>
        <v>Jan-2025</v>
      </c>
      <c r="AA297">
        <f>MONTH(EV_Sales[[#This Row],[Order_Date]])</f>
        <v>1</v>
      </c>
      <c r="AB297" s="12" t="str">
        <f>"Q"&amp;ROUNDUP(MONTH(EV_Sales[[#This Row],[Order_Date]])/3,0)</f>
        <v>Q1</v>
      </c>
    </row>
    <row r="298" spans="1:28" x14ac:dyDescent="0.3">
      <c r="A298" t="s">
        <v>403</v>
      </c>
      <c r="B298" s="2">
        <v>45675</v>
      </c>
      <c r="C298" t="s">
        <v>76</v>
      </c>
      <c r="D298" t="s">
        <v>117</v>
      </c>
      <c r="E298" t="s">
        <v>62</v>
      </c>
      <c r="F298" t="s">
        <v>80</v>
      </c>
      <c r="G298" t="s">
        <v>26</v>
      </c>
      <c r="H298" t="s">
        <v>27</v>
      </c>
      <c r="I298" t="str">
        <f>IF('Cleaned Data'!H298="Emi","EMI",'Cleaned Data'!H298)</f>
        <v>Finance</v>
      </c>
      <c r="J298" t="s">
        <v>63</v>
      </c>
      <c r="K298" t="s">
        <v>58</v>
      </c>
      <c r="L298">
        <v>4</v>
      </c>
      <c r="M298" s="9">
        <v>140718</v>
      </c>
      <c r="N298" s="4">
        <v>0.115</v>
      </c>
      <c r="O298" s="4">
        <f t="shared" si="4"/>
        <v>0.115</v>
      </c>
      <c r="P298" s="11">
        <v>562872</v>
      </c>
      <c r="Q298" s="9">
        <v>64730.28</v>
      </c>
      <c r="R298" s="9">
        <v>498141.72</v>
      </c>
      <c r="S298">
        <v>4</v>
      </c>
      <c r="T298">
        <v>168</v>
      </c>
      <c r="U298">
        <v>3.7</v>
      </c>
      <c r="V298">
        <v>11</v>
      </c>
      <c r="W298">
        <f>IF('Cleaned Data'!V298&lt;0,"Review",'Cleaned Data'!V298)</f>
        <v>11</v>
      </c>
      <c r="X298">
        <v>2</v>
      </c>
      <c r="Y298" s="7">
        <f>IFERROR('Cleaned Data'!R298/'Cleaned Data'!L298,0)</f>
        <v>124535.43</v>
      </c>
      <c r="Z298" t="str">
        <f>TEXT(EV_Sales[[#This Row],[Order_Date]],"mmm-yyyy")</f>
        <v>Jan-2025</v>
      </c>
      <c r="AA298">
        <f>MONTH(EV_Sales[[#This Row],[Order_Date]])</f>
        <v>1</v>
      </c>
      <c r="AB298" s="12" t="str">
        <f>"Q"&amp;ROUNDUP(MONTH(EV_Sales[[#This Row],[Order_Date]])/3,0)</f>
        <v>Q1</v>
      </c>
    </row>
    <row r="299" spans="1:28" x14ac:dyDescent="0.3">
      <c r="A299" t="s">
        <v>404</v>
      </c>
      <c r="B299" s="2">
        <v>45729</v>
      </c>
      <c r="C299" t="s">
        <v>39</v>
      </c>
      <c r="D299" t="s">
        <v>40</v>
      </c>
      <c r="E299" t="s">
        <v>46</v>
      </c>
      <c r="F299" t="s">
        <v>74</v>
      </c>
      <c r="G299" t="s">
        <v>34</v>
      </c>
      <c r="H299" t="s">
        <v>53</v>
      </c>
      <c r="I299" t="str">
        <f>IF('Cleaned Data'!H299="Emi","EMI",'Cleaned Data'!H299)</f>
        <v>Cash</v>
      </c>
      <c r="J299" t="s">
        <v>94</v>
      </c>
      <c r="K299" t="s">
        <v>157</v>
      </c>
      <c r="L299">
        <v>4</v>
      </c>
      <c r="M299" s="9">
        <v>124057</v>
      </c>
      <c r="N299" s="4">
        <v>7.4999999999999997E-2</v>
      </c>
      <c r="O299" s="4">
        <f t="shared" si="4"/>
        <v>7.4999999999999997E-2</v>
      </c>
      <c r="P299" s="11">
        <v>496228</v>
      </c>
      <c r="Q299" s="9">
        <v>37217.1</v>
      </c>
      <c r="R299" s="9">
        <v>459010.9</v>
      </c>
      <c r="S299">
        <v>2</v>
      </c>
      <c r="T299">
        <v>160</v>
      </c>
      <c r="U299">
        <v>4</v>
      </c>
      <c r="V299">
        <v>2</v>
      </c>
      <c r="W299">
        <f>IF('Cleaned Data'!V299&lt;0,"Review",'Cleaned Data'!V299)</f>
        <v>2</v>
      </c>
      <c r="X299">
        <v>5</v>
      </c>
      <c r="Y299" s="7">
        <f>IFERROR('Cleaned Data'!R299/'Cleaned Data'!L299,0)</f>
        <v>114752.72500000001</v>
      </c>
      <c r="Z299" t="str">
        <f>TEXT(EV_Sales[[#This Row],[Order_Date]],"mmm-yyyy")</f>
        <v>Mar-2025</v>
      </c>
      <c r="AA299">
        <f>MONTH(EV_Sales[[#This Row],[Order_Date]])</f>
        <v>3</v>
      </c>
      <c r="AB299" s="12" t="str">
        <f>"Q"&amp;ROUNDUP(MONTH(EV_Sales[[#This Row],[Order_Date]])/3,0)</f>
        <v>Q1</v>
      </c>
    </row>
    <row r="300" spans="1:28" x14ac:dyDescent="0.3">
      <c r="A300" t="s">
        <v>405</v>
      </c>
      <c r="B300" s="2">
        <v>45941</v>
      </c>
      <c r="C300" t="s">
        <v>31</v>
      </c>
      <c r="D300" t="s">
        <v>32</v>
      </c>
      <c r="E300" t="s">
        <v>46</v>
      </c>
      <c r="F300" t="s">
        <v>811</v>
      </c>
      <c r="G300" t="s">
        <v>56</v>
      </c>
      <c r="H300" t="s">
        <v>809</v>
      </c>
      <c r="I300" t="str">
        <f>IF('Cleaned Data'!H300="Emi","EMI",'Cleaned Data'!H300)</f>
        <v>EMI</v>
      </c>
      <c r="J300" t="s">
        <v>28</v>
      </c>
      <c r="K300" t="s">
        <v>81</v>
      </c>
      <c r="L300">
        <v>1</v>
      </c>
      <c r="M300" s="9">
        <v>113047</v>
      </c>
      <c r="N300" s="4">
        <v>4.9000000000000002E-2</v>
      </c>
      <c r="O300" s="4">
        <f t="shared" si="4"/>
        <v>4.9000000000000002E-2</v>
      </c>
      <c r="P300" s="11">
        <v>113047</v>
      </c>
      <c r="Q300" s="9">
        <v>5539.3</v>
      </c>
      <c r="R300" s="9">
        <v>107507.7</v>
      </c>
      <c r="S300">
        <v>3</v>
      </c>
      <c r="T300">
        <v>178</v>
      </c>
      <c r="U300">
        <v>3.5</v>
      </c>
      <c r="V300">
        <v>5</v>
      </c>
      <c r="W300">
        <f>IF('Cleaned Data'!V300&lt;0,"Review",'Cleaned Data'!V300)</f>
        <v>5</v>
      </c>
      <c r="X300">
        <v>2</v>
      </c>
      <c r="Y300" s="7">
        <f>IFERROR('Cleaned Data'!R300/'Cleaned Data'!L300,0)</f>
        <v>107507.7</v>
      </c>
      <c r="Z300" t="str">
        <f>TEXT(EV_Sales[[#This Row],[Order_Date]],"mmm-yyyy")</f>
        <v>Oct-2025</v>
      </c>
      <c r="AA300">
        <f>MONTH(EV_Sales[[#This Row],[Order_Date]])</f>
        <v>10</v>
      </c>
      <c r="AB300" s="12" t="str">
        <f>"Q"&amp;ROUNDUP(MONTH(EV_Sales[[#This Row],[Order_Date]])/3,0)</f>
        <v>Q4</v>
      </c>
    </row>
    <row r="301" spans="1:28" x14ac:dyDescent="0.3">
      <c r="A301" t="s">
        <v>406</v>
      </c>
      <c r="B301" s="2">
        <v>45763</v>
      </c>
      <c r="C301" t="s">
        <v>39</v>
      </c>
      <c r="D301" t="s">
        <v>40</v>
      </c>
      <c r="E301" t="s">
        <v>24</v>
      </c>
      <c r="F301" t="s">
        <v>25</v>
      </c>
      <c r="G301" t="s">
        <v>26</v>
      </c>
      <c r="H301" t="s">
        <v>27</v>
      </c>
      <c r="I301" t="str">
        <f>IF('Cleaned Data'!H301="Emi","EMI",'Cleaned Data'!H301)</f>
        <v>Finance</v>
      </c>
      <c r="J301" t="s">
        <v>94</v>
      </c>
      <c r="K301" t="s">
        <v>123</v>
      </c>
      <c r="L301">
        <v>1</v>
      </c>
      <c r="M301" s="9">
        <v>122686</v>
      </c>
      <c r="N301" s="4">
        <v>0.111</v>
      </c>
      <c r="O301" s="4">
        <f t="shared" si="4"/>
        <v>0.111</v>
      </c>
      <c r="P301" s="11">
        <v>122686</v>
      </c>
      <c r="Q301" s="9">
        <v>13618.15</v>
      </c>
      <c r="R301" s="9">
        <v>109067.85</v>
      </c>
      <c r="S301">
        <v>4</v>
      </c>
      <c r="T301">
        <v>171</v>
      </c>
      <c r="U301">
        <v>4.7</v>
      </c>
      <c r="V301">
        <v>3</v>
      </c>
      <c r="W301">
        <f>IF('Cleaned Data'!V301&lt;0,"Review",'Cleaned Data'!V301)</f>
        <v>3</v>
      </c>
      <c r="X301">
        <v>3</v>
      </c>
      <c r="Y301" s="7">
        <f>IFERROR('Cleaned Data'!R301/'Cleaned Data'!L301,0)</f>
        <v>109067.85</v>
      </c>
      <c r="Z301" t="str">
        <f>TEXT(EV_Sales[[#This Row],[Order_Date]],"mmm-yyyy")</f>
        <v>Apr-2025</v>
      </c>
      <c r="AA301">
        <f>MONTH(EV_Sales[[#This Row],[Order_Date]])</f>
        <v>4</v>
      </c>
      <c r="AB301" s="12" t="str">
        <f>"Q"&amp;ROUNDUP(MONTH(EV_Sales[[#This Row],[Order_Date]])/3,0)</f>
        <v>Q2</v>
      </c>
    </row>
    <row r="302" spans="1:28" x14ac:dyDescent="0.3">
      <c r="A302" t="s">
        <v>407</v>
      </c>
      <c r="B302" s="2">
        <v>45798</v>
      </c>
      <c r="C302" t="s">
        <v>22</v>
      </c>
      <c r="D302" t="s">
        <v>23</v>
      </c>
      <c r="E302" t="s">
        <v>24</v>
      </c>
      <c r="F302" t="s">
        <v>80</v>
      </c>
      <c r="G302" t="s">
        <v>34</v>
      </c>
      <c r="H302" t="s">
        <v>809</v>
      </c>
      <c r="I302" t="str">
        <f>IF('Cleaned Data'!H302="Emi","EMI",'Cleaned Data'!H302)</f>
        <v>EMI</v>
      </c>
      <c r="J302" t="s">
        <v>57</v>
      </c>
      <c r="K302" t="s">
        <v>81</v>
      </c>
      <c r="L302">
        <v>1</v>
      </c>
      <c r="M302" s="9">
        <v>129197</v>
      </c>
      <c r="N302" s="4">
        <v>5.3999999999999999E-2</v>
      </c>
      <c r="O302" s="4">
        <f t="shared" si="4"/>
        <v>5.3999999999999999E-2</v>
      </c>
      <c r="P302" s="11">
        <v>129197</v>
      </c>
      <c r="Q302" s="9">
        <v>6976.64</v>
      </c>
      <c r="R302" s="9">
        <v>122220.36</v>
      </c>
      <c r="S302">
        <v>3</v>
      </c>
      <c r="T302">
        <v>155</v>
      </c>
      <c r="U302">
        <v>3.9</v>
      </c>
      <c r="V302">
        <v>4</v>
      </c>
      <c r="W302">
        <f>IF('Cleaned Data'!V302&lt;0,"Review",'Cleaned Data'!V302)</f>
        <v>4</v>
      </c>
      <c r="X302">
        <v>5</v>
      </c>
      <c r="Y302" s="7">
        <f>IFERROR('Cleaned Data'!R302/'Cleaned Data'!L302,0)</f>
        <v>122220.36</v>
      </c>
      <c r="Z302" t="str">
        <f>TEXT(EV_Sales[[#This Row],[Order_Date]],"mmm-yyyy")</f>
        <v>May-2025</v>
      </c>
      <c r="AA302">
        <f>MONTH(EV_Sales[[#This Row],[Order_Date]])</f>
        <v>5</v>
      </c>
      <c r="AB302" s="12" t="str">
        <f>"Q"&amp;ROUNDUP(MONTH(EV_Sales[[#This Row],[Order_Date]])/3,0)</f>
        <v>Q2</v>
      </c>
    </row>
    <row r="303" spans="1:28" x14ac:dyDescent="0.3">
      <c r="A303" t="s">
        <v>408</v>
      </c>
      <c r="B303" s="2">
        <v>45995</v>
      </c>
      <c r="C303" t="s">
        <v>76</v>
      </c>
      <c r="D303" t="s">
        <v>115</v>
      </c>
      <c r="E303" t="s">
        <v>24</v>
      </c>
      <c r="F303" t="s">
        <v>33</v>
      </c>
      <c r="G303" t="s">
        <v>67</v>
      </c>
      <c r="H303" t="s">
        <v>53</v>
      </c>
      <c r="I303" t="str">
        <f>IF('Cleaned Data'!H303="Emi","EMI",'Cleaned Data'!H303)</f>
        <v>Cash</v>
      </c>
      <c r="J303" t="s">
        <v>94</v>
      </c>
      <c r="K303" t="s">
        <v>123</v>
      </c>
      <c r="L303">
        <v>1</v>
      </c>
      <c r="M303" s="9">
        <v>134146</v>
      </c>
      <c r="N303" s="4">
        <v>7.3999999999999996E-2</v>
      </c>
      <c r="O303" s="4">
        <f t="shared" si="4"/>
        <v>7.3999999999999996E-2</v>
      </c>
      <c r="P303" s="11">
        <v>134146</v>
      </c>
      <c r="Q303" s="9">
        <v>9926.7999999999993</v>
      </c>
      <c r="R303" s="9">
        <v>124219.2</v>
      </c>
      <c r="S303">
        <v>2</v>
      </c>
      <c r="T303">
        <v>145</v>
      </c>
      <c r="U303">
        <v>3.9</v>
      </c>
      <c r="V303">
        <v>8</v>
      </c>
      <c r="W303">
        <f>IF('Cleaned Data'!V303&lt;0,"Review",'Cleaned Data'!V303)</f>
        <v>8</v>
      </c>
      <c r="X303">
        <v>5</v>
      </c>
      <c r="Y303" s="7">
        <f>IFERROR('Cleaned Data'!R303/'Cleaned Data'!L303,0)</f>
        <v>124219.2</v>
      </c>
      <c r="Z303" t="str">
        <f>TEXT(EV_Sales[[#This Row],[Order_Date]],"mmm-yyyy")</f>
        <v>Dec-2025</v>
      </c>
      <c r="AA303">
        <f>MONTH(EV_Sales[[#This Row],[Order_Date]])</f>
        <v>12</v>
      </c>
      <c r="AB303" s="12" t="str">
        <f>"Q"&amp;ROUNDUP(MONTH(EV_Sales[[#This Row],[Order_Date]])/3,0)</f>
        <v>Q4</v>
      </c>
    </row>
    <row r="304" spans="1:28" x14ac:dyDescent="0.3">
      <c r="A304" t="s">
        <v>409</v>
      </c>
      <c r="B304" s="2">
        <v>45945</v>
      </c>
      <c r="C304" t="s">
        <v>22</v>
      </c>
      <c r="D304" t="s">
        <v>107</v>
      </c>
      <c r="E304" t="s">
        <v>62</v>
      </c>
      <c r="F304" t="s">
        <v>52</v>
      </c>
      <c r="G304" t="s">
        <v>67</v>
      </c>
      <c r="H304" t="s">
        <v>809</v>
      </c>
      <c r="I304" t="str">
        <f>IF('Cleaned Data'!H304="Emi","EMI",'Cleaned Data'!H304)</f>
        <v>EMI</v>
      </c>
      <c r="J304" t="s">
        <v>94</v>
      </c>
      <c r="K304" t="s">
        <v>203</v>
      </c>
      <c r="L304">
        <v>2</v>
      </c>
      <c r="M304" s="9">
        <v>139659</v>
      </c>
      <c r="N304" s="4">
        <v>6.3E-2</v>
      </c>
      <c r="O304" s="4">
        <f t="shared" si="4"/>
        <v>6.3E-2</v>
      </c>
      <c r="P304" s="11">
        <v>279318</v>
      </c>
      <c r="Q304" s="9">
        <v>17597.03</v>
      </c>
      <c r="R304" s="9">
        <v>261720.97</v>
      </c>
      <c r="S304">
        <v>3</v>
      </c>
      <c r="T304">
        <v>177</v>
      </c>
      <c r="U304">
        <v>4.2</v>
      </c>
      <c r="V304">
        <v>8</v>
      </c>
      <c r="W304">
        <f>IF('Cleaned Data'!V304&lt;0,"Review",'Cleaned Data'!V304)</f>
        <v>8</v>
      </c>
      <c r="X304">
        <v>2</v>
      </c>
      <c r="Y304" s="7">
        <f>IFERROR('Cleaned Data'!R304/'Cleaned Data'!L304,0)</f>
        <v>130860.485</v>
      </c>
      <c r="Z304" t="str">
        <f>TEXT(EV_Sales[[#This Row],[Order_Date]],"mmm-yyyy")</f>
        <v>Oct-2025</v>
      </c>
      <c r="AA304">
        <f>MONTH(EV_Sales[[#This Row],[Order_Date]])</f>
        <v>10</v>
      </c>
      <c r="AB304" s="12" t="str">
        <f>"Q"&amp;ROUNDUP(MONTH(EV_Sales[[#This Row],[Order_Date]])/3,0)</f>
        <v>Q4</v>
      </c>
    </row>
    <row r="305" spans="1:28" x14ac:dyDescent="0.3">
      <c r="A305" t="s">
        <v>410</v>
      </c>
      <c r="B305" s="2">
        <v>45963</v>
      </c>
      <c r="C305" t="s">
        <v>22</v>
      </c>
      <c r="D305" t="s">
        <v>23</v>
      </c>
      <c r="E305" t="s">
        <v>24</v>
      </c>
      <c r="F305" t="s">
        <v>52</v>
      </c>
      <c r="G305" t="s">
        <v>34</v>
      </c>
      <c r="H305" t="s">
        <v>809</v>
      </c>
      <c r="I305" t="str">
        <f>IF('Cleaned Data'!H305="Emi","EMI",'Cleaned Data'!H305)</f>
        <v>EMI</v>
      </c>
      <c r="J305" t="s">
        <v>48</v>
      </c>
      <c r="K305" t="s">
        <v>138</v>
      </c>
      <c r="L305">
        <v>1</v>
      </c>
      <c r="M305" s="9">
        <v>120711</v>
      </c>
      <c r="N305" s="4">
        <v>6.9000000000000006E-2</v>
      </c>
      <c r="O305" s="4">
        <f t="shared" si="4"/>
        <v>6.9000000000000006E-2</v>
      </c>
      <c r="P305" s="11">
        <v>120711</v>
      </c>
      <c r="Q305" s="9">
        <v>8329.06</v>
      </c>
      <c r="R305" s="9">
        <v>112381.94</v>
      </c>
      <c r="S305">
        <v>3</v>
      </c>
      <c r="T305">
        <v>178</v>
      </c>
      <c r="U305">
        <v>4.4000000000000004</v>
      </c>
      <c r="V305">
        <v>8</v>
      </c>
      <c r="W305">
        <f>IF('Cleaned Data'!V305&lt;0,"Review",'Cleaned Data'!V305)</f>
        <v>8</v>
      </c>
      <c r="X305">
        <v>3</v>
      </c>
      <c r="Y305" s="7">
        <f>IFERROR('Cleaned Data'!R305/'Cleaned Data'!L305,0)</f>
        <v>112381.94</v>
      </c>
      <c r="Z305" t="str">
        <f>TEXT(EV_Sales[[#This Row],[Order_Date]],"mmm-yyyy")</f>
        <v>Nov-2025</v>
      </c>
      <c r="AA305">
        <f>MONTH(EV_Sales[[#This Row],[Order_Date]])</f>
        <v>11</v>
      </c>
      <c r="AB305" s="12" t="str">
        <f>"Q"&amp;ROUNDUP(MONTH(EV_Sales[[#This Row],[Order_Date]])/3,0)</f>
        <v>Q4</v>
      </c>
    </row>
    <row r="306" spans="1:28" x14ac:dyDescent="0.3">
      <c r="A306" t="s">
        <v>411</v>
      </c>
      <c r="B306" s="2">
        <v>45828</v>
      </c>
      <c r="C306" t="s">
        <v>31</v>
      </c>
      <c r="D306" t="s">
        <v>32</v>
      </c>
      <c r="E306" t="s">
        <v>24</v>
      </c>
      <c r="F306" t="s">
        <v>52</v>
      </c>
      <c r="G306" t="s">
        <v>67</v>
      </c>
      <c r="H306" t="s">
        <v>53</v>
      </c>
      <c r="I306" t="str">
        <f>IF('Cleaned Data'!H306="Emi","EMI",'Cleaned Data'!H306)</f>
        <v>Cash</v>
      </c>
      <c r="J306" t="s">
        <v>57</v>
      </c>
      <c r="K306" t="s">
        <v>109</v>
      </c>
      <c r="L306">
        <v>5</v>
      </c>
      <c r="M306" s="9">
        <v>105480</v>
      </c>
      <c r="N306" s="4">
        <v>3.5000000000000003E-2</v>
      </c>
      <c r="O306" s="4">
        <f t="shared" si="4"/>
        <v>3.5000000000000003E-2</v>
      </c>
      <c r="P306" s="11">
        <v>527400</v>
      </c>
      <c r="Q306" s="9">
        <v>18459</v>
      </c>
      <c r="R306" s="9">
        <v>508941</v>
      </c>
      <c r="S306">
        <v>5</v>
      </c>
      <c r="T306">
        <v>187</v>
      </c>
      <c r="U306">
        <v>3.9</v>
      </c>
      <c r="V306">
        <v>14</v>
      </c>
      <c r="W306">
        <f>IF('Cleaned Data'!V306&lt;0,"Review",'Cleaned Data'!V306)</f>
        <v>14</v>
      </c>
      <c r="X306">
        <v>3</v>
      </c>
      <c r="Y306" s="7">
        <f>IFERROR('Cleaned Data'!R306/'Cleaned Data'!L306,0)</f>
        <v>101788.2</v>
      </c>
      <c r="Z306" t="str">
        <f>TEXT(EV_Sales[[#This Row],[Order_Date]],"mmm-yyyy")</f>
        <v>Jun-2025</v>
      </c>
      <c r="AA306">
        <f>MONTH(EV_Sales[[#This Row],[Order_Date]])</f>
        <v>6</v>
      </c>
      <c r="AB306" s="12" t="str">
        <f>"Q"&amp;ROUNDUP(MONTH(EV_Sales[[#This Row],[Order_Date]])/3,0)</f>
        <v>Q2</v>
      </c>
    </row>
    <row r="307" spans="1:28" x14ac:dyDescent="0.3">
      <c r="A307" t="s">
        <v>412</v>
      </c>
      <c r="B307" s="2">
        <v>45903</v>
      </c>
      <c r="C307" t="s">
        <v>99</v>
      </c>
      <c r="D307" t="s">
        <v>121</v>
      </c>
      <c r="E307" t="s">
        <v>24</v>
      </c>
      <c r="F307" t="s">
        <v>52</v>
      </c>
      <c r="G307" t="s">
        <v>67</v>
      </c>
      <c r="H307" t="s">
        <v>27</v>
      </c>
      <c r="I307" t="str">
        <f>IF('Cleaned Data'!H307="Emi","EMI",'Cleaned Data'!H307)</f>
        <v>Finance</v>
      </c>
      <c r="J307" t="s">
        <v>57</v>
      </c>
      <c r="K307" t="s">
        <v>83</v>
      </c>
      <c r="L307">
        <v>1</v>
      </c>
      <c r="M307" s="9">
        <v>107608</v>
      </c>
      <c r="N307" s="4">
        <v>0.105</v>
      </c>
      <c r="O307" s="4">
        <f t="shared" si="4"/>
        <v>0.105</v>
      </c>
      <c r="P307" s="11">
        <v>107608</v>
      </c>
      <c r="Q307" s="9">
        <v>11298.84</v>
      </c>
      <c r="R307" s="9">
        <v>96309.16</v>
      </c>
      <c r="S307">
        <v>2</v>
      </c>
      <c r="T307">
        <v>135</v>
      </c>
      <c r="U307">
        <v>4.7</v>
      </c>
      <c r="V307">
        <v>11</v>
      </c>
      <c r="W307">
        <f>IF('Cleaned Data'!V307&lt;0,"Review",'Cleaned Data'!V307)</f>
        <v>11</v>
      </c>
      <c r="X307">
        <v>2</v>
      </c>
      <c r="Y307" s="7">
        <f>IFERROR('Cleaned Data'!R307/'Cleaned Data'!L307,0)</f>
        <v>96309.16</v>
      </c>
      <c r="Z307" t="str">
        <f>TEXT(EV_Sales[[#This Row],[Order_Date]],"mmm-yyyy")</f>
        <v>Sep-2025</v>
      </c>
      <c r="AA307">
        <f>MONTH(EV_Sales[[#This Row],[Order_Date]])</f>
        <v>9</v>
      </c>
      <c r="AB307" s="12" t="str">
        <f>"Q"&amp;ROUNDUP(MONTH(EV_Sales[[#This Row],[Order_Date]])/3,0)</f>
        <v>Q3</v>
      </c>
    </row>
    <row r="308" spans="1:28" x14ac:dyDescent="0.3">
      <c r="A308" t="s">
        <v>413</v>
      </c>
      <c r="B308" s="2">
        <v>45883</v>
      </c>
      <c r="C308" t="s">
        <v>31</v>
      </c>
      <c r="D308" t="s">
        <v>97</v>
      </c>
      <c r="E308" t="s">
        <v>46</v>
      </c>
      <c r="F308" t="s">
        <v>47</v>
      </c>
      <c r="G308" t="s">
        <v>67</v>
      </c>
      <c r="H308" t="s">
        <v>809</v>
      </c>
      <c r="I308" t="str">
        <f>IF('Cleaned Data'!H308="Emi","EMI",'Cleaned Data'!H308)</f>
        <v>EMI</v>
      </c>
      <c r="J308" t="s">
        <v>36</v>
      </c>
      <c r="K308" t="s">
        <v>131</v>
      </c>
      <c r="L308">
        <v>3</v>
      </c>
      <c r="M308" s="9">
        <v>130985</v>
      </c>
      <c r="N308" s="4">
        <v>9.8000000000000004E-2</v>
      </c>
      <c r="O308" s="4">
        <f t="shared" si="4"/>
        <v>9.8000000000000004E-2</v>
      </c>
      <c r="P308" s="11">
        <v>392955</v>
      </c>
      <c r="Q308" s="9">
        <v>38509.589999999997</v>
      </c>
      <c r="R308" s="9">
        <v>354445.41</v>
      </c>
      <c r="S308">
        <v>4</v>
      </c>
      <c r="T308">
        <v>181</v>
      </c>
      <c r="U308">
        <v>4.9000000000000004</v>
      </c>
      <c r="V308">
        <v>3</v>
      </c>
      <c r="W308">
        <f>IF('Cleaned Data'!V308&lt;0,"Review",'Cleaned Data'!V308)</f>
        <v>3</v>
      </c>
      <c r="X308">
        <v>5</v>
      </c>
      <c r="Y308" s="7">
        <f>IFERROR('Cleaned Data'!R308/'Cleaned Data'!L308,0)</f>
        <v>118148.46999999999</v>
      </c>
      <c r="Z308" t="str">
        <f>TEXT(EV_Sales[[#This Row],[Order_Date]],"mmm-yyyy")</f>
        <v>Aug-2025</v>
      </c>
      <c r="AA308">
        <f>MONTH(EV_Sales[[#This Row],[Order_Date]])</f>
        <v>8</v>
      </c>
      <c r="AB308" s="12" t="str">
        <f>"Q"&amp;ROUNDUP(MONTH(EV_Sales[[#This Row],[Order_Date]])/3,0)</f>
        <v>Q3</v>
      </c>
    </row>
    <row r="309" spans="1:28" x14ac:dyDescent="0.3">
      <c r="A309" t="s">
        <v>414</v>
      </c>
      <c r="B309" s="2">
        <v>45782</v>
      </c>
      <c r="C309" t="s">
        <v>44</v>
      </c>
      <c r="D309" t="s">
        <v>51</v>
      </c>
      <c r="E309" t="s">
        <v>24</v>
      </c>
      <c r="F309" t="s">
        <v>41</v>
      </c>
      <c r="G309" t="s">
        <v>67</v>
      </c>
      <c r="H309" t="s">
        <v>27</v>
      </c>
      <c r="I309" t="str">
        <f>IF('Cleaned Data'!H309="Emi","EMI",'Cleaned Data'!H309)</f>
        <v>Finance</v>
      </c>
      <c r="J309" t="s">
        <v>28</v>
      </c>
      <c r="K309" t="s">
        <v>89</v>
      </c>
      <c r="L309">
        <v>1</v>
      </c>
      <c r="M309" s="9">
        <v>118894</v>
      </c>
      <c r="N309" s="4">
        <v>7.4999999999999997E-2</v>
      </c>
      <c r="O309" s="4">
        <f t="shared" si="4"/>
        <v>7.4999999999999997E-2</v>
      </c>
      <c r="P309" s="11">
        <v>118894</v>
      </c>
      <c r="Q309" s="9">
        <v>8917.0499999999993</v>
      </c>
      <c r="R309" s="9">
        <v>109976.95</v>
      </c>
      <c r="S309">
        <v>5</v>
      </c>
      <c r="T309">
        <v>203</v>
      </c>
      <c r="U309">
        <v>4</v>
      </c>
      <c r="V309">
        <v>11</v>
      </c>
      <c r="W309">
        <f>IF('Cleaned Data'!V309&lt;0,"Review",'Cleaned Data'!V309)</f>
        <v>11</v>
      </c>
      <c r="X309">
        <v>3</v>
      </c>
      <c r="Y309" s="7">
        <f>IFERROR('Cleaned Data'!R309/'Cleaned Data'!L309,0)</f>
        <v>109976.95</v>
      </c>
      <c r="Z309" t="str">
        <f>TEXT(EV_Sales[[#This Row],[Order_Date]],"mmm-yyyy")</f>
        <v>May-2025</v>
      </c>
      <c r="AA309">
        <f>MONTH(EV_Sales[[#This Row],[Order_Date]])</f>
        <v>5</v>
      </c>
      <c r="AB309" s="12" t="str">
        <f>"Q"&amp;ROUNDUP(MONTH(EV_Sales[[#This Row],[Order_Date]])/3,0)</f>
        <v>Q2</v>
      </c>
    </row>
    <row r="310" spans="1:28" x14ac:dyDescent="0.3">
      <c r="A310" t="s">
        <v>415</v>
      </c>
      <c r="B310" s="2">
        <v>45874</v>
      </c>
      <c r="C310" t="s">
        <v>60</v>
      </c>
      <c r="D310" t="s">
        <v>61</v>
      </c>
      <c r="E310" t="s">
        <v>46</v>
      </c>
      <c r="F310" t="s">
        <v>52</v>
      </c>
      <c r="G310" t="s">
        <v>56</v>
      </c>
      <c r="H310" t="s">
        <v>27</v>
      </c>
      <c r="I310" t="str">
        <f>IF('Cleaned Data'!H310="Emi","EMI",'Cleaned Data'!H310)</f>
        <v>Finance</v>
      </c>
      <c r="J310" t="s">
        <v>28</v>
      </c>
      <c r="K310" t="s">
        <v>216</v>
      </c>
      <c r="L310">
        <v>1</v>
      </c>
      <c r="M310" s="9">
        <v>121584</v>
      </c>
      <c r="N310" s="4">
        <v>8.1000000000000003E-2</v>
      </c>
      <c r="O310" s="4">
        <f t="shared" si="4"/>
        <v>8.1000000000000003E-2</v>
      </c>
      <c r="P310" s="11">
        <v>121584</v>
      </c>
      <c r="Q310" s="9">
        <v>9848.2999999999993</v>
      </c>
      <c r="R310" s="9">
        <v>111735.7</v>
      </c>
      <c r="S310">
        <v>4</v>
      </c>
      <c r="T310">
        <v>192</v>
      </c>
      <c r="U310">
        <v>3.7</v>
      </c>
      <c r="V310">
        <v>12</v>
      </c>
      <c r="W310">
        <f>IF('Cleaned Data'!V310&lt;0,"Review",'Cleaned Data'!V310)</f>
        <v>12</v>
      </c>
      <c r="X310">
        <v>2</v>
      </c>
      <c r="Y310" s="7">
        <f>IFERROR('Cleaned Data'!R310/'Cleaned Data'!L310,0)</f>
        <v>111735.7</v>
      </c>
      <c r="Z310" t="str">
        <f>TEXT(EV_Sales[[#This Row],[Order_Date]],"mmm-yyyy")</f>
        <v>Aug-2025</v>
      </c>
      <c r="AA310">
        <f>MONTH(EV_Sales[[#This Row],[Order_Date]])</f>
        <v>8</v>
      </c>
      <c r="AB310" s="12" t="str">
        <f>"Q"&amp;ROUNDUP(MONTH(EV_Sales[[#This Row],[Order_Date]])/3,0)</f>
        <v>Q3</v>
      </c>
    </row>
    <row r="311" spans="1:28" x14ac:dyDescent="0.3">
      <c r="A311" t="s">
        <v>416</v>
      </c>
      <c r="B311" s="2">
        <v>45994</v>
      </c>
      <c r="C311" t="s">
        <v>44</v>
      </c>
      <c r="D311" t="s">
        <v>51</v>
      </c>
      <c r="E311" t="s">
        <v>62</v>
      </c>
      <c r="F311" t="s">
        <v>52</v>
      </c>
      <c r="G311" t="s">
        <v>34</v>
      </c>
      <c r="H311" t="s">
        <v>809</v>
      </c>
      <c r="I311" t="str">
        <f>IF('Cleaned Data'!H311="Emi","EMI",'Cleaned Data'!H311)</f>
        <v>EMI</v>
      </c>
      <c r="J311" t="s">
        <v>28</v>
      </c>
      <c r="K311" t="s">
        <v>143</v>
      </c>
      <c r="L311">
        <v>2</v>
      </c>
      <c r="M311" s="9">
        <v>122150</v>
      </c>
      <c r="N311" s="4">
        <v>5.3999999999999999E-2</v>
      </c>
      <c r="O311" s="4">
        <f t="shared" si="4"/>
        <v>5.3999999999999999E-2</v>
      </c>
      <c r="P311" s="11">
        <v>244300</v>
      </c>
      <c r="Q311" s="9">
        <v>13192.2</v>
      </c>
      <c r="R311" s="9">
        <v>231107.8</v>
      </c>
      <c r="S311">
        <v>3</v>
      </c>
      <c r="T311">
        <v>166</v>
      </c>
      <c r="U311">
        <v>4.4000000000000004</v>
      </c>
      <c r="V311">
        <v>14</v>
      </c>
      <c r="W311">
        <f>IF('Cleaned Data'!V311&lt;0,"Review",'Cleaned Data'!V311)</f>
        <v>14</v>
      </c>
      <c r="X311">
        <v>5</v>
      </c>
      <c r="Y311" s="7">
        <f>IFERROR('Cleaned Data'!R311/'Cleaned Data'!L311,0)</f>
        <v>115553.9</v>
      </c>
      <c r="Z311" t="str">
        <f>TEXT(EV_Sales[[#This Row],[Order_Date]],"mmm-yyyy")</f>
        <v>Dec-2025</v>
      </c>
      <c r="AA311">
        <f>MONTH(EV_Sales[[#This Row],[Order_Date]])</f>
        <v>12</v>
      </c>
      <c r="AB311" s="12" t="str">
        <f>"Q"&amp;ROUNDUP(MONTH(EV_Sales[[#This Row],[Order_Date]])/3,0)</f>
        <v>Q4</v>
      </c>
    </row>
    <row r="312" spans="1:28" x14ac:dyDescent="0.3">
      <c r="A312" t="s">
        <v>417</v>
      </c>
      <c r="B312" s="2">
        <v>45902</v>
      </c>
      <c r="C312" t="s">
        <v>39</v>
      </c>
      <c r="D312" t="s">
        <v>40</v>
      </c>
      <c r="E312" t="s">
        <v>46</v>
      </c>
      <c r="F312" t="s">
        <v>70</v>
      </c>
      <c r="G312" t="s">
        <v>67</v>
      </c>
      <c r="H312" t="s">
        <v>27</v>
      </c>
      <c r="I312" t="str">
        <f>IF('Cleaned Data'!H312="Emi","EMI",'Cleaned Data'!H312)</f>
        <v>Finance</v>
      </c>
      <c r="J312" t="s">
        <v>57</v>
      </c>
      <c r="K312" t="s">
        <v>109</v>
      </c>
      <c r="L312">
        <v>2</v>
      </c>
      <c r="M312" s="9">
        <v>123740</v>
      </c>
      <c r="N312" s="4">
        <v>4.4999999999999998E-2</v>
      </c>
      <c r="O312" s="4">
        <f t="shared" si="4"/>
        <v>4.4999999999999998E-2</v>
      </c>
      <c r="P312" s="11">
        <v>247480</v>
      </c>
      <c r="Q312" s="9">
        <v>11136.6</v>
      </c>
      <c r="R312" s="9">
        <v>236343.4</v>
      </c>
      <c r="S312">
        <v>2</v>
      </c>
      <c r="T312">
        <v>160</v>
      </c>
      <c r="U312">
        <v>4.2</v>
      </c>
      <c r="V312">
        <v>12</v>
      </c>
      <c r="W312">
        <f>IF('Cleaned Data'!V312&lt;0,"Review",'Cleaned Data'!V312)</f>
        <v>12</v>
      </c>
      <c r="X312">
        <v>5</v>
      </c>
      <c r="Y312" s="7">
        <f>IFERROR('Cleaned Data'!R312/'Cleaned Data'!L312,0)</f>
        <v>118171.7</v>
      </c>
      <c r="Z312" t="str">
        <f>TEXT(EV_Sales[[#This Row],[Order_Date]],"mmm-yyyy")</f>
        <v>Sep-2025</v>
      </c>
      <c r="AA312">
        <f>MONTH(EV_Sales[[#This Row],[Order_Date]])</f>
        <v>9</v>
      </c>
      <c r="AB312" s="12" t="str">
        <f>"Q"&amp;ROUNDUP(MONTH(EV_Sales[[#This Row],[Order_Date]])/3,0)</f>
        <v>Q3</v>
      </c>
    </row>
    <row r="313" spans="1:28" x14ac:dyDescent="0.3">
      <c r="A313" t="s">
        <v>418</v>
      </c>
      <c r="B313" s="2">
        <v>45982</v>
      </c>
      <c r="C313" t="s">
        <v>99</v>
      </c>
      <c r="D313" t="s">
        <v>141</v>
      </c>
      <c r="E313" t="s">
        <v>24</v>
      </c>
      <c r="F313" t="s">
        <v>33</v>
      </c>
      <c r="G313" t="s">
        <v>34</v>
      </c>
      <c r="H313" t="s">
        <v>27</v>
      </c>
      <c r="I313" t="str">
        <f>IF('Cleaned Data'!H313="Emi","EMI",'Cleaned Data'!H313)</f>
        <v>Finance</v>
      </c>
      <c r="J313" t="s">
        <v>63</v>
      </c>
      <c r="K313" t="s">
        <v>64</v>
      </c>
      <c r="L313">
        <v>1</v>
      </c>
      <c r="M313" s="9">
        <v>136309</v>
      </c>
      <c r="N313" s="4">
        <v>2.9000000000000001E-2</v>
      </c>
      <c r="O313" s="4">
        <f t="shared" si="4"/>
        <v>2.9000000000000001E-2</v>
      </c>
      <c r="P313" s="11">
        <v>136309</v>
      </c>
      <c r="Q313" s="9">
        <v>3952.96</v>
      </c>
      <c r="R313" s="9">
        <v>132356.04</v>
      </c>
      <c r="S313">
        <v>3</v>
      </c>
      <c r="T313">
        <v>163</v>
      </c>
      <c r="U313">
        <v>4.2</v>
      </c>
      <c r="V313">
        <v>14</v>
      </c>
      <c r="W313">
        <f>IF('Cleaned Data'!V313&lt;0,"Review",'Cleaned Data'!V313)</f>
        <v>14</v>
      </c>
      <c r="X313">
        <v>3</v>
      </c>
      <c r="Y313" s="7">
        <f>IFERROR('Cleaned Data'!R313/'Cleaned Data'!L313,0)</f>
        <v>132356.04</v>
      </c>
      <c r="Z313" t="str">
        <f>TEXT(EV_Sales[[#This Row],[Order_Date]],"mmm-yyyy")</f>
        <v>Nov-2025</v>
      </c>
      <c r="AA313">
        <f>MONTH(EV_Sales[[#This Row],[Order_Date]])</f>
        <v>11</v>
      </c>
      <c r="AB313" s="12" t="str">
        <f>"Q"&amp;ROUNDUP(MONTH(EV_Sales[[#This Row],[Order_Date]])/3,0)</f>
        <v>Q4</v>
      </c>
    </row>
    <row r="314" spans="1:28" x14ac:dyDescent="0.3">
      <c r="A314" t="s">
        <v>419</v>
      </c>
      <c r="B314" s="2">
        <v>45768</v>
      </c>
      <c r="C314" t="s">
        <v>22</v>
      </c>
      <c r="D314" t="s">
        <v>23</v>
      </c>
      <c r="E314" t="s">
        <v>46</v>
      </c>
      <c r="F314" t="s">
        <v>41</v>
      </c>
      <c r="G314" t="s">
        <v>67</v>
      </c>
      <c r="H314" t="s">
        <v>53</v>
      </c>
      <c r="I314" t="str">
        <f>IF('Cleaned Data'!H314="Emi","EMI",'Cleaned Data'!H314)</f>
        <v>Cash</v>
      </c>
      <c r="J314" t="s">
        <v>36</v>
      </c>
      <c r="K314" t="s">
        <v>123</v>
      </c>
      <c r="L314">
        <v>1</v>
      </c>
      <c r="M314" s="9">
        <v>121015</v>
      </c>
      <c r="N314" s="4">
        <v>0.106</v>
      </c>
      <c r="O314" s="4">
        <f t="shared" si="4"/>
        <v>0.106</v>
      </c>
      <c r="P314" s="11">
        <v>121015</v>
      </c>
      <c r="Q314" s="9">
        <v>12827.59</v>
      </c>
      <c r="R314" s="9">
        <v>108187.41</v>
      </c>
      <c r="S314">
        <v>4</v>
      </c>
      <c r="T314">
        <v>170</v>
      </c>
      <c r="U314">
        <v>4.7</v>
      </c>
      <c r="V314">
        <v>13</v>
      </c>
      <c r="W314">
        <f>IF('Cleaned Data'!V314&lt;0,"Review",'Cleaned Data'!V314)</f>
        <v>13</v>
      </c>
      <c r="X314">
        <v>5</v>
      </c>
      <c r="Y314" s="7">
        <f>IFERROR('Cleaned Data'!R314/'Cleaned Data'!L314,0)</f>
        <v>108187.41</v>
      </c>
      <c r="Z314" t="str">
        <f>TEXT(EV_Sales[[#This Row],[Order_Date]],"mmm-yyyy")</f>
        <v>Apr-2025</v>
      </c>
      <c r="AA314">
        <f>MONTH(EV_Sales[[#This Row],[Order_Date]])</f>
        <v>4</v>
      </c>
      <c r="AB314" s="12" t="str">
        <f>"Q"&amp;ROUNDUP(MONTH(EV_Sales[[#This Row],[Order_Date]])/3,0)</f>
        <v>Q2</v>
      </c>
    </row>
    <row r="315" spans="1:28" x14ac:dyDescent="0.3">
      <c r="A315" t="s">
        <v>420</v>
      </c>
      <c r="B315" s="2">
        <v>45759</v>
      </c>
      <c r="C315" t="s">
        <v>87</v>
      </c>
      <c r="D315" t="s">
        <v>130</v>
      </c>
      <c r="E315" t="s">
        <v>62</v>
      </c>
      <c r="F315" t="s">
        <v>33</v>
      </c>
      <c r="G315" t="s">
        <v>34</v>
      </c>
      <c r="H315" t="s">
        <v>27</v>
      </c>
      <c r="I315" t="str">
        <f>IF('Cleaned Data'!H315="Emi","EMI",'Cleaned Data'!H315)</f>
        <v>Finance</v>
      </c>
      <c r="J315" t="s">
        <v>48</v>
      </c>
      <c r="K315" t="s">
        <v>89</v>
      </c>
      <c r="L315">
        <v>1</v>
      </c>
      <c r="M315" s="9">
        <v>115417</v>
      </c>
      <c r="N315" s="4">
        <v>8.6999999999999994E-2</v>
      </c>
      <c r="O315" s="4">
        <f t="shared" si="4"/>
        <v>8.6999999999999994E-2</v>
      </c>
      <c r="P315" s="11">
        <v>115417</v>
      </c>
      <c r="Q315" s="9">
        <v>10041.280000000001</v>
      </c>
      <c r="R315" s="9">
        <v>105375.72</v>
      </c>
      <c r="S315">
        <v>4</v>
      </c>
      <c r="T315">
        <v>181</v>
      </c>
      <c r="U315">
        <v>3.2</v>
      </c>
      <c r="V315">
        <v>14</v>
      </c>
      <c r="W315">
        <f>IF('Cleaned Data'!V315&lt;0,"Review",'Cleaned Data'!V315)</f>
        <v>14</v>
      </c>
      <c r="X315">
        <v>3</v>
      </c>
      <c r="Y315" s="7">
        <f>IFERROR('Cleaned Data'!R315/'Cleaned Data'!L315,0)</f>
        <v>105375.72</v>
      </c>
      <c r="Z315" t="str">
        <f>TEXT(EV_Sales[[#This Row],[Order_Date]],"mmm-yyyy")</f>
        <v>Apr-2025</v>
      </c>
      <c r="AA315">
        <f>MONTH(EV_Sales[[#This Row],[Order_Date]])</f>
        <v>4</v>
      </c>
      <c r="AB315" s="12" t="str">
        <f>"Q"&amp;ROUNDUP(MONTH(EV_Sales[[#This Row],[Order_Date]])/3,0)</f>
        <v>Q2</v>
      </c>
    </row>
    <row r="316" spans="1:28" x14ac:dyDescent="0.3">
      <c r="A316" t="s">
        <v>421</v>
      </c>
      <c r="B316" s="2">
        <v>45956</v>
      </c>
      <c r="C316" t="s">
        <v>39</v>
      </c>
      <c r="D316" t="s">
        <v>154</v>
      </c>
      <c r="E316" t="s">
        <v>62</v>
      </c>
      <c r="F316" t="s">
        <v>101</v>
      </c>
      <c r="G316" t="s">
        <v>26</v>
      </c>
      <c r="H316" t="s">
        <v>809</v>
      </c>
      <c r="I316" t="str">
        <f>IF('Cleaned Data'!H316="Emi","EMI",'Cleaned Data'!H316)</f>
        <v>EMI</v>
      </c>
      <c r="J316" t="s">
        <v>63</v>
      </c>
      <c r="K316" t="s">
        <v>216</v>
      </c>
      <c r="L316">
        <v>1</v>
      </c>
      <c r="M316" s="9">
        <v>188642</v>
      </c>
      <c r="N316" s="4">
        <v>8.5000000000000006E-2</v>
      </c>
      <c r="O316" s="4">
        <f t="shared" si="4"/>
        <v>8.5000000000000006E-2</v>
      </c>
      <c r="P316" s="11">
        <v>188642</v>
      </c>
      <c r="Q316" s="9">
        <v>16034.57</v>
      </c>
      <c r="R316" s="9">
        <v>172607.43</v>
      </c>
      <c r="S316">
        <v>5</v>
      </c>
      <c r="T316">
        <v>199</v>
      </c>
      <c r="U316">
        <v>4.3</v>
      </c>
      <c r="V316">
        <v>8</v>
      </c>
      <c r="W316">
        <f>IF('Cleaned Data'!V316&lt;0,"Review",'Cleaned Data'!V316)</f>
        <v>8</v>
      </c>
      <c r="X316">
        <v>3</v>
      </c>
      <c r="Y316" s="7">
        <f>IFERROR('Cleaned Data'!R316/'Cleaned Data'!L316,0)</f>
        <v>172607.43</v>
      </c>
      <c r="Z316" t="str">
        <f>TEXT(EV_Sales[[#This Row],[Order_Date]],"mmm-yyyy")</f>
        <v>Oct-2025</v>
      </c>
      <c r="AA316">
        <f>MONTH(EV_Sales[[#This Row],[Order_Date]])</f>
        <v>10</v>
      </c>
      <c r="AB316" s="12" t="str">
        <f>"Q"&amp;ROUNDUP(MONTH(EV_Sales[[#This Row],[Order_Date]])/3,0)</f>
        <v>Q4</v>
      </c>
    </row>
    <row r="317" spans="1:28" x14ac:dyDescent="0.3">
      <c r="A317" t="s">
        <v>422</v>
      </c>
      <c r="B317" s="2">
        <v>45932</v>
      </c>
      <c r="C317" t="s">
        <v>99</v>
      </c>
      <c r="D317" t="s">
        <v>121</v>
      </c>
      <c r="E317" t="s">
        <v>62</v>
      </c>
      <c r="F317" t="s">
        <v>66</v>
      </c>
      <c r="G317" t="s">
        <v>67</v>
      </c>
      <c r="H317" t="s">
        <v>53</v>
      </c>
      <c r="I317" t="str">
        <f>IF('Cleaned Data'!H317="Emi","EMI",'Cleaned Data'!H317)</f>
        <v>Cash</v>
      </c>
      <c r="J317" t="s">
        <v>36</v>
      </c>
      <c r="K317" t="s">
        <v>157</v>
      </c>
      <c r="L317">
        <v>2</v>
      </c>
      <c r="M317" s="9">
        <v>102408</v>
      </c>
      <c r="N317" s="4">
        <v>5.0999999999999997E-2</v>
      </c>
      <c r="O317" s="4">
        <f t="shared" si="4"/>
        <v>5.0999999999999997E-2</v>
      </c>
      <c r="P317" s="11">
        <v>204816</v>
      </c>
      <c r="Q317" s="9">
        <v>10445.620000000001</v>
      </c>
      <c r="R317" s="9">
        <v>194370.38</v>
      </c>
      <c r="S317">
        <v>4</v>
      </c>
      <c r="T317">
        <v>201</v>
      </c>
      <c r="U317">
        <v>4.4000000000000004</v>
      </c>
      <c r="V317">
        <v>9</v>
      </c>
      <c r="W317">
        <f>IF('Cleaned Data'!V317&lt;0,"Review",'Cleaned Data'!V317)</f>
        <v>9</v>
      </c>
      <c r="X317">
        <v>5</v>
      </c>
      <c r="Y317" s="7">
        <f>IFERROR('Cleaned Data'!R317/'Cleaned Data'!L317,0)</f>
        <v>97185.19</v>
      </c>
      <c r="Z317" t="str">
        <f>TEXT(EV_Sales[[#This Row],[Order_Date]],"mmm-yyyy")</f>
        <v>Oct-2025</v>
      </c>
      <c r="AA317">
        <f>MONTH(EV_Sales[[#This Row],[Order_Date]])</f>
        <v>10</v>
      </c>
      <c r="AB317" s="12" t="str">
        <f>"Q"&amp;ROUNDUP(MONTH(EV_Sales[[#This Row],[Order_Date]])/3,0)</f>
        <v>Q4</v>
      </c>
    </row>
    <row r="318" spans="1:28" x14ac:dyDescent="0.3">
      <c r="A318" t="s">
        <v>423</v>
      </c>
      <c r="B318" s="2">
        <v>45797</v>
      </c>
      <c r="C318" t="s">
        <v>87</v>
      </c>
      <c r="D318" t="s">
        <v>88</v>
      </c>
      <c r="E318" t="s">
        <v>46</v>
      </c>
      <c r="F318" t="s">
        <v>66</v>
      </c>
      <c r="G318" t="s">
        <v>26</v>
      </c>
      <c r="H318" t="s">
        <v>27</v>
      </c>
      <c r="I318" t="str">
        <f>IF('Cleaned Data'!H318="Emi","EMI",'Cleaned Data'!H318)</f>
        <v>Finance</v>
      </c>
      <c r="J318" t="s">
        <v>63</v>
      </c>
      <c r="K318" t="s">
        <v>54</v>
      </c>
      <c r="L318">
        <v>1</v>
      </c>
      <c r="M318" s="9">
        <v>160138</v>
      </c>
      <c r="N318" s="4">
        <v>2.1999999999999999E-2</v>
      </c>
      <c r="O318" s="4">
        <f t="shared" si="4"/>
        <v>2.1999999999999999E-2</v>
      </c>
      <c r="P318" s="11">
        <v>160138</v>
      </c>
      <c r="Q318" s="9">
        <v>3523.04</v>
      </c>
      <c r="R318" s="9">
        <v>156614.96</v>
      </c>
      <c r="S318">
        <v>3</v>
      </c>
      <c r="T318">
        <v>151</v>
      </c>
      <c r="U318">
        <v>4.7</v>
      </c>
      <c r="V318">
        <v>7</v>
      </c>
      <c r="W318">
        <f>IF('Cleaned Data'!V318&lt;0,"Review",'Cleaned Data'!V318)</f>
        <v>7</v>
      </c>
      <c r="X318">
        <v>5</v>
      </c>
      <c r="Y318" s="7">
        <f>IFERROR('Cleaned Data'!R318/'Cleaned Data'!L318,0)</f>
        <v>156614.96</v>
      </c>
      <c r="Z318" t="str">
        <f>TEXT(EV_Sales[[#This Row],[Order_Date]],"mmm-yyyy")</f>
        <v>May-2025</v>
      </c>
      <c r="AA318">
        <f>MONTH(EV_Sales[[#This Row],[Order_Date]])</f>
        <v>5</v>
      </c>
      <c r="AB318" s="12" t="str">
        <f>"Q"&amp;ROUNDUP(MONTH(EV_Sales[[#This Row],[Order_Date]])/3,0)</f>
        <v>Q2</v>
      </c>
    </row>
    <row r="319" spans="1:28" x14ac:dyDescent="0.3">
      <c r="A319" t="s">
        <v>424</v>
      </c>
      <c r="B319" s="2">
        <v>45872</v>
      </c>
      <c r="C319" t="s">
        <v>87</v>
      </c>
      <c r="D319" t="s">
        <v>130</v>
      </c>
      <c r="E319" t="s">
        <v>24</v>
      </c>
      <c r="F319" t="s">
        <v>33</v>
      </c>
      <c r="G319" t="s">
        <v>26</v>
      </c>
      <c r="H319" t="s">
        <v>53</v>
      </c>
      <c r="I319" t="str">
        <f>IF('Cleaned Data'!H319="Emi","EMI",'Cleaned Data'!H319)</f>
        <v>Cash</v>
      </c>
      <c r="J319" t="s">
        <v>63</v>
      </c>
      <c r="K319" t="s">
        <v>89</v>
      </c>
      <c r="L319">
        <v>3</v>
      </c>
      <c r="M319" s="9">
        <v>108296</v>
      </c>
      <c r="N319" s="4">
        <v>7.8E-2</v>
      </c>
      <c r="O319" s="4">
        <f t="shared" si="4"/>
        <v>7.8E-2</v>
      </c>
      <c r="P319" s="11">
        <v>324888</v>
      </c>
      <c r="Q319" s="9">
        <v>25341.26</v>
      </c>
      <c r="R319" s="9">
        <v>299546.74</v>
      </c>
      <c r="S319">
        <v>3</v>
      </c>
      <c r="T319">
        <v>162</v>
      </c>
      <c r="U319">
        <v>4.7</v>
      </c>
      <c r="V319">
        <v>2</v>
      </c>
      <c r="W319">
        <f>IF('Cleaned Data'!V319&lt;0,"Review",'Cleaned Data'!V319)</f>
        <v>2</v>
      </c>
      <c r="X319">
        <v>3</v>
      </c>
      <c r="Y319" s="7">
        <f>IFERROR('Cleaned Data'!R319/'Cleaned Data'!L319,0)</f>
        <v>99848.91333333333</v>
      </c>
      <c r="Z319" t="str">
        <f>TEXT(EV_Sales[[#This Row],[Order_Date]],"mmm-yyyy")</f>
        <v>Aug-2025</v>
      </c>
      <c r="AA319">
        <f>MONTH(EV_Sales[[#This Row],[Order_Date]])</f>
        <v>8</v>
      </c>
      <c r="AB319" s="12" t="str">
        <f>"Q"&amp;ROUNDUP(MONTH(EV_Sales[[#This Row],[Order_Date]])/3,0)</f>
        <v>Q3</v>
      </c>
    </row>
    <row r="320" spans="1:28" x14ac:dyDescent="0.3">
      <c r="A320" t="s">
        <v>425</v>
      </c>
      <c r="B320" s="2">
        <v>45750</v>
      </c>
      <c r="C320" t="s">
        <v>87</v>
      </c>
      <c r="D320" t="s">
        <v>88</v>
      </c>
      <c r="E320" t="s">
        <v>24</v>
      </c>
      <c r="F320" t="s">
        <v>66</v>
      </c>
      <c r="G320" t="s">
        <v>67</v>
      </c>
      <c r="H320" t="s">
        <v>27</v>
      </c>
      <c r="I320" t="str">
        <f>IF('Cleaned Data'!H320="Emi","EMI",'Cleaned Data'!H320)</f>
        <v>Finance</v>
      </c>
      <c r="J320" t="s">
        <v>28</v>
      </c>
      <c r="K320" t="s">
        <v>92</v>
      </c>
      <c r="L320">
        <v>4</v>
      </c>
      <c r="M320" s="9">
        <v>150493</v>
      </c>
      <c r="N320" s="4">
        <v>0.11899999999999999</v>
      </c>
      <c r="O320" s="4">
        <f t="shared" si="4"/>
        <v>0.11899999999999999</v>
      </c>
      <c r="P320" s="11">
        <v>601972</v>
      </c>
      <c r="Q320" s="9">
        <v>71634.67</v>
      </c>
      <c r="R320" s="9">
        <v>530337.32999999996</v>
      </c>
      <c r="S320">
        <v>2</v>
      </c>
      <c r="T320">
        <v>164</v>
      </c>
      <c r="U320">
        <v>4.8</v>
      </c>
      <c r="V320">
        <v>7</v>
      </c>
      <c r="W320">
        <f>IF('Cleaned Data'!V320&lt;0,"Review",'Cleaned Data'!V320)</f>
        <v>7</v>
      </c>
      <c r="X320">
        <v>3</v>
      </c>
      <c r="Y320" s="7">
        <f>IFERROR('Cleaned Data'!R320/'Cleaned Data'!L320,0)</f>
        <v>132584.33249999999</v>
      </c>
      <c r="Z320" t="str">
        <f>TEXT(EV_Sales[[#This Row],[Order_Date]],"mmm-yyyy")</f>
        <v>Apr-2025</v>
      </c>
      <c r="AA320">
        <f>MONTH(EV_Sales[[#This Row],[Order_Date]])</f>
        <v>4</v>
      </c>
      <c r="AB320" s="12" t="str">
        <f>"Q"&amp;ROUNDUP(MONTH(EV_Sales[[#This Row],[Order_Date]])/3,0)</f>
        <v>Q2</v>
      </c>
    </row>
    <row r="321" spans="1:28" x14ac:dyDescent="0.3">
      <c r="A321" t="s">
        <v>426</v>
      </c>
      <c r="B321" s="2">
        <v>45826</v>
      </c>
      <c r="C321" t="s">
        <v>99</v>
      </c>
      <c r="D321" t="s">
        <v>141</v>
      </c>
      <c r="E321" t="s">
        <v>24</v>
      </c>
      <c r="F321" t="s">
        <v>41</v>
      </c>
      <c r="G321" t="s">
        <v>67</v>
      </c>
      <c r="H321" t="s">
        <v>809</v>
      </c>
      <c r="I321" t="str">
        <f>IF('Cleaned Data'!H321="Emi","EMI",'Cleaned Data'!H321)</f>
        <v>EMI</v>
      </c>
      <c r="J321" t="s">
        <v>28</v>
      </c>
      <c r="K321" t="s">
        <v>157</v>
      </c>
      <c r="L321">
        <v>1</v>
      </c>
      <c r="M321" s="9">
        <v>136744</v>
      </c>
      <c r="N321" s="4">
        <v>7.2999999999999995E-2</v>
      </c>
      <c r="O321" s="4">
        <f t="shared" si="4"/>
        <v>7.2999999999999995E-2</v>
      </c>
      <c r="P321" s="11">
        <v>136744</v>
      </c>
      <c r="Q321" s="9">
        <v>9982.31</v>
      </c>
      <c r="R321" s="9">
        <v>126761.69</v>
      </c>
      <c r="S321">
        <v>2</v>
      </c>
      <c r="T321">
        <v>141</v>
      </c>
      <c r="U321">
        <v>4.4000000000000004</v>
      </c>
      <c r="V321">
        <v>13</v>
      </c>
      <c r="W321">
        <f>IF('Cleaned Data'!V321&lt;0,"Review",'Cleaned Data'!V321)</f>
        <v>13</v>
      </c>
      <c r="X321">
        <v>2</v>
      </c>
      <c r="Y321" s="7">
        <f>IFERROR('Cleaned Data'!R321/'Cleaned Data'!L321,0)</f>
        <v>126761.69</v>
      </c>
      <c r="Z321" t="str">
        <f>TEXT(EV_Sales[[#This Row],[Order_Date]],"mmm-yyyy")</f>
        <v>Jun-2025</v>
      </c>
      <c r="AA321">
        <f>MONTH(EV_Sales[[#This Row],[Order_Date]])</f>
        <v>6</v>
      </c>
      <c r="AB321" s="12" t="str">
        <f>"Q"&amp;ROUNDUP(MONTH(EV_Sales[[#This Row],[Order_Date]])/3,0)</f>
        <v>Q2</v>
      </c>
    </row>
    <row r="322" spans="1:28" x14ac:dyDescent="0.3">
      <c r="A322" t="s">
        <v>427</v>
      </c>
      <c r="B322" s="2">
        <v>45728</v>
      </c>
      <c r="C322" t="s">
        <v>44</v>
      </c>
      <c r="D322" t="s">
        <v>45</v>
      </c>
      <c r="E322" t="s">
        <v>62</v>
      </c>
      <c r="F322" t="s">
        <v>70</v>
      </c>
      <c r="G322" t="s">
        <v>26</v>
      </c>
      <c r="H322" t="s">
        <v>53</v>
      </c>
      <c r="I322" t="str">
        <f>IF('Cleaned Data'!H322="Emi","EMI",'Cleaned Data'!H322)</f>
        <v>Cash</v>
      </c>
      <c r="J322" t="s">
        <v>63</v>
      </c>
      <c r="K322" t="s">
        <v>143</v>
      </c>
      <c r="L322">
        <v>2</v>
      </c>
      <c r="M322" s="9">
        <v>159310</v>
      </c>
      <c r="N322" s="4">
        <v>7.8E-2</v>
      </c>
      <c r="O322" s="4">
        <f t="shared" ref="O322:O385" si="5">IF(TRIM(N322&amp;"")="","missing",N322)</f>
        <v>7.8E-2</v>
      </c>
      <c r="P322" s="11">
        <v>318620</v>
      </c>
      <c r="Q322" s="9">
        <v>24852.36</v>
      </c>
      <c r="R322" s="9">
        <v>293767.64</v>
      </c>
      <c r="S322">
        <v>3</v>
      </c>
      <c r="T322">
        <v>166</v>
      </c>
      <c r="U322">
        <v>4.7</v>
      </c>
      <c r="V322">
        <v>12</v>
      </c>
      <c r="W322">
        <f>IF('Cleaned Data'!V322&lt;0,"Review",'Cleaned Data'!V322)</f>
        <v>12</v>
      </c>
      <c r="X322">
        <v>5</v>
      </c>
      <c r="Y322" s="7">
        <f>IFERROR('Cleaned Data'!R322/'Cleaned Data'!L322,0)</f>
        <v>146883.82</v>
      </c>
      <c r="Z322" t="str">
        <f>TEXT(EV_Sales[[#This Row],[Order_Date]],"mmm-yyyy")</f>
        <v>Mar-2025</v>
      </c>
      <c r="AA322">
        <f>MONTH(EV_Sales[[#This Row],[Order_Date]])</f>
        <v>3</v>
      </c>
      <c r="AB322" s="12" t="str">
        <f>"Q"&amp;ROUNDUP(MONTH(EV_Sales[[#This Row],[Order_Date]])/3,0)</f>
        <v>Q1</v>
      </c>
    </row>
    <row r="323" spans="1:28" x14ac:dyDescent="0.3">
      <c r="A323" t="s">
        <v>428</v>
      </c>
      <c r="B323" s="2">
        <v>45688</v>
      </c>
      <c r="C323" t="s">
        <v>39</v>
      </c>
      <c r="D323" t="s">
        <v>40</v>
      </c>
      <c r="E323" t="s">
        <v>24</v>
      </c>
      <c r="F323" t="s">
        <v>41</v>
      </c>
      <c r="G323" t="s">
        <v>26</v>
      </c>
      <c r="H323" t="s">
        <v>27</v>
      </c>
      <c r="I323" t="str">
        <f>IF('Cleaned Data'!H323="Emi","EMI",'Cleaned Data'!H323)</f>
        <v>Finance</v>
      </c>
      <c r="J323" t="s">
        <v>94</v>
      </c>
      <c r="K323" t="s">
        <v>42</v>
      </c>
      <c r="L323">
        <v>2</v>
      </c>
      <c r="M323" s="9">
        <v>118910</v>
      </c>
      <c r="N323" s="4">
        <v>0.114</v>
      </c>
      <c r="O323" s="4">
        <f t="shared" si="5"/>
        <v>0.114</v>
      </c>
      <c r="P323" s="11">
        <v>237820</v>
      </c>
      <c r="Q323" s="9">
        <v>27111.48</v>
      </c>
      <c r="R323" s="9">
        <v>210708.52</v>
      </c>
      <c r="S323">
        <v>4</v>
      </c>
      <c r="T323">
        <v>196</v>
      </c>
      <c r="U323">
        <v>4.2</v>
      </c>
      <c r="V323">
        <v>7</v>
      </c>
      <c r="W323">
        <f>IF('Cleaned Data'!V323&lt;0,"Review",'Cleaned Data'!V323)</f>
        <v>7</v>
      </c>
      <c r="X323">
        <v>5</v>
      </c>
      <c r="Y323" s="7">
        <f>IFERROR('Cleaned Data'!R323/'Cleaned Data'!L323,0)</f>
        <v>105354.26</v>
      </c>
      <c r="Z323" t="str">
        <f>TEXT(EV_Sales[[#This Row],[Order_Date]],"mmm-yyyy")</f>
        <v>Jan-2025</v>
      </c>
      <c r="AA323">
        <f>MONTH(EV_Sales[[#This Row],[Order_Date]])</f>
        <v>1</v>
      </c>
      <c r="AB323" s="12" t="str">
        <f>"Q"&amp;ROUNDUP(MONTH(EV_Sales[[#This Row],[Order_Date]])/3,0)</f>
        <v>Q1</v>
      </c>
    </row>
    <row r="324" spans="1:28" x14ac:dyDescent="0.3">
      <c r="A324" t="s">
        <v>429</v>
      </c>
      <c r="B324" s="2">
        <v>46003</v>
      </c>
      <c r="C324" t="s">
        <v>60</v>
      </c>
      <c r="D324" t="s">
        <v>69</v>
      </c>
      <c r="E324" t="s">
        <v>46</v>
      </c>
      <c r="F324" t="s">
        <v>101</v>
      </c>
      <c r="G324" t="s">
        <v>67</v>
      </c>
      <c r="H324" t="s">
        <v>27</v>
      </c>
      <c r="I324" t="str">
        <f>IF('Cleaned Data'!H324="Emi","EMI",'Cleaned Data'!H324)</f>
        <v>Finance</v>
      </c>
      <c r="J324" t="s">
        <v>94</v>
      </c>
      <c r="K324" t="s">
        <v>175</v>
      </c>
      <c r="L324">
        <v>5</v>
      </c>
      <c r="M324" s="9">
        <v>101304</v>
      </c>
      <c r="N324" s="4">
        <v>9.1999999999999998E-2</v>
      </c>
      <c r="O324" s="4">
        <f t="shared" si="5"/>
        <v>9.1999999999999998E-2</v>
      </c>
      <c r="P324" s="11">
        <v>506520</v>
      </c>
      <c r="Q324" s="9">
        <v>46599.839999999997</v>
      </c>
      <c r="R324" s="9">
        <v>459920.16</v>
      </c>
      <c r="S324">
        <v>2</v>
      </c>
      <c r="T324">
        <v>151</v>
      </c>
      <c r="U324">
        <v>3</v>
      </c>
      <c r="V324">
        <v>6</v>
      </c>
      <c r="W324">
        <f>IF('Cleaned Data'!V324&lt;0,"Review",'Cleaned Data'!V324)</f>
        <v>6</v>
      </c>
      <c r="X324">
        <v>3</v>
      </c>
      <c r="Y324" s="7">
        <f>IFERROR('Cleaned Data'!R324/'Cleaned Data'!L324,0)</f>
        <v>91984.031999999992</v>
      </c>
      <c r="Z324" t="str">
        <f>TEXT(EV_Sales[[#This Row],[Order_Date]],"mmm-yyyy")</f>
        <v>Dec-2025</v>
      </c>
      <c r="AA324">
        <f>MONTH(EV_Sales[[#This Row],[Order_Date]])</f>
        <v>12</v>
      </c>
      <c r="AB324" s="12" t="str">
        <f>"Q"&amp;ROUNDUP(MONTH(EV_Sales[[#This Row],[Order_Date]])/3,0)</f>
        <v>Q4</v>
      </c>
    </row>
    <row r="325" spans="1:28" x14ac:dyDescent="0.3">
      <c r="A325" t="s">
        <v>430</v>
      </c>
      <c r="B325" s="2">
        <v>45812</v>
      </c>
      <c r="C325" t="s">
        <v>87</v>
      </c>
      <c r="D325" t="s">
        <v>88</v>
      </c>
      <c r="E325" t="s">
        <v>46</v>
      </c>
      <c r="F325" t="s">
        <v>80</v>
      </c>
      <c r="G325" t="s">
        <v>26</v>
      </c>
      <c r="H325" t="s">
        <v>809</v>
      </c>
      <c r="I325" t="str">
        <f>IF('Cleaned Data'!H325="Emi","EMI",'Cleaned Data'!H325)</f>
        <v>EMI</v>
      </c>
      <c r="J325" t="s">
        <v>63</v>
      </c>
      <c r="K325" t="s">
        <v>212</v>
      </c>
      <c r="L325">
        <v>1</v>
      </c>
      <c r="M325" s="9">
        <v>159351</v>
      </c>
      <c r="N325" s="4">
        <v>2.1000000000000001E-2</v>
      </c>
      <c r="O325" s="4">
        <f t="shared" si="5"/>
        <v>2.1000000000000001E-2</v>
      </c>
      <c r="P325" s="11">
        <v>159351</v>
      </c>
      <c r="Q325" s="9">
        <v>3346.37</v>
      </c>
      <c r="R325" s="9">
        <v>156004.63</v>
      </c>
      <c r="S325">
        <v>3</v>
      </c>
      <c r="T325">
        <v>140</v>
      </c>
      <c r="U325">
        <v>4.5</v>
      </c>
      <c r="V325">
        <v>3</v>
      </c>
      <c r="W325">
        <f>IF('Cleaned Data'!V325&lt;0,"Review",'Cleaned Data'!V325)</f>
        <v>3</v>
      </c>
      <c r="X325">
        <v>5</v>
      </c>
      <c r="Y325" s="7">
        <f>IFERROR('Cleaned Data'!R325/'Cleaned Data'!L325,0)</f>
        <v>156004.63</v>
      </c>
      <c r="Z325" t="str">
        <f>TEXT(EV_Sales[[#This Row],[Order_Date]],"mmm-yyyy")</f>
        <v>Jun-2025</v>
      </c>
      <c r="AA325">
        <f>MONTH(EV_Sales[[#This Row],[Order_Date]])</f>
        <v>6</v>
      </c>
      <c r="AB325" s="12" t="str">
        <f>"Q"&amp;ROUNDUP(MONTH(EV_Sales[[#This Row],[Order_Date]])/3,0)</f>
        <v>Q2</v>
      </c>
    </row>
    <row r="326" spans="1:28" x14ac:dyDescent="0.3">
      <c r="A326" t="s">
        <v>431</v>
      </c>
      <c r="B326" s="2">
        <v>45843</v>
      </c>
      <c r="C326" t="s">
        <v>44</v>
      </c>
      <c r="D326" t="s">
        <v>51</v>
      </c>
      <c r="E326" t="s">
        <v>24</v>
      </c>
      <c r="F326" t="s">
        <v>80</v>
      </c>
      <c r="G326" t="s">
        <v>26</v>
      </c>
      <c r="H326" t="s">
        <v>53</v>
      </c>
      <c r="I326" t="str">
        <f>IF('Cleaned Data'!H326="Emi","EMI",'Cleaned Data'!H326)</f>
        <v>Cash</v>
      </c>
      <c r="J326" t="s">
        <v>57</v>
      </c>
      <c r="K326" t="s">
        <v>95</v>
      </c>
      <c r="L326">
        <v>1</v>
      </c>
      <c r="M326" s="9">
        <v>113612</v>
      </c>
      <c r="N326" s="4">
        <v>0.10199999999999999</v>
      </c>
      <c r="O326" s="4">
        <f t="shared" si="5"/>
        <v>0.10199999999999999</v>
      </c>
      <c r="P326" s="11">
        <v>113612</v>
      </c>
      <c r="Q326" s="9">
        <v>11588.42</v>
      </c>
      <c r="R326" s="9">
        <v>102023.58</v>
      </c>
      <c r="S326">
        <v>4</v>
      </c>
      <c r="T326">
        <v>160</v>
      </c>
      <c r="U326">
        <v>4.5999999999999996</v>
      </c>
      <c r="V326">
        <v>14</v>
      </c>
      <c r="W326">
        <f>IF('Cleaned Data'!V326&lt;0,"Review",'Cleaned Data'!V326)</f>
        <v>14</v>
      </c>
      <c r="X326">
        <v>3</v>
      </c>
      <c r="Y326" s="7">
        <f>IFERROR('Cleaned Data'!R326/'Cleaned Data'!L326,0)</f>
        <v>102023.58</v>
      </c>
      <c r="Z326" t="str">
        <f>TEXT(EV_Sales[[#This Row],[Order_Date]],"mmm-yyyy")</f>
        <v>Jul-2025</v>
      </c>
      <c r="AA326">
        <f>MONTH(EV_Sales[[#This Row],[Order_Date]])</f>
        <v>7</v>
      </c>
      <c r="AB326" s="12" t="str">
        <f>"Q"&amp;ROUNDUP(MONTH(EV_Sales[[#This Row],[Order_Date]])/3,0)</f>
        <v>Q3</v>
      </c>
    </row>
    <row r="327" spans="1:28" x14ac:dyDescent="0.3">
      <c r="A327" t="s">
        <v>432</v>
      </c>
      <c r="B327" s="2">
        <v>45801</v>
      </c>
      <c r="C327" t="s">
        <v>22</v>
      </c>
      <c r="D327" t="s">
        <v>107</v>
      </c>
      <c r="E327" t="s">
        <v>62</v>
      </c>
      <c r="F327" t="s">
        <v>25</v>
      </c>
      <c r="G327" t="s">
        <v>26</v>
      </c>
      <c r="H327" t="s">
        <v>53</v>
      </c>
      <c r="I327" t="str">
        <f>IF('Cleaned Data'!H327="Emi","EMI",'Cleaned Data'!H327)</f>
        <v>Cash</v>
      </c>
      <c r="J327" t="s">
        <v>63</v>
      </c>
      <c r="K327" t="s">
        <v>83</v>
      </c>
      <c r="L327">
        <v>4</v>
      </c>
      <c r="M327" s="9">
        <v>134826</v>
      </c>
      <c r="N327" s="4">
        <v>6.2E-2</v>
      </c>
      <c r="O327" s="4">
        <f t="shared" si="5"/>
        <v>6.2E-2</v>
      </c>
      <c r="P327" s="11">
        <v>539304</v>
      </c>
      <c r="Q327" s="9">
        <v>33436.85</v>
      </c>
      <c r="R327" s="9">
        <v>505867.15</v>
      </c>
      <c r="S327">
        <v>2</v>
      </c>
      <c r="T327">
        <v>141</v>
      </c>
      <c r="U327" t="s">
        <v>812</v>
      </c>
      <c r="V327">
        <v>7</v>
      </c>
      <c r="W327">
        <f>IF('Cleaned Data'!V327&lt;0,"Review",'Cleaned Data'!V327)</f>
        <v>7</v>
      </c>
      <c r="X327">
        <v>2</v>
      </c>
      <c r="Y327" s="7">
        <f>IFERROR('Cleaned Data'!R327/'Cleaned Data'!L327,0)</f>
        <v>126466.78750000001</v>
      </c>
      <c r="Z327" t="str">
        <f>TEXT(EV_Sales[[#This Row],[Order_Date]],"mmm-yyyy")</f>
        <v>May-2025</v>
      </c>
      <c r="AA327">
        <f>MONTH(EV_Sales[[#This Row],[Order_Date]])</f>
        <v>5</v>
      </c>
      <c r="AB327" s="12" t="str">
        <f>"Q"&amp;ROUNDUP(MONTH(EV_Sales[[#This Row],[Order_Date]])/3,0)</f>
        <v>Q2</v>
      </c>
    </row>
    <row r="328" spans="1:28" x14ac:dyDescent="0.3">
      <c r="A328" t="s">
        <v>433</v>
      </c>
      <c r="B328" s="2">
        <v>45928</v>
      </c>
      <c r="C328" t="s">
        <v>39</v>
      </c>
      <c r="D328" t="s">
        <v>40</v>
      </c>
      <c r="E328" t="s">
        <v>24</v>
      </c>
      <c r="F328" t="s">
        <v>33</v>
      </c>
      <c r="G328" t="s">
        <v>56</v>
      </c>
      <c r="H328" t="s">
        <v>809</v>
      </c>
      <c r="I328" t="str">
        <f>IF('Cleaned Data'!H328="Emi","EMI",'Cleaned Data'!H328)</f>
        <v>EMI</v>
      </c>
      <c r="J328" t="s">
        <v>48</v>
      </c>
      <c r="K328" t="s">
        <v>81</v>
      </c>
      <c r="L328">
        <v>2</v>
      </c>
      <c r="M328" s="9">
        <v>117715</v>
      </c>
      <c r="N328" s="4">
        <v>3.4000000000000002E-2</v>
      </c>
      <c r="O328" s="4">
        <f t="shared" si="5"/>
        <v>3.4000000000000002E-2</v>
      </c>
      <c r="P328" s="11">
        <v>235430</v>
      </c>
      <c r="Q328" s="9">
        <v>8004.62</v>
      </c>
      <c r="R328" s="9">
        <v>227425.38</v>
      </c>
      <c r="S328">
        <v>4</v>
      </c>
      <c r="T328">
        <v>188</v>
      </c>
      <c r="U328">
        <v>3.4</v>
      </c>
      <c r="V328">
        <v>13</v>
      </c>
      <c r="W328">
        <f>IF('Cleaned Data'!V328&lt;0,"Review",'Cleaned Data'!V328)</f>
        <v>13</v>
      </c>
      <c r="X328">
        <v>5</v>
      </c>
      <c r="Y328" s="7">
        <f>IFERROR('Cleaned Data'!R328/'Cleaned Data'!L328,0)</f>
        <v>113712.69</v>
      </c>
      <c r="Z328" t="str">
        <f>TEXT(EV_Sales[[#This Row],[Order_Date]],"mmm-yyyy")</f>
        <v>Sep-2025</v>
      </c>
      <c r="AA328">
        <f>MONTH(EV_Sales[[#This Row],[Order_Date]])</f>
        <v>9</v>
      </c>
      <c r="AB328" s="12" t="str">
        <f>"Q"&amp;ROUNDUP(MONTH(EV_Sales[[#This Row],[Order_Date]])/3,0)</f>
        <v>Q3</v>
      </c>
    </row>
    <row r="329" spans="1:28" x14ac:dyDescent="0.3">
      <c r="A329" t="s">
        <v>434</v>
      </c>
      <c r="B329" s="2">
        <v>45836</v>
      </c>
      <c r="C329" t="s">
        <v>22</v>
      </c>
      <c r="D329" t="s">
        <v>23</v>
      </c>
      <c r="E329" t="s">
        <v>46</v>
      </c>
      <c r="F329" t="s">
        <v>66</v>
      </c>
      <c r="G329" t="s">
        <v>56</v>
      </c>
      <c r="H329" t="s">
        <v>809</v>
      </c>
      <c r="I329" t="str">
        <f>IF('Cleaned Data'!H329="Emi","EMI",'Cleaned Data'!H329)</f>
        <v>EMI</v>
      </c>
      <c r="J329" t="s">
        <v>28</v>
      </c>
      <c r="K329" t="s">
        <v>29</v>
      </c>
      <c r="L329">
        <v>1</v>
      </c>
      <c r="M329" s="9">
        <v>113995</v>
      </c>
      <c r="N329" s="4">
        <v>7.6999999999999999E-2</v>
      </c>
      <c r="O329" s="4">
        <f t="shared" si="5"/>
        <v>7.6999999999999999E-2</v>
      </c>
      <c r="P329" s="11">
        <v>113995</v>
      </c>
      <c r="Q329" s="9">
        <v>8777.61</v>
      </c>
      <c r="R329" s="9">
        <v>105217.39</v>
      </c>
      <c r="S329">
        <v>4</v>
      </c>
      <c r="T329">
        <v>183</v>
      </c>
      <c r="U329">
        <v>4.5999999999999996</v>
      </c>
      <c r="V329">
        <v>14</v>
      </c>
      <c r="W329">
        <f>IF('Cleaned Data'!V329&lt;0,"Review",'Cleaned Data'!V329)</f>
        <v>14</v>
      </c>
      <c r="X329">
        <v>2</v>
      </c>
      <c r="Y329" s="7">
        <f>IFERROR('Cleaned Data'!R329/'Cleaned Data'!L329,0)</f>
        <v>105217.39</v>
      </c>
      <c r="Z329" t="str">
        <f>TEXT(EV_Sales[[#This Row],[Order_Date]],"mmm-yyyy")</f>
        <v>Jun-2025</v>
      </c>
      <c r="AA329">
        <f>MONTH(EV_Sales[[#This Row],[Order_Date]])</f>
        <v>6</v>
      </c>
      <c r="AB329" s="12" t="str">
        <f>"Q"&amp;ROUNDUP(MONTH(EV_Sales[[#This Row],[Order_Date]])/3,0)</f>
        <v>Q2</v>
      </c>
    </row>
    <row r="330" spans="1:28" x14ac:dyDescent="0.3">
      <c r="A330" t="s">
        <v>435</v>
      </c>
      <c r="B330" s="2">
        <v>45770</v>
      </c>
      <c r="C330" t="s">
        <v>76</v>
      </c>
      <c r="D330" t="s">
        <v>115</v>
      </c>
      <c r="E330" t="s">
        <v>46</v>
      </c>
      <c r="F330" t="s">
        <v>101</v>
      </c>
      <c r="G330" t="s">
        <v>26</v>
      </c>
      <c r="H330" t="s">
        <v>27</v>
      </c>
      <c r="I330" t="str">
        <f>IF('Cleaned Data'!H330="Emi","EMI",'Cleaned Data'!H330)</f>
        <v>Finance</v>
      </c>
      <c r="J330" t="s">
        <v>57</v>
      </c>
      <c r="K330" t="s">
        <v>203</v>
      </c>
      <c r="L330">
        <v>2</v>
      </c>
      <c r="M330" s="9">
        <v>123029</v>
      </c>
      <c r="N330" s="4">
        <v>0.115</v>
      </c>
      <c r="O330" s="4">
        <f t="shared" si="5"/>
        <v>0.115</v>
      </c>
      <c r="P330" s="11">
        <v>246058</v>
      </c>
      <c r="Q330" s="9">
        <v>28296.67</v>
      </c>
      <c r="R330" s="9">
        <v>217761.33</v>
      </c>
      <c r="S330">
        <v>5</v>
      </c>
      <c r="T330">
        <v>194</v>
      </c>
      <c r="U330">
        <v>4</v>
      </c>
      <c r="V330">
        <v>13</v>
      </c>
      <c r="W330">
        <f>IF('Cleaned Data'!V330&lt;0,"Review",'Cleaned Data'!V330)</f>
        <v>13</v>
      </c>
      <c r="X330">
        <v>2</v>
      </c>
      <c r="Y330" s="7">
        <f>IFERROR('Cleaned Data'!R330/'Cleaned Data'!L330,0)</f>
        <v>108880.66499999999</v>
      </c>
      <c r="Z330" t="str">
        <f>TEXT(EV_Sales[[#This Row],[Order_Date]],"mmm-yyyy")</f>
        <v>Apr-2025</v>
      </c>
      <c r="AA330">
        <f>MONTH(EV_Sales[[#This Row],[Order_Date]])</f>
        <v>4</v>
      </c>
      <c r="AB330" s="12" t="str">
        <f>"Q"&amp;ROUNDUP(MONTH(EV_Sales[[#This Row],[Order_Date]])/3,0)</f>
        <v>Q2</v>
      </c>
    </row>
    <row r="331" spans="1:28" x14ac:dyDescent="0.3">
      <c r="A331" t="s">
        <v>436</v>
      </c>
      <c r="B331" s="2">
        <v>45828</v>
      </c>
      <c r="C331" t="s">
        <v>76</v>
      </c>
      <c r="D331" t="s">
        <v>117</v>
      </c>
      <c r="E331" t="s">
        <v>46</v>
      </c>
      <c r="F331" t="s">
        <v>33</v>
      </c>
      <c r="G331" t="s">
        <v>34</v>
      </c>
      <c r="H331" t="s">
        <v>809</v>
      </c>
      <c r="I331" t="str">
        <f>IF('Cleaned Data'!H331="Emi","EMI",'Cleaned Data'!H331)</f>
        <v>EMI</v>
      </c>
      <c r="J331" t="s">
        <v>57</v>
      </c>
      <c r="K331" t="s">
        <v>197</v>
      </c>
      <c r="L331">
        <v>2</v>
      </c>
      <c r="M331" s="9">
        <v>140674</v>
      </c>
      <c r="N331" s="4">
        <v>2.5000000000000001E-2</v>
      </c>
      <c r="O331" s="4">
        <f t="shared" si="5"/>
        <v>2.5000000000000001E-2</v>
      </c>
      <c r="P331" s="11">
        <v>281348</v>
      </c>
      <c r="Q331" s="9">
        <v>7033.7</v>
      </c>
      <c r="R331" s="9">
        <v>274314.3</v>
      </c>
      <c r="S331">
        <v>5</v>
      </c>
      <c r="T331">
        <v>196</v>
      </c>
      <c r="U331">
        <v>3.9</v>
      </c>
      <c r="V331">
        <v>12</v>
      </c>
      <c r="W331">
        <f>IF('Cleaned Data'!V331&lt;0,"Review",'Cleaned Data'!V331)</f>
        <v>12</v>
      </c>
      <c r="X331">
        <v>5</v>
      </c>
      <c r="Y331" s="7">
        <f>IFERROR('Cleaned Data'!R331/'Cleaned Data'!L331,0)</f>
        <v>137157.15</v>
      </c>
      <c r="Z331" t="str">
        <f>TEXT(EV_Sales[[#This Row],[Order_Date]],"mmm-yyyy")</f>
        <v>Jun-2025</v>
      </c>
      <c r="AA331">
        <f>MONTH(EV_Sales[[#This Row],[Order_Date]])</f>
        <v>6</v>
      </c>
      <c r="AB331" s="12" t="str">
        <f>"Q"&amp;ROUNDUP(MONTH(EV_Sales[[#This Row],[Order_Date]])/3,0)</f>
        <v>Q2</v>
      </c>
    </row>
    <row r="332" spans="1:28" x14ac:dyDescent="0.3">
      <c r="A332" t="s">
        <v>437</v>
      </c>
      <c r="B332" s="2">
        <v>45877</v>
      </c>
      <c r="C332" t="s">
        <v>31</v>
      </c>
      <c r="D332" t="s">
        <v>32</v>
      </c>
      <c r="E332" t="s">
        <v>46</v>
      </c>
      <c r="F332" t="s">
        <v>25</v>
      </c>
      <c r="G332" t="s">
        <v>67</v>
      </c>
      <c r="H332" t="s">
        <v>27</v>
      </c>
      <c r="I332" t="str">
        <f>IF('Cleaned Data'!H332="Emi","EMI",'Cleaned Data'!H332)</f>
        <v>Finance</v>
      </c>
      <c r="J332" t="s">
        <v>48</v>
      </c>
      <c r="K332" t="s">
        <v>143</v>
      </c>
      <c r="L332">
        <v>1</v>
      </c>
      <c r="M332" s="9">
        <v>106127</v>
      </c>
      <c r="N332" s="4">
        <v>0.03</v>
      </c>
      <c r="O332" s="4">
        <f t="shared" si="5"/>
        <v>0.03</v>
      </c>
      <c r="P332" s="11">
        <v>106127</v>
      </c>
      <c r="Q332" s="9">
        <v>3183.81</v>
      </c>
      <c r="R332" s="9">
        <v>102943.19</v>
      </c>
      <c r="S332">
        <v>5</v>
      </c>
      <c r="T332">
        <v>218</v>
      </c>
      <c r="U332">
        <v>4.4000000000000004</v>
      </c>
      <c r="V332">
        <v>8</v>
      </c>
      <c r="W332">
        <f>IF('Cleaned Data'!V332&lt;0,"Review",'Cleaned Data'!V332)</f>
        <v>8</v>
      </c>
      <c r="X332">
        <v>3</v>
      </c>
      <c r="Y332" s="7">
        <f>IFERROR('Cleaned Data'!R332/'Cleaned Data'!L332,0)</f>
        <v>102943.19</v>
      </c>
      <c r="Z332" t="str">
        <f>TEXT(EV_Sales[[#This Row],[Order_Date]],"mmm-yyyy")</f>
        <v>Aug-2025</v>
      </c>
      <c r="AA332">
        <f>MONTH(EV_Sales[[#This Row],[Order_Date]])</f>
        <v>8</v>
      </c>
      <c r="AB332" s="12" t="str">
        <f>"Q"&amp;ROUNDUP(MONTH(EV_Sales[[#This Row],[Order_Date]])/3,0)</f>
        <v>Q3</v>
      </c>
    </row>
    <row r="333" spans="1:28" x14ac:dyDescent="0.3">
      <c r="A333" t="s">
        <v>438</v>
      </c>
      <c r="B333" s="2">
        <v>45958</v>
      </c>
      <c r="C333" t="s">
        <v>99</v>
      </c>
      <c r="D333" t="s">
        <v>100</v>
      </c>
      <c r="E333" t="s">
        <v>46</v>
      </c>
      <c r="F333" t="s">
        <v>101</v>
      </c>
      <c r="G333" t="s">
        <v>26</v>
      </c>
      <c r="H333" t="s">
        <v>27</v>
      </c>
      <c r="I333" t="str">
        <f>IF('Cleaned Data'!H333="Emi","EMI",'Cleaned Data'!H333)</f>
        <v>Finance</v>
      </c>
      <c r="J333" t="s">
        <v>28</v>
      </c>
      <c r="K333" t="s">
        <v>102</v>
      </c>
      <c r="L333">
        <v>1</v>
      </c>
      <c r="M333" s="9">
        <v>122951</v>
      </c>
      <c r="N333" s="4">
        <v>2.7E-2</v>
      </c>
      <c r="O333" s="4">
        <f t="shared" si="5"/>
        <v>2.7E-2</v>
      </c>
      <c r="P333" s="11">
        <v>122951</v>
      </c>
      <c r="Q333" s="9">
        <v>3319.68</v>
      </c>
      <c r="R333" s="9">
        <v>119631.32</v>
      </c>
      <c r="S333">
        <v>3</v>
      </c>
      <c r="T333">
        <v>178</v>
      </c>
      <c r="U333">
        <v>3.8</v>
      </c>
      <c r="V333">
        <v>4</v>
      </c>
      <c r="W333">
        <f>IF('Cleaned Data'!V333&lt;0,"Review",'Cleaned Data'!V333)</f>
        <v>4</v>
      </c>
      <c r="X333">
        <v>5</v>
      </c>
      <c r="Y333" s="7">
        <f>IFERROR('Cleaned Data'!R333/'Cleaned Data'!L333,0)</f>
        <v>119631.32</v>
      </c>
      <c r="Z333" t="str">
        <f>TEXT(EV_Sales[[#This Row],[Order_Date]],"mmm-yyyy")</f>
        <v>Oct-2025</v>
      </c>
      <c r="AA333">
        <f>MONTH(EV_Sales[[#This Row],[Order_Date]])</f>
        <v>10</v>
      </c>
      <c r="AB333" s="12" t="str">
        <f>"Q"&amp;ROUNDUP(MONTH(EV_Sales[[#This Row],[Order_Date]])/3,0)</f>
        <v>Q4</v>
      </c>
    </row>
    <row r="334" spans="1:28" x14ac:dyDescent="0.3">
      <c r="A334" t="s">
        <v>439</v>
      </c>
      <c r="B334" s="2">
        <v>45890</v>
      </c>
      <c r="C334" t="s">
        <v>44</v>
      </c>
      <c r="D334" t="s">
        <v>51</v>
      </c>
      <c r="E334" t="s">
        <v>46</v>
      </c>
      <c r="F334" t="s">
        <v>33</v>
      </c>
      <c r="G334" t="s">
        <v>34</v>
      </c>
      <c r="H334" t="s">
        <v>809</v>
      </c>
      <c r="I334" t="str">
        <f>IF('Cleaned Data'!H334="Emi","EMI",'Cleaned Data'!H334)</f>
        <v>EMI</v>
      </c>
      <c r="J334" t="s">
        <v>36</v>
      </c>
      <c r="K334" t="s">
        <v>104</v>
      </c>
      <c r="L334">
        <v>2</v>
      </c>
      <c r="M334" s="9">
        <v>125226</v>
      </c>
      <c r="N334" s="4">
        <v>8.1000000000000003E-2</v>
      </c>
      <c r="O334" s="4">
        <f t="shared" si="5"/>
        <v>8.1000000000000003E-2</v>
      </c>
      <c r="P334" s="11">
        <v>250452</v>
      </c>
      <c r="Q334" s="9">
        <v>20286.61</v>
      </c>
      <c r="R334" s="9">
        <v>230165.39</v>
      </c>
      <c r="S334">
        <v>2</v>
      </c>
      <c r="T334">
        <v>152</v>
      </c>
      <c r="U334">
        <v>3.9</v>
      </c>
      <c r="V334">
        <v>13</v>
      </c>
      <c r="W334">
        <f>IF('Cleaned Data'!V334&lt;0,"Review",'Cleaned Data'!V334)</f>
        <v>13</v>
      </c>
      <c r="X334">
        <v>5</v>
      </c>
      <c r="Y334" s="7">
        <f>IFERROR('Cleaned Data'!R334/'Cleaned Data'!L334,0)</f>
        <v>115082.69500000001</v>
      </c>
      <c r="Z334" t="str">
        <f>TEXT(EV_Sales[[#This Row],[Order_Date]],"mmm-yyyy")</f>
        <v>Aug-2025</v>
      </c>
      <c r="AA334">
        <f>MONTH(EV_Sales[[#This Row],[Order_Date]])</f>
        <v>8</v>
      </c>
      <c r="AB334" s="12" t="str">
        <f>"Q"&amp;ROUNDUP(MONTH(EV_Sales[[#This Row],[Order_Date]])/3,0)</f>
        <v>Q3</v>
      </c>
    </row>
    <row r="335" spans="1:28" x14ac:dyDescent="0.3">
      <c r="A335" t="s">
        <v>440</v>
      </c>
      <c r="B335" s="2">
        <v>45694</v>
      </c>
      <c r="C335" t="s">
        <v>87</v>
      </c>
      <c r="D335" t="s">
        <v>130</v>
      </c>
      <c r="E335" t="s">
        <v>62</v>
      </c>
      <c r="F335" t="s">
        <v>52</v>
      </c>
      <c r="G335" t="s">
        <v>34</v>
      </c>
      <c r="H335" t="s">
        <v>809</v>
      </c>
      <c r="I335" t="str">
        <f>IF('Cleaned Data'!H335="Emi","EMI",'Cleaned Data'!H335)</f>
        <v>EMI</v>
      </c>
      <c r="J335" t="s">
        <v>28</v>
      </c>
      <c r="K335" t="s">
        <v>95</v>
      </c>
      <c r="L335">
        <v>2</v>
      </c>
      <c r="M335" s="9">
        <v>105555</v>
      </c>
      <c r="N335" s="4">
        <v>6.2E-2</v>
      </c>
      <c r="O335" s="4">
        <f t="shared" si="5"/>
        <v>6.2E-2</v>
      </c>
      <c r="P335" s="11">
        <v>211110</v>
      </c>
      <c r="Q335" s="9">
        <v>13088.82</v>
      </c>
      <c r="R335" s="9">
        <v>198021.18</v>
      </c>
      <c r="S335">
        <v>4</v>
      </c>
      <c r="T335">
        <v>188</v>
      </c>
      <c r="U335">
        <v>3</v>
      </c>
      <c r="V335">
        <v>7</v>
      </c>
      <c r="W335">
        <f>IF('Cleaned Data'!V335&lt;0,"Review",'Cleaned Data'!V335)</f>
        <v>7</v>
      </c>
      <c r="X335">
        <v>3</v>
      </c>
      <c r="Y335" s="7">
        <f>IFERROR('Cleaned Data'!R335/'Cleaned Data'!L335,0)</f>
        <v>99010.59</v>
      </c>
      <c r="Z335" t="str">
        <f>TEXT(EV_Sales[[#This Row],[Order_Date]],"mmm-yyyy")</f>
        <v>Feb-2025</v>
      </c>
      <c r="AA335">
        <f>MONTH(EV_Sales[[#This Row],[Order_Date]])</f>
        <v>2</v>
      </c>
      <c r="AB335" s="12" t="str">
        <f>"Q"&amp;ROUNDUP(MONTH(EV_Sales[[#This Row],[Order_Date]])/3,0)</f>
        <v>Q1</v>
      </c>
    </row>
    <row r="336" spans="1:28" x14ac:dyDescent="0.3">
      <c r="A336" t="s">
        <v>441</v>
      </c>
      <c r="B336" s="2">
        <v>45722</v>
      </c>
      <c r="C336" t="s">
        <v>99</v>
      </c>
      <c r="D336" t="s">
        <v>141</v>
      </c>
      <c r="E336" t="s">
        <v>62</v>
      </c>
      <c r="F336" t="s">
        <v>74</v>
      </c>
      <c r="G336" t="s">
        <v>67</v>
      </c>
      <c r="H336" t="s">
        <v>53</v>
      </c>
      <c r="I336" t="str">
        <f>IF('Cleaned Data'!H336="Emi","EMI",'Cleaned Data'!H336)</f>
        <v>Cash</v>
      </c>
      <c r="J336" t="s">
        <v>63</v>
      </c>
      <c r="K336" t="s">
        <v>102</v>
      </c>
      <c r="L336">
        <v>1</v>
      </c>
      <c r="M336" s="9">
        <v>137535</v>
      </c>
      <c r="N336" s="4">
        <v>9.2999999999999999E-2</v>
      </c>
      <c r="O336" s="4">
        <f t="shared" si="5"/>
        <v>9.2999999999999999E-2</v>
      </c>
      <c r="P336" s="11">
        <v>137535</v>
      </c>
      <c r="Q336" s="9">
        <v>12790.75</v>
      </c>
      <c r="R336" s="9">
        <v>124744.25</v>
      </c>
      <c r="S336">
        <v>4</v>
      </c>
      <c r="T336">
        <v>189</v>
      </c>
      <c r="U336">
        <v>4.2</v>
      </c>
      <c r="V336">
        <v>3</v>
      </c>
      <c r="W336">
        <f>IF('Cleaned Data'!V336&lt;0,"Review",'Cleaned Data'!V336)</f>
        <v>3</v>
      </c>
      <c r="X336">
        <v>5</v>
      </c>
      <c r="Y336" s="7">
        <f>IFERROR('Cleaned Data'!R336/'Cleaned Data'!L336,0)</f>
        <v>124744.25</v>
      </c>
      <c r="Z336" t="str">
        <f>TEXT(EV_Sales[[#This Row],[Order_Date]],"mmm-yyyy")</f>
        <v>Mar-2025</v>
      </c>
      <c r="AA336">
        <f>MONTH(EV_Sales[[#This Row],[Order_Date]])</f>
        <v>3</v>
      </c>
      <c r="AB336" s="12" t="str">
        <f>"Q"&amp;ROUNDUP(MONTH(EV_Sales[[#This Row],[Order_Date]])/3,0)</f>
        <v>Q1</v>
      </c>
    </row>
    <row r="337" spans="1:28" x14ac:dyDescent="0.3">
      <c r="A337" t="s">
        <v>442</v>
      </c>
      <c r="B337" s="2">
        <v>45745</v>
      </c>
      <c r="C337" t="s">
        <v>44</v>
      </c>
      <c r="D337" t="s">
        <v>51</v>
      </c>
      <c r="E337" t="s">
        <v>46</v>
      </c>
      <c r="F337" t="s">
        <v>70</v>
      </c>
      <c r="G337" t="s">
        <v>56</v>
      </c>
      <c r="H337" t="s">
        <v>53</v>
      </c>
      <c r="I337" t="str">
        <f>IF('Cleaned Data'!H337="Emi","EMI",'Cleaned Data'!H337)</f>
        <v>Cash</v>
      </c>
      <c r="J337" t="s">
        <v>48</v>
      </c>
      <c r="K337" t="s">
        <v>197</v>
      </c>
      <c r="L337">
        <v>2</v>
      </c>
      <c r="M337" s="9">
        <v>113223</v>
      </c>
      <c r="N337" s="4">
        <v>5.5E-2</v>
      </c>
      <c r="O337" s="4">
        <f t="shared" si="5"/>
        <v>5.5E-2</v>
      </c>
      <c r="P337" s="11">
        <v>226446</v>
      </c>
      <c r="Q337" s="9">
        <v>12454.53</v>
      </c>
      <c r="R337" s="9">
        <v>213991.47</v>
      </c>
      <c r="S337">
        <v>4</v>
      </c>
      <c r="T337">
        <v>162</v>
      </c>
      <c r="U337">
        <v>4.3</v>
      </c>
      <c r="V337">
        <v>10</v>
      </c>
      <c r="W337">
        <f>IF('Cleaned Data'!V337&lt;0,"Review",'Cleaned Data'!V337)</f>
        <v>10</v>
      </c>
      <c r="X337">
        <v>2</v>
      </c>
      <c r="Y337" s="7">
        <f>IFERROR('Cleaned Data'!R337/'Cleaned Data'!L337,0)</f>
        <v>106995.735</v>
      </c>
      <c r="Z337" t="str">
        <f>TEXT(EV_Sales[[#This Row],[Order_Date]],"mmm-yyyy")</f>
        <v>Mar-2025</v>
      </c>
      <c r="AA337">
        <f>MONTH(EV_Sales[[#This Row],[Order_Date]])</f>
        <v>3</v>
      </c>
      <c r="AB337" s="12" t="str">
        <f>"Q"&amp;ROUNDUP(MONTH(EV_Sales[[#This Row],[Order_Date]])/3,0)</f>
        <v>Q1</v>
      </c>
    </row>
    <row r="338" spans="1:28" x14ac:dyDescent="0.3">
      <c r="A338" t="s">
        <v>443</v>
      </c>
      <c r="B338" s="2">
        <v>45734</v>
      </c>
      <c r="C338" t="s">
        <v>31</v>
      </c>
      <c r="D338" t="s">
        <v>97</v>
      </c>
      <c r="E338" t="s">
        <v>46</v>
      </c>
      <c r="F338" t="s">
        <v>80</v>
      </c>
      <c r="G338" t="s">
        <v>56</v>
      </c>
      <c r="H338" t="s">
        <v>53</v>
      </c>
      <c r="I338" t="str">
        <f>IF('Cleaned Data'!H338="Emi","EMI",'Cleaned Data'!H338)</f>
        <v>Cash</v>
      </c>
      <c r="J338" t="s">
        <v>94</v>
      </c>
      <c r="K338" t="s">
        <v>216</v>
      </c>
      <c r="L338">
        <v>1</v>
      </c>
      <c r="M338" s="9">
        <v>127974</v>
      </c>
      <c r="N338" s="4">
        <v>0.111</v>
      </c>
      <c r="O338" s="4">
        <f t="shared" si="5"/>
        <v>0.111</v>
      </c>
      <c r="P338" s="11">
        <v>127974</v>
      </c>
      <c r="Q338" s="9">
        <v>14205.11</v>
      </c>
      <c r="R338" s="9">
        <v>113768.89</v>
      </c>
      <c r="S338">
        <v>2</v>
      </c>
      <c r="T338">
        <v>134</v>
      </c>
      <c r="U338">
        <v>4.4000000000000004</v>
      </c>
      <c r="V338">
        <v>11</v>
      </c>
      <c r="W338">
        <f>IF('Cleaned Data'!V338&lt;0,"Review",'Cleaned Data'!V338)</f>
        <v>11</v>
      </c>
      <c r="X338">
        <v>3</v>
      </c>
      <c r="Y338" s="7">
        <f>IFERROR('Cleaned Data'!R338/'Cleaned Data'!L338,0)</f>
        <v>113768.89</v>
      </c>
      <c r="Z338" t="str">
        <f>TEXT(EV_Sales[[#This Row],[Order_Date]],"mmm-yyyy")</f>
        <v>Mar-2025</v>
      </c>
      <c r="AA338">
        <f>MONTH(EV_Sales[[#This Row],[Order_Date]])</f>
        <v>3</v>
      </c>
      <c r="AB338" s="12" t="str">
        <f>"Q"&amp;ROUNDUP(MONTH(EV_Sales[[#This Row],[Order_Date]])/3,0)</f>
        <v>Q1</v>
      </c>
    </row>
    <row r="339" spans="1:28" x14ac:dyDescent="0.3">
      <c r="A339" t="s">
        <v>444</v>
      </c>
      <c r="B339" s="2">
        <v>45732</v>
      </c>
      <c r="C339" t="s">
        <v>87</v>
      </c>
      <c r="D339" t="s">
        <v>130</v>
      </c>
      <c r="E339" t="s">
        <v>46</v>
      </c>
      <c r="F339" t="s">
        <v>33</v>
      </c>
      <c r="G339" t="s">
        <v>26</v>
      </c>
      <c r="H339" t="s">
        <v>53</v>
      </c>
      <c r="I339" t="str">
        <f>IF('Cleaned Data'!H339="Emi","EMI",'Cleaned Data'!H339)</f>
        <v>Cash</v>
      </c>
      <c r="J339" t="s">
        <v>36</v>
      </c>
      <c r="K339" t="s">
        <v>37</v>
      </c>
      <c r="L339">
        <v>2</v>
      </c>
      <c r="M339" s="9">
        <v>117898</v>
      </c>
      <c r="N339" s="4">
        <v>3.6999999999999998E-2</v>
      </c>
      <c r="O339" s="4">
        <f t="shared" si="5"/>
        <v>3.6999999999999998E-2</v>
      </c>
      <c r="P339" s="11">
        <v>235796</v>
      </c>
      <c r="Q339" s="9">
        <v>8724.4500000000007</v>
      </c>
      <c r="R339" s="9">
        <v>227071.55</v>
      </c>
      <c r="S339">
        <v>3</v>
      </c>
      <c r="T339">
        <v>166</v>
      </c>
      <c r="U339">
        <v>3.8</v>
      </c>
      <c r="V339">
        <v>2</v>
      </c>
      <c r="W339">
        <f>IF('Cleaned Data'!V339&lt;0,"Review",'Cleaned Data'!V339)</f>
        <v>2</v>
      </c>
      <c r="X339">
        <v>2</v>
      </c>
      <c r="Y339" s="7">
        <f>IFERROR('Cleaned Data'!R339/'Cleaned Data'!L339,0)</f>
        <v>113535.77499999999</v>
      </c>
      <c r="Z339" t="str">
        <f>TEXT(EV_Sales[[#This Row],[Order_Date]],"mmm-yyyy")</f>
        <v>Mar-2025</v>
      </c>
      <c r="AA339">
        <f>MONTH(EV_Sales[[#This Row],[Order_Date]])</f>
        <v>3</v>
      </c>
      <c r="AB339" s="12" t="str">
        <f>"Q"&amp;ROUNDUP(MONTH(EV_Sales[[#This Row],[Order_Date]])/3,0)</f>
        <v>Q1</v>
      </c>
    </row>
    <row r="340" spans="1:28" x14ac:dyDescent="0.3">
      <c r="A340" t="s">
        <v>445</v>
      </c>
      <c r="B340" s="2">
        <v>45783</v>
      </c>
      <c r="C340" t="s">
        <v>60</v>
      </c>
      <c r="D340" t="s">
        <v>69</v>
      </c>
      <c r="E340" t="s">
        <v>46</v>
      </c>
      <c r="F340" t="s">
        <v>101</v>
      </c>
      <c r="G340" t="s">
        <v>56</v>
      </c>
      <c r="H340" t="s">
        <v>53</v>
      </c>
      <c r="I340" t="str">
        <f>IF('Cleaned Data'!H340="Emi","EMI",'Cleaned Data'!H340)</f>
        <v>Cash</v>
      </c>
      <c r="J340" t="s">
        <v>48</v>
      </c>
      <c r="K340" t="s">
        <v>89</v>
      </c>
      <c r="L340">
        <v>2</v>
      </c>
      <c r="M340" s="9">
        <v>111792</v>
      </c>
      <c r="N340" s="4">
        <v>0.08</v>
      </c>
      <c r="O340" s="4">
        <f t="shared" si="5"/>
        <v>0.08</v>
      </c>
      <c r="P340" s="11">
        <v>223584</v>
      </c>
      <c r="Q340" s="9">
        <v>17886.72</v>
      </c>
      <c r="R340" s="9">
        <v>205697.28</v>
      </c>
      <c r="S340">
        <v>4</v>
      </c>
      <c r="T340">
        <v>200</v>
      </c>
      <c r="U340">
        <v>3.9</v>
      </c>
      <c r="V340">
        <v>4</v>
      </c>
      <c r="W340">
        <f>IF('Cleaned Data'!V340&lt;0,"Review",'Cleaned Data'!V340)</f>
        <v>4</v>
      </c>
      <c r="X340">
        <v>2</v>
      </c>
      <c r="Y340" s="7">
        <f>IFERROR('Cleaned Data'!R340/'Cleaned Data'!L340,0)</f>
        <v>102848.64</v>
      </c>
      <c r="Z340" t="str">
        <f>TEXT(EV_Sales[[#This Row],[Order_Date]],"mmm-yyyy")</f>
        <v>May-2025</v>
      </c>
      <c r="AA340">
        <f>MONTH(EV_Sales[[#This Row],[Order_Date]])</f>
        <v>5</v>
      </c>
      <c r="AB340" s="12" t="str">
        <f>"Q"&amp;ROUNDUP(MONTH(EV_Sales[[#This Row],[Order_Date]])/3,0)</f>
        <v>Q2</v>
      </c>
    </row>
    <row r="341" spans="1:28" x14ac:dyDescent="0.3">
      <c r="A341" t="s">
        <v>446</v>
      </c>
      <c r="B341" s="2">
        <v>45691</v>
      </c>
      <c r="C341" t="s">
        <v>44</v>
      </c>
      <c r="D341" t="s">
        <v>51</v>
      </c>
      <c r="E341" t="s">
        <v>24</v>
      </c>
      <c r="F341" t="s">
        <v>70</v>
      </c>
      <c r="G341" t="s">
        <v>34</v>
      </c>
      <c r="H341" t="s">
        <v>27</v>
      </c>
      <c r="I341" t="str">
        <f>IF('Cleaned Data'!H341="Emi","EMI",'Cleaned Data'!H341)</f>
        <v>Finance</v>
      </c>
      <c r="J341" t="s">
        <v>36</v>
      </c>
      <c r="K341" t="s">
        <v>85</v>
      </c>
      <c r="L341">
        <v>1</v>
      </c>
      <c r="M341" s="9">
        <v>122780</v>
      </c>
      <c r="N341" s="4">
        <v>7.9000000000000001E-2</v>
      </c>
      <c r="O341" s="4">
        <f t="shared" si="5"/>
        <v>7.9000000000000001E-2</v>
      </c>
      <c r="P341" s="11">
        <v>122780</v>
      </c>
      <c r="Q341" s="9">
        <v>9699.6200000000008</v>
      </c>
      <c r="R341" s="9">
        <v>113080.38</v>
      </c>
      <c r="S341">
        <v>2</v>
      </c>
      <c r="T341">
        <v>141</v>
      </c>
      <c r="U341">
        <v>4.3</v>
      </c>
      <c r="V341">
        <v>11</v>
      </c>
      <c r="W341">
        <f>IF('Cleaned Data'!V341&lt;0,"Review",'Cleaned Data'!V341)</f>
        <v>11</v>
      </c>
      <c r="X341">
        <v>3</v>
      </c>
      <c r="Y341" s="7">
        <f>IFERROR('Cleaned Data'!R341/'Cleaned Data'!L341,0)</f>
        <v>113080.38</v>
      </c>
      <c r="Z341" t="str">
        <f>TEXT(EV_Sales[[#This Row],[Order_Date]],"mmm-yyyy")</f>
        <v>Feb-2025</v>
      </c>
      <c r="AA341">
        <f>MONTH(EV_Sales[[#This Row],[Order_Date]])</f>
        <v>2</v>
      </c>
      <c r="AB341" s="12" t="str">
        <f>"Q"&amp;ROUNDUP(MONTH(EV_Sales[[#This Row],[Order_Date]])/3,0)</f>
        <v>Q1</v>
      </c>
    </row>
    <row r="342" spans="1:28" x14ac:dyDescent="0.3">
      <c r="A342" t="s">
        <v>447</v>
      </c>
      <c r="B342" s="2">
        <v>45986</v>
      </c>
      <c r="C342" t="s">
        <v>44</v>
      </c>
      <c r="D342" t="s">
        <v>45</v>
      </c>
      <c r="E342" t="s">
        <v>46</v>
      </c>
      <c r="F342" t="s">
        <v>66</v>
      </c>
      <c r="G342" t="s">
        <v>67</v>
      </c>
      <c r="H342" t="s">
        <v>809</v>
      </c>
      <c r="I342" t="str">
        <f>IF('Cleaned Data'!H342="Emi","EMI",'Cleaned Data'!H342)</f>
        <v>EMI</v>
      </c>
      <c r="J342" t="s">
        <v>48</v>
      </c>
      <c r="K342" t="s">
        <v>143</v>
      </c>
      <c r="L342">
        <v>2</v>
      </c>
      <c r="M342" s="9">
        <v>149136</v>
      </c>
      <c r="N342" s="4">
        <v>0.106</v>
      </c>
      <c r="O342" s="4">
        <f t="shared" si="5"/>
        <v>0.106</v>
      </c>
      <c r="P342" s="11">
        <v>298272</v>
      </c>
      <c r="Q342" s="9">
        <v>31616.83</v>
      </c>
      <c r="R342" s="9">
        <v>266655.17</v>
      </c>
      <c r="S342">
        <v>3</v>
      </c>
      <c r="T342">
        <v>151</v>
      </c>
      <c r="U342">
        <v>3.7</v>
      </c>
      <c r="V342">
        <v>4</v>
      </c>
      <c r="W342">
        <f>IF('Cleaned Data'!V342&lt;0,"Review",'Cleaned Data'!V342)</f>
        <v>4</v>
      </c>
      <c r="X342">
        <v>2</v>
      </c>
      <c r="Y342" s="7">
        <f>IFERROR('Cleaned Data'!R342/'Cleaned Data'!L342,0)</f>
        <v>133327.58499999999</v>
      </c>
      <c r="Z342" t="str">
        <f>TEXT(EV_Sales[[#This Row],[Order_Date]],"mmm-yyyy")</f>
        <v>Nov-2025</v>
      </c>
      <c r="AA342">
        <f>MONTH(EV_Sales[[#This Row],[Order_Date]])</f>
        <v>11</v>
      </c>
      <c r="AB342" s="12" t="str">
        <f>"Q"&amp;ROUNDUP(MONTH(EV_Sales[[#This Row],[Order_Date]])/3,0)</f>
        <v>Q4</v>
      </c>
    </row>
    <row r="343" spans="1:28" x14ac:dyDescent="0.3">
      <c r="A343" t="s">
        <v>448</v>
      </c>
      <c r="B343" s="2">
        <v>45670</v>
      </c>
      <c r="C343" t="s">
        <v>99</v>
      </c>
      <c r="D343" t="s">
        <v>141</v>
      </c>
      <c r="E343" t="s">
        <v>46</v>
      </c>
      <c r="F343" t="s">
        <v>33</v>
      </c>
      <c r="G343" t="s">
        <v>67</v>
      </c>
      <c r="H343" t="s">
        <v>53</v>
      </c>
      <c r="I343" t="str">
        <f>IF('Cleaned Data'!H343="Emi","EMI",'Cleaned Data'!H343)</f>
        <v>Cash</v>
      </c>
      <c r="J343" t="s">
        <v>48</v>
      </c>
      <c r="K343" t="s">
        <v>102</v>
      </c>
      <c r="L343">
        <v>1</v>
      </c>
      <c r="M343" s="9">
        <v>146023</v>
      </c>
      <c r="N343" s="4">
        <v>4.1000000000000002E-2</v>
      </c>
      <c r="O343" s="4">
        <f t="shared" si="5"/>
        <v>4.1000000000000002E-2</v>
      </c>
      <c r="P343" s="11">
        <v>146023</v>
      </c>
      <c r="Q343" s="9">
        <v>5986.94</v>
      </c>
      <c r="R343" s="9">
        <v>140036.06</v>
      </c>
      <c r="S343">
        <v>3</v>
      </c>
      <c r="T343">
        <v>147</v>
      </c>
      <c r="U343">
        <v>4.5999999999999996</v>
      </c>
      <c r="V343">
        <v>10</v>
      </c>
      <c r="W343">
        <f>IF('Cleaned Data'!V343&lt;0,"Review",'Cleaned Data'!V343)</f>
        <v>10</v>
      </c>
      <c r="X343">
        <v>3</v>
      </c>
      <c r="Y343" s="7">
        <f>IFERROR('Cleaned Data'!R343/'Cleaned Data'!L343,0)</f>
        <v>140036.06</v>
      </c>
      <c r="Z343" t="str">
        <f>TEXT(EV_Sales[[#This Row],[Order_Date]],"mmm-yyyy")</f>
        <v>Jan-2025</v>
      </c>
      <c r="AA343">
        <f>MONTH(EV_Sales[[#This Row],[Order_Date]])</f>
        <v>1</v>
      </c>
      <c r="AB343" s="12" t="str">
        <f>"Q"&amp;ROUNDUP(MONTH(EV_Sales[[#This Row],[Order_Date]])/3,0)</f>
        <v>Q1</v>
      </c>
    </row>
    <row r="344" spans="1:28" x14ac:dyDescent="0.3">
      <c r="A344" t="s">
        <v>449</v>
      </c>
      <c r="B344" s="2">
        <v>45798</v>
      </c>
      <c r="C344" t="s">
        <v>44</v>
      </c>
      <c r="D344" t="s">
        <v>51</v>
      </c>
      <c r="E344" t="s">
        <v>62</v>
      </c>
      <c r="F344" t="s">
        <v>25</v>
      </c>
      <c r="G344" t="s">
        <v>56</v>
      </c>
      <c r="H344" t="s">
        <v>53</v>
      </c>
      <c r="I344" t="str">
        <f>IF('Cleaned Data'!H344="Emi","EMI",'Cleaned Data'!H344)</f>
        <v>Cash</v>
      </c>
      <c r="J344" t="s">
        <v>28</v>
      </c>
      <c r="K344" t="s">
        <v>157</v>
      </c>
      <c r="L344">
        <v>2</v>
      </c>
      <c r="M344" s="9">
        <v>116816</v>
      </c>
      <c r="N344" s="4">
        <v>9.6000000000000002E-2</v>
      </c>
      <c r="O344" s="4">
        <f t="shared" si="5"/>
        <v>9.6000000000000002E-2</v>
      </c>
      <c r="P344" s="11">
        <v>233632</v>
      </c>
      <c r="Q344" s="9">
        <v>22428.67</v>
      </c>
      <c r="R344" s="9">
        <v>211203.33</v>
      </c>
      <c r="S344">
        <v>4</v>
      </c>
      <c r="T344">
        <v>172</v>
      </c>
      <c r="U344">
        <v>3.3</v>
      </c>
      <c r="V344">
        <v>8</v>
      </c>
      <c r="W344">
        <f>IF('Cleaned Data'!V344&lt;0,"Review",'Cleaned Data'!V344)</f>
        <v>8</v>
      </c>
      <c r="X344">
        <v>5</v>
      </c>
      <c r="Y344" s="7">
        <f>IFERROR('Cleaned Data'!R344/'Cleaned Data'!L344,0)</f>
        <v>105601.66499999999</v>
      </c>
      <c r="Z344" t="str">
        <f>TEXT(EV_Sales[[#This Row],[Order_Date]],"mmm-yyyy")</f>
        <v>May-2025</v>
      </c>
      <c r="AA344">
        <f>MONTH(EV_Sales[[#This Row],[Order_Date]])</f>
        <v>5</v>
      </c>
      <c r="AB344" s="12" t="str">
        <f>"Q"&amp;ROUNDUP(MONTH(EV_Sales[[#This Row],[Order_Date]])/3,0)</f>
        <v>Q2</v>
      </c>
    </row>
    <row r="345" spans="1:28" x14ac:dyDescent="0.3">
      <c r="A345" t="s">
        <v>450</v>
      </c>
      <c r="B345" s="2">
        <v>45880</v>
      </c>
      <c r="C345" t="s">
        <v>39</v>
      </c>
      <c r="D345" t="s">
        <v>40</v>
      </c>
      <c r="E345" t="s">
        <v>62</v>
      </c>
      <c r="F345" t="s">
        <v>80</v>
      </c>
      <c r="G345" t="s">
        <v>56</v>
      </c>
      <c r="H345" t="s">
        <v>27</v>
      </c>
      <c r="I345" t="str">
        <f>IF('Cleaned Data'!H345="Emi","EMI",'Cleaned Data'!H345)</f>
        <v>Finance</v>
      </c>
      <c r="J345" t="s">
        <v>63</v>
      </c>
      <c r="K345" t="s">
        <v>212</v>
      </c>
      <c r="L345">
        <v>2</v>
      </c>
      <c r="M345" s="9">
        <v>134398</v>
      </c>
      <c r="N345" s="4">
        <v>5.8999999999999997E-2</v>
      </c>
      <c r="O345" s="4">
        <f t="shared" si="5"/>
        <v>5.8999999999999997E-2</v>
      </c>
      <c r="P345" s="11">
        <v>268796</v>
      </c>
      <c r="Q345" s="9">
        <v>15858.96</v>
      </c>
      <c r="R345" s="9">
        <v>252937.04</v>
      </c>
      <c r="S345">
        <v>3</v>
      </c>
      <c r="T345">
        <v>178</v>
      </c>
      <c r="U345">
        <v>4.5</v>
      </c>
      <c r="V345">
        <v>8</v>
      </c>
      <c r="W345">
        <f>IF('Cleaned Data'!V345&lt;0,"Review",'Cleaned Data'!V345)</f>
        <v>8</v>
      </c>
      <c r="X345">
        <v>3</v>
      </c>
      <c r="Y345" s="7">
        <f>IFERROR('Cleaned Data'!R345/'Cleaned Data'!L345,0)</f>
        <v>126468.52</v>
      </c>
      <c r="Z345" t="str">
        <f>TEXT(EV_Sales[[#This Row],[Order_Date]],"mmm-yyyy")</f>
        <v>Aug-2025</v>
      </c>
      <c r="AA345">
        <f>MONTH(EV_Sales[[#This Row],[Order_Date]])</f>
        <v>8</v>
      </c>
      <c r="AB345" s="12" t="str">
        <f>"Q"&amp;ROUNDUP(MONTH(EV_Sales[[#This Row],[Order_Date]])/3,0)</f>
        <v>Q3</v>
      </c>
    </row>
    <row r="346" spans="1:28" x14ac:dyDescent="0.3">
      <c r="A346" t="s">
        <v>451</v>
      </c>
      <c r="B346" s="2">
        <v>45997</v>
      </c>
      <c r="C346" t="s">
        <v>39</v>
      </c>
      <c r="D346" t="s">
        <v>154</v>
      </c>
      <c r="E346" t="s">
        <v>62</v>
      </c>
      <c r="F346" t="s">
        <v>70</v>
      </c>
      <c r="G346" t="s">
        <v>34</v>
      </c>
      <c r="H346" t="s">
        <v>809</v>
      </c>
      <c r="I346" t="str">
        <f>IF('Cleaned Data'!H346="Emi","EMI",'Cleaned Data'!H346)</f>
        <v>EMI</v>
      </c>
      <c r="J346" t="s">
        <v>63</v>
      </c>
      <c r="K346" t="s">
        <v>78</v>
      </c>
      <c r="L346">
        <v>2</v>
      </c>
      <c r="M346" s="9">
        <v>175052</v>
      </c>
      <c r="N346" s="4">
        <v>6.0999999999999999E-2</v>
      </c>
      <c r="O346" s="4">
        <f t="shared" si="5"/>
        <v>6.0999999999999999E-2</v>
      </c>
      <c r="P346" s="11">
        <v>350104</v>
      </c>
      <c r="Q346" s="9">
        <v>21356.34</v>
      </c>
      <c r="R346" s="9">
        <v>328747.65999999997</v>
      </c>
      <c r="S346">
        <v>3</v>
      </c>
      <c r="T346">
        <v>171</v>
      </c>
      <c r="U346">
        <v>3.8</v>
      </c>
      <c r="V346">
        <v>9</v>
      </c>
      <c r="W346">
        <f>IF('Cleaned Data'!V346&lt;0,"Review",'Cleaned Data'!V346)</f>
        <v>9</v>
      </c>
      <c r="X346">
        <v>2</v>
      </c>
      <c r="Y346" s="7">
        <f>IFERROR('Cleaned Data'!R346/'Cleaned Data'!L346,0)</f>
        <v>164373.82999999999</v>
      </c>
      <c r="Z346" t="str">
        <f>TEXT(EV_Sales[[#This Row],[Order_Date]],"mmm-yyyy")</f>
        <v>Dec-2025</v>
      </c>
      <c r="AA346">
        <f>MONTH(EV_Sales[[#This Row],[Order_Date]])</f>
        <v>12</v>
      </c>
      <c r="AB346" s="12" t="str">
        <f>"Q"&amp;ROUNDUP(MONTH(EV_Sales[[#This Row],[Order_Date]])/3,0)</f>
        <v>Q4</v>
      </c>
    </row>
    <row r="347" spans="1:28" x14ac:dyDescent="0.3">
      <c r="A347" t="s">
        <v>452</v>
      </c>
      <c r="B347" s="2">
        <v>46015</v>
      </c>
      <c r="C347" t="s">
        <v>87</v>
      </c>
      <c r="D347" t="s">
        <v>130</v>
      </c>
      <c r="E347" t="s">
        <v>24</v>
      </c>
      <c r="F347" t="s">
        <v>74</v>
      </c>
      <c r="G347" t="s">
        <v>56</v>
      </c>
      <c r="H347" t="s">
        <v>53</v>
      </c>
      <c r="I347" t="str">
        <f>IF('Cleaned Data'!H347="Emi","EMI",'Cleaned Data'!H347)</f>
        <v>Cash</v>
      </c>
      <c r="J347" t="s">
        <v>94</v>
      </c>
      <c r="K347" t="s">
        <v>42</v>
      </c>
      <c r="L347">
        <v>2</v>
      </c>
      <c r="M347" s="9">
        <v>103793</v>
      </c>
      <c r="N347" s="4">
        <v>9.9000000000000005E-2</v>
      </c>
      <c r="O347" s="4">
        <f t="shared" si="5"/>
        <v>9.9000000000000005E-2</v>
      </c>
      <c r="P347" s="11">
        <v>207586</v>
      </c>
      <c r="Q347" s="9">
        <v>20551.009999999998</v>
      </c>
      <c r="R347" s="9">
        <v>187034.99</v>
      </c>
      <c r="S347">
        <v>5</v>
      </c>
      <c r="T347">
        <v>209</v>
      </c>
      <c r="U347">
        <v>3.8</v>
      </c>
      <c r="V347">
        <v>3</v>
      </c>
      <c r="W347">
        <f>IF('Cleaned Data'!V347&lt;0,"Review",'Cleaned Data'!V347)</f>
        <v>3</v>
      </c>
      <c r="X347">
        <v>5</v>
      </c>
      <c r="Y347" s="7">
        <f>IFERROR('Cleaned Data'!R347/'Cleaned Data'!L347,0)</f>
        <v>93517.494999999995</v>
      </c>
      <c r="Z347" t="str">
        <f>TEXT(EV_Sales[[#This Row],[Order_Date]],"mmm-yyyy")</f>
        <v>Dec-2025</v>
      </c>
      <c r="AA347">
        <f>MONTH(EV_Sales[[#This Row],[Order_Date]])</f>
        <v>12</v>
      </c>
      <c r="AB347" s="12" t="str">
        <f>"Q"&amp;ROUNDUP(MONTH(EV_Sales[[#This Row],[Order_Date]])/3,0)</f>
        <v>Q4</v>
      </c>
    </row>
    <row r="348" spans="1:28" x14ac:dyDescent="0.3">
      <c r="A348" t="s">
        <v>453</v>
      </c>
      <c r="B348" s="2">
        <v>45691</v>
      </c>
      <c r="C348" t="s">
        <v>39</v>
      </c>
      <c r="D348" t="s">
        <v>154</v>
      </c>
      <c r="E348" t="s">
        <v>24</v>
      </c>
      <c r="F348" t="s">
        <v>33</v>
      </c>
      <c r="G348" t="s">
        <v>26</v>
      </c>
      <c r="H348" t="s">
        <v>27</v>
      </c>
      <c r="I348" t="str">
        <f>IF('Cleaned Data'!H348="Emi","EMI",'Cleaned Data'!H348)</f>
        <v>Finance</v>
      </c>
      <c r="J348" t="s">
        <v>36</v>
      </c>
      <c r="K348" t="s">
        <v>72</v>
      </c>
      <c r="L348">
        <v>1</v>
      </c>
      <c r="M348" s="9">
        <v>192177</v>
      </c>
      <c r="N348" s="4">
        <v>0.03</v>
      </c>
      <c r="O348" s="4">
        <f t="shared" si="5"/>
        <v>0.03</v>
      </c>
      <c r="P348" s="11">
        <v>192177</v>
      </c>
      <c r="Q348" s="9">
        <v>5765.31</v>
      </c>
      <c r="R348" s="9">
        <v>186411.69</v>
      </c>
      <c r="S348">
        <v>5</v>
      </c>
      <c r="T348">
        <v>195</v>
      </c>
      <c r="U348">
        <v>4</v>
      </c>
      <c r="V348">
        <v>9</v>
      </c>
      <c r="W348">
        <f>IF('Cleaned Data'!V348&lt;0,"Review",'Cleaned Data'!V348)</f>
        <v>9</v>
      </c>
      <c r="X348">
        <v>5</v>
      </c>
      <c r="Y348" s="7">
        <f>IFERROR('Cleaned Data'!R348/'Cleaned Data'!L348,0)</f>
        <v>186411.69</v>
      </c>
      <c r="Z348" t="str">
        <f>TEXT(EV_Sales[[#This Row],[Order_Date]],"mmm-yyyy")</f>
        <v>Feb-2025</v>
      </c>
      <c r="AA348">
        <f>MONTH(EV_Sales[[#This Row],[Order_Date]])</f>
        <v>2</v>
      </c>
      <c r="AB348" s="12" t="str">
        <f>"Q"&amp;ROUNDUP(MONTH(EV_Sales[[#This Row],[Order_Date]])/3,0)</f>
        <v>Q1</v>
      </c>
    </row>
    <row r="349" spans="1:28" x14ac:dyDescent="0.3">
      <c r="A349" t="s">
        <v>454</v>
      </c>
      <c r="B349" s="2">
        <v>45846</v>
      </c>
      <c r="C349" t="s">
        <v>39</v>
      </c>
      <c r="D349" t="s">
        <v>154</v>
      </c>
      <c r="E349" t="s">
        <v>62</v>
      </c>
      <c r="F349" t="s">
        <v>66</v>
      </c>
      <c r="G349" t="s">
        <v>67</v>
      </c>
      <c r="H349" t="s">
        <v>53</v>
      </c>
      <c r="I349" t="str">
        <f>IF('Cleaned Data'!H349="Emi","EMI",'Cleaned Data'!H349)</f>
        <v>Cash</v>
      </c>
      <c r="J349" t="s">
        <v>57</v>
      </c>
      <c r="K349" t="s">
        <v>104</v>
      </c>
      <c r="L349">
        <v>1</v>
      </c>
      <c r="M349" s="9">
        <v>193200</v>
      </c>
      <c r="N349" s="4">
        <v>5.2999999999999999E-2</v>
      </c>
      <c r="O349" s="4">
        <f t="shared" si="5"/>
        <v>5.2999999999999999E-2</v>
      </c>
      <c r="P349" s="11">
        <v>193200</v>
      </c>
      <c r="Q349" s="9">
        <v>10239.6</v>
      </c>
      <c r="R349" s="9">
        <v>182960.4</v>
      </c>
      <c r="S349">
        <v>4</v>
      </c>
      <c r="T349">
        <v>190</v>
      </c>
      <c r="U349">
        <v>4.4000000000000004</v>
      </c>
      <c r="V349">
        <v>5</v>
      </c>
      <c r="W349">
        <f>IF('Cleaned Data'!V349&lt;0,"Review",'Cleaned Data'!V349)</f>
        <v>5</v>
      </c>
      <c r="X349">
        <v>3</v>
      </c>
      <c r="Y349" s="7">
        <f>IFERROR('Cleaned Data'!R349/'Cleaned Data'!L349,0)</f>
        <v>182960.4</v>
      </c>
      <c r="Z349" t="str">
        <f>TEXT(EV_Sales[[#This Row],[Order_Date]],"mmm-yyyy")</f>
        <v>Jul-2025</v>
      </c>
      <c r="AA349">
        <f>MONTH(EV_Sales[[#This Row],[Order_Date]])</f>
        <v>7</v>
      </c>
      <c r="AB349" s="12" t="str">
        <f>"Q"&amp;ROUNDUP(MONTH(EV_Sales[[#This Row],[Order_Date]])/3,0)</f>
        <v>Q3</v>
      </c>
    </row>
    <row r="350" spans="1:28" x14ac:dyDescent="0.3">
      <c r="A350" t="s">
        <v>455</v>
      </c>
      <c r="B350" s="2">
        <v>45969</v>
      </c>
      <c r="C350" t="s">
        <v>22</v>
      </c>
      <c r="D350" t="s">
        <v>23</v>
      </c>
      <c r="E350" t="s">
        <v>62</v>
      </c>
      <c r="F350" t="s">
        <v>101</v>
      </c>
      <c r="G350" t="s">
        <v>67</v>
      </c>
      <c r="H350" t="s">
        <v>53</v>
      </c>
      <c r="I350" t="str">
        <f>IF('Cleaned Data'!H350="Emi","EMI",'Cleaned Data'!H350)</f>
        <v>Cash</v>
      </c>
      <c r="J350" t="s">
        <v>48</v>
      </c>
      <c r="K350" t="s">
        <v>203</v>
      </c>
      <c r="L350">
        <v>2</v>
      </c>
      <c r="M350" s="9">
        <v>123299</v>
      </c>
      <c r="N350" s="4">
        <v>8.4000000000000005E-2</v>
      </c>
      <c r="O350" s="4">
        <f t="shared" si="5"/>
        <v>8.4000000000000005E-2</v>
      </c>
      <c r="P350" s="11">
        <v>246598</v>
      </c>
      <c r="Q350" s="9">
        <v>20714.23</v>
      </c>
      <c r="R350" s="9">
        <v>225883.77</v>
      </c>
      <c r="S350">
        <v>3</v>
      </c>
      <c r="T350">
        <v>163</v>
      </c>
      <c r="U350">
        <v>4.0999999999999996</v>
      </c>
      <c r="V350">
        <v>8</v>
      </c>
      <c r="W350">
        <f>IF('Cleaned Data'!V350&lt;0,"Review",'Cleaned Data'!V350)</f>
        <v>8</v>
      </c>
      <c r="X350">
        <v>2</v>
      </c>
      <c r="Y350" s="7">
        <f>IFERROR('Cleaned Data'!R350/'Cleaned Data'!L350,0)</f>
        <v>112941.88499999999</v>
      </c>
      <c r="Z350" t="str">
        <f>TEXT(EV_Sales[[#This Row],[Order_Date]],"mmm-yyyy")</f>
        <v>Nov-2025</v>
      </c>
      <c r="AA350">
        <f>MONTH(EV_Sales[[#This Row],[Order_Date]])</f>
        <v>11</v>
      </c>
      <c r="AB350" s="12" t="str">
        <f>"Q"&amp;ROUNDUP(MONTH(EV_Sales[[#This Row],[Order_Date]])/3,0)</f>
        <v>Q4</v>
      </c>
    </row>
    <row r="351" spans="1:28" x14ac:dyDescent="0.3">
      <c r="A351" t="s">
        <v>456</v>
      </c>
      <c r="B351" s="2">
        <v>45844</v>
      </c>
      <c r="C351" t="s">
        <v>60</v>
      </c>
      <c r="D351" t="s">
        <v>69</v>
      </c>
      <c r="E351" t="s">
        <v>62</v>
      </c>
      <c r="F351" t="s">
        <v>74</v>
      </c>
      <c r="G351" t="s">
        <v>34</v>
      </c>
      <c r="H351" t="s">
        <v>809</v>
      </c>
      <c r="I351" t="str">
        <f>IF('Cleaned Data'!H351="Emi","EMI",'Cleaned Data'!H351)</f>
        <v>EMI</v>
      </c>
      <c r="J351" t="s">
        <v>48</v>
      </c>
      <c r="K351" t="s">
        <v>212</v>
      </c>
      <c r="L351">
        <v>2</v>
      </c>
      <c r="M351" s="9">
        <v>105475</v>
      </c>
      <c r="N351" s="4">
        <v>0.10299999999999999</v>
      </c>
      <c r="O351" s="4">
        <f t="shared" si="5"/>
        <v>0.10299999999999999</v>
      </c>
      <c r="P351" s="11">
        <v>210950</v>
      </c>
      <c r="Q351" s="9">
        <v>21727.85</v>
      </c>
      <c r="R351" s="9">
        <v>189222.15</v>
      </c>
      <c r="S351">
        <v>4</v>
      </c>
      <c r="T351">
        <v>174</v>
      </c>
      <c r="U351">
        <v>4.2</v>
      </c>
      <c r="V351">
        <v>5</v>
      </c>
      <c r="W351">
        <f>IF('Cleaned Data'!V351&lt;0,"Review",'Cleaned Data'!V351)</f>
        <v>5</v>
      </c>
      <c r="X351">
        <v>3</v>
      </c>
      <c r="Y351" s="7">
        <f>IFERROR('Cleaned Data'!R351/'Cleaned Data'!L351,0)</f>
        <v>94611.074999999997</v>
      </c>
      <c r="Z351" t="str">
        <f>TEXT(EV_Sales[[#This Row],[Order_Date]],"mmm-yyyy")</f>
        <v>Jul-2025</v>
      </c>
      <c r="AA351">
        <f>MONTH(EV_Sales[[#This Row],[Order_Date]])</f>
        <v>7</v>
      </c>
      <c r="AB351" s="12" t="str">
        <f>"Q"&amp;ROUNDUP(MONTH(EV_Sales[[#This Row],[Order_Date]])/3,0)</f>
        <v>Q3</v>
      </c>
    </row>
    <row r="352" spans="1:28" x14ac:dyDescent="0.3">
      <c r="A352" t="s">
        <v>457</v>
      </c>
      <c r="B352" s="2">
        <v>45992</v>
      </c>
      <c r="C352" t="s">
        <v>87</v>
      </c>
      <c r="D352" t="s">
        <v>88</v>
      </c>
      <c r="E352" t="s">
        <v>24</v>
      </c>
      <c r="F352" t="s">
        <v>52</v>
      </c>
      <c r="G352" t="s">
        <v>34</v>
      </c>
      <c r="H352" t="s">
        <v>53</v>
      </c>
      <c r="I352" t="str">
        <f>IF('Cleaned Data'!H352="Emi","EMI",'Cleaned Data'!H352)</f>
        <v>Cash</v>
      </c>
      <c r="J352" t="s">
        <v>28</v>
      </c>
      <c r="K352" t="s">
        <v>81</v>
      </c>
      <c r="L352">
        <v>1</v>
      </c>
      <c r="M352" s="9">
        <v>148345</v>
      </c>
      <c r="N352" s="4">
        <v>0.106</v>
      </c>
      <c r="O352" s="4">
        <f t="shared" si="5"/>
        <v>0.106</v>
      </c>
      <c r="P352" s="11">
        <v>148345</v>
      </c>
      <c r="Q352" s="9">
        <v>15724.57</v>
      </c>
      <c r="R352" s="9">
        <v>132620.43</v>
      </c>
      <c r="S352">
        <v>3</v>
      </c>
      <c r="T352">
        <v>175</v>
      </c>
      <c r="U352">
        <v>4.8</v>
      </c>
      <c r="V352">
        <v>14</v>
      </c>
      <c r="W352">
        <f>IF('Cleaned Data'!V352&lt;0,"Review",'Cleaned Data'!V352)</f>
        <v>14</v>
      </c>
      <c r="X352">
        <v>2</v>
      </c>
      <c r="Y352" s="7">
        <f>IFERROR('Cleaned Data'!R352/'Cleaned Data'!L352,0)</f>
        <v>132620.43</v>
      </c>
      <c r="Z352" t="str">
        <f>TEXT(EV_Sales[[#This Row],[Order_Date]],"mmm-yyyy")</f>
        <v>Dec-2025</v>
      </c>
      <c r="AA352">
        <f>MONTH(EV_Sales[[#This Row],[Order_Date]])</f>
        <v>12</v>
      </c>
      <c r="AB352" s="12" t="str">
        <f>"Q"&amp;ROUNDUP(MONTH(EV_Sales[[#This Row],[Order_Date]])/3,0)</f>
        <v>Q4</v>
      </c>
    </row>
    <row r="353" spans="1:28" x14ac:dyDescent="0.3">
      <c r="A353" t="s">
        <v>458</v>
      </c>
      <c r="B353" s="2">
        <v>45658</v>
      </c>
      <c r="C353" t="s">
        <v>76</v>
      </c>
      <c r="D353" t="s">
        <v>77</v>
      </c>
      <c r="E353" t="s">
        <v>46</v>
      </c>
      <c r="F353" t="s">
        <v>70</v>
      </c>
      <c r="G353" t="s">
        <v>26</v>
      </c>
      <c r="H353" t="s">
        <v>27</v>
      </c>
      <c r="I353" t="str">
        <f>IF('Cleaned Data'!H353="Emi","EMI",'Cleaned Data'!H353)</f>
        <v>Finance</v>
      </c>
      <c r="J353" t="s">
        <v>63</v>
      </c>
      <c r="K353" t="s">
        <v>109</v>
      </c>
      <c r="L353">
        <v>1</v>
      </c>
      <c r="M353" s="9">
        <v>141489</v>
      </c>
      <c r="N353" s="4">
        <v>7.2999999999999995E-2</v>
      </c>
      <c r="O353" s="4">
        <f t="shared" si="5"/>
        <v>7.2999999999999995E-2</v>
      </c>
      <c r="P353" s="11">
        <v>141489</v>
      </c>
      <c r="Q353" s="9">
        <v>10328.700000000001</v>
      </c>
      <c r="R353" s="9">
        <v>131160.29999999999</v>
      </c>
      <c r="S353">
        <v>3</v>
      </c>
      <c r="T353">
        <v>162</v>
      </c>
      <c r="U353">
        <v>3.5</v>
      </c>
      <c r="V353">
        <v>8</v>
      </c>
      <c r="W353">
        <f>IF('Cleaned Data'!V353&lt;0,"Review",'Cleaned Data'!V353)</f>
        <v>8</v>
      </c>
      <c r="X353">
        <v>5</v>
      </c>
      <c r="Y353" s="7">
        <f>IFERROR('Cleaned Data'!R353/'Cleaned Data'!L353,0)</f>
        <v>131160.29999999999</v>
      </c>
      <c r="Z353" t="str">
        <f>TEXT(EV_Sales[[#This Row],[Order_Date]],"mmm-yyyy")</f>
        <v>Jan-2025</v>
      </c>
      <c r="AA353">
        <f>MONTH(EV_Sales[[#This Row],[Order_Date]])</f>
        <v>1</v>
      </c>
      <c r="AB353" s="12" t="str">
        <f>"Q"&amp;ROUNDUP(MONTH(EV_Sales[[#This Row],[Order_Date]])/3,0)</f>
        <v>Q1</v>
      </c>
    </row>
    <row r="354" spans="1:28" x14ac:dyDescent="0.3">
      <c r="A354" t="s">
        <v>459</v>
      </c>
      <c r="B354" s="2">
        <v>46014</v>
      </c>
      <c r="C354" t="s">
        <v>99</v>
      </c>
      <c r="D354" t="s">
        <v>141</v>
      </c>
      <c r="E354" t="s">
        <v>46</v>
      </c>
      <c r="F354" t="s">
        <v>74</v>
      </c>
      <c r="G354" t="s">
        <v>34</v>
      </c>
      <c r="H354" t="s">
        <v>27</v>
      </c>
      <c r="I354" t="str">
        <f>IF('Cleaned Data'!H354="Emi","EMI",'Cleaned Data'!H354)</f>
        <v>Finance</v>
      </c>
      <c r="J354" t="s">
        <v>48</v>
      </c>
      <c r="K354" t="s">
        <v>203</v>
      </c>
      <c r="L354">
        <v>2</v>
      </c>
      <c r="M354" s="9">
        <v>143269</v>
      </c>
      <c r="N354" s="4">
        <v>6.2E-2</v>
      </c>
      <c r="O354" s="4">
        <f t="shared" si="5"/>
        <v>6.2E-2</v>
      </c>
      <c r="P354" s="11">
        <v>286538</v>
      </c>
      <c r="Q354" s="9">
        <v>17765.36</v>
      </c>
      <c r="R354" s="9">
        <v>268772.64</v>
      </c>
      <c r="S354">
        <v>3</v>
      </c>
      <c r="T354">
        <v>156</v>
      </c>
      <c r="U354">
        <v>4.4000000000000004</v>
      </c>
      <c r="V354">
        <v>3</v>
      </c>
      <c r="W354">
        <f>IF('Cleaned Data'!V354&lt;0,"Review",'Cleaned Data'!V354)</f>
        <v>3</v>
      </c>
      <c r="X354">
        <v>3</v>
      </c>
      <c r="Y354" s="7">
        <f>IFERROR('Cleaned Data'!R354/'Cleaned Data'!L354,0)</f>
        <v>134386.32</v>
      </c>
      <c r="Z354" t="str">
        <f>TEXT(EV_Sales[[#This Row],[Order_Date]],"mmm-yyyy")</f>
        <v>Dec-2025</v>
      </c>
      <c r="AA354">
        <f>MONTH(EV_Sales[[#This Row],[Order_Date]])</f>
        <v>12</v>
      </c>
      <c r="AB354" s="12" t="str">
        <f>"Q"&amp;ROUNDUP(MONTH(EV_Sales[[#This Row],[Order_Date]])/3,0)</f>
        <v>Q4</v>
      </c>
    </row>
    <row r="355" spans="1:28" x14ac:dyDescent="0.3">
      <c r="A355" t="s">
        <v>460</v>
      </c>
      <c r="B355" s="2">
        <v>46007</v>
      </c>
      <c r="C355" t="s">
        <v>60</v>
      </c>
      <c r="D355" t="s">
        <v>69</v>
      </c>
      <c r="E355" t="s">
        <v>46</v>
      </c>
      <c r="F355" t="s">
        <v>101</v>
      </c>
      <c r="G355" t="s">
        <v>67</v>
      </c>
      <c r="H355" t="s">
        <v>27</v>
      </c>
      <c r="I355" t="str">
        <f>IF('Cleaned Data'!H355="Emi","EMI",'Cleaned Data'!H355)</f>
        <v>Finance</v>
      </c>
      <c r="J355" t="s">
        <v>57</v>
      </c>
      <c r="K355" t="s">
        <v>138</v>
      </c>
      <c r="L355">
        <v>2</v>
      </c>
      <c r="M355" s="9">
        <v>113337</v>
      </c>
      <c r="N355" s="4">
        <v>6.4000000000000001E-2</v>
      </c>
      <c r="O355" s="4">
        <f t="shared" si="5"/>
        <v>6.4000000000000001E-2</v>
      </c>
      <c r="P355" s="11">
        <v>226674</v>
      </c>
      <c r="Q355" s="9">
        <v>14507.14</v>
      </c>
      <c r="R355" s="9">
        <v>212166.86</v>
      </c>
      <c r="S355">
        <v>5</v>
      </c>
      <c r="T355">
        <v>194</v>
      </c>
      <c r="U355">
        <v>4</v>
      </c>
      <c r="V355">
        <v>9</v>
      </c>
      <c r="W355">
        <f>IF('Cleaned Data'!V355&lt;0,"Review",'Cleaned Data'!V355)</f>
        <v>9</v>
      </c>
      <c r="X355">
        <v>2</v>
      </c>
      <c r="Y355" s="7">
        <f>IFERROR('Cleaned Data'!R355/'Cleaned Data'!L355,0)</f>
        <v>106083.43</v>
      </c>
      <c r="Z355" t="str">
        <f>TEXT(EV_Sales[[#This Row],[Order_Date]],"mmm-yyyy")</f>
        <v>Dec-2025</v>
      </c>
      <c r="AA355">
        <f>MONTH(EV_Sales[[#This Row],[Order_Date]])</f>
        <v>12</v>
      </c>
      <c r="AB355" s="12" t="str">
        <f>"Q"&amp;ROUNDUP(MONTH(EV_Sales[[#This Row],[Order_Date]])/3,0)</f>
        <v>Q4</v>
      </c>
    </row>
    <row r="356" spans="1:28" x14ac:dyDescent="0.3">
      <c r="A356" t="s">
        <v>461</v>
      </c>
      <c r="B356" s="2">
        <v>45977</v>
      </c>
      <c r="C356" t="s">
        <v>44</v>
      </c>
      <c r="D356" t="s">
        <v>51</v>
      </c>
      <c r="E356" t="s">
        <v>46</v>
      </c>
      <c r="F356" t="s">
        <v>47</v>
      </c>
      <c r="G356" t="s">
        <v>56</v>
      </c>
      <c r="H356" t="s">
        <v>809</v>
      </c>
      <c r="I356" t="str">
        <f>IF('Cleaned Data'!H356="Emi","EMI",'Cleaned Data'!H356)</f>
        <v>EMI</v>
      </c>
      <c r="J356" t="s">
        <v>63</v>
      </c>
      <c r="K356" t="s">
        <v>64</v>
      </c>
      <c r="L356">
        <v>1</v>
      </c>
      <c r="M356" s="9">
        <v>126613</v>
      </c>
      <c r="N356" s="4">
        <v>9.5000000000000001E-2</v>
      </c>
      <c r="O356" s="4">
        <f t="shared" si="5"/>
        <v>9.5000000000000001E-2</v>
      </c>
      <c r="P356" s="11">
        <v>126613</v>
      </c>
      <c r="Q356" s="9">
        <v>12028.24</v>
      </c>
      <c r="R356" s="9">
        <v>114584.76</v>
      </c>
      <c r="S356">
        <v>4</v>
      </c>
      <c r="T356">
        <v>186</v>
      </c>
      <c r="U356">
        <v>4.4000000000000004</v>
      </c>
      <c r="V356">
        <v>2</v>
      </c>
      <c r="W356">
        <f>IF('Cleaned Data'!V356&lt;0,"Review",'Cleaned Data'!V356)</f>
        <v>2</v>
      </c>
      <c r="X356">
        <v>2</v>
      </c>
      <c r="Y356" s="7">
        <f>IFERROR('Cleaned Data'!R356/'Cleaned Data'!L356,0)</f>
        <v>114584.76</v>
      </c>
      <c r="Z356" t="str">
        <f>TEXT(EV_Sales[[#This Row],[Order_Date]],"mmm-yyyy")</f>
        <v>Nov-2025</v>
      </c>
      <c r="AA356">
        <f>MONTH(EV_Sales[[#This Row],[Order_Date]])</f>
        <v>11</v>
      </c>
      <c r="AB356" s="12" t="str">
        <f>"Q"&amp;ROUNDUP(MONTH(EV_Sales[[#This Row],[Order_Date]])/3,0)</f>
        <v>Q4</v>
      </c>
    </row>
    <row r="357" spans="1:28" x14ac:dyDescent="0.3">
      <c r="A357" t="s">
        <v>462</v>
      </c>
      <c r="B357" s="2">
        <v>45762</v>
      </c>
      <c r="C357" t="s">
        <v>44</v>
      </c>
      <c r="D357" t="s">
        <v>51</v>
      </c>
      <c r="E357" t="s">
        <v>24</v>
      </c>
      <c r="F357" t="s">
        <v>80</v>
      </c>
      <c r="G357" t="s">
        <v>67</v>
      </c>
      <c r="H357" t="s">
        <v>53</v>
      </c>
      <c r="I357" t="str">
        <f>IF('Cleaned Data'!H357="Emi","EMI",'Cleaned Data'!H357)</f>
        <v>Cash</v>
      </c>
      <c r="J357" t="s">
        <v>94</v>
      </c>
      <c r="K357" t="s">
        <v>138</v>
      </c>
      <c r="L357">
        <v>2</v>
      </c>
      <c r="M357" s="9">
        <v>128219</v>
      </c>
      <c r="N357" s="4">
        <v>3.1E-2</v>
      </c>
      <c r="O357" s="4">
        <f t="shared" si="5"/>
        <v>3.1E-2</v>
      </c>
      <c r="P357" s="11">
        <v>256438</v>
      </c>
      <c r="Q357" s="9">
        <v>7949.58</v>
      </c>
      <c r="R357" s="9">
        <v>248488.42</v>
      </c>
      <c r="S357">
        <v>3</v>
      </c>
      <c r="T357">
        <v>153</v>
      </c>
      <c r="U357">
        <v>4.5</v>
      </c>
      <c r="V357">
        <v>2</v>
      </c>
      <c r="W357">
        <f>IF('Cleaned Data'!V357&lt;0,"Review",'Cleaned Data'!V357)</f>
        <v>2</v>
      </c>
      <c r="X357">
        <v>2</v>
      </c>
      <c r="Y357" s="7">
        <f>IFERROR('Cleaned Data'!R357/'Cleaned Data'!L357,0)</f>
        <v>124244.21</v>
      </c>
      <c r="Z357" t="str">
        <f>TEXT(EV_Sales[[#This Row],[Order_Date]],"mmm-yyyy")</f>
        <v>Apr-2025</v>
      </c>
      <c r="AA357">
        <f>MONTH(EV_Sales[[#This Row],[Order_Date]])</f>
        <v>4</v>
      </c>
      <c r="AB357" s="12" t="str">
        <f>"Q"&amp;ROUNDUP(MONTH(EV_Sales[[#This Row],[Order_Date]])/3,0)</f>
        <v>Q2</v>
      </c>
    </row>
    <row r="358" spans="1:28" x14ac:dyDescent="0.3">
      <c r="A358" t="s">
        <v>463</v>
      </c>
      <c r="B358" s="2">
        <v>45736</v>
      </c>
      <c r="C358" t="s">
        <v>22</v>
      </c>
      <c r="D358" t="s">
        <v>107</v>
      </c>
      <c r="E358" t="s">
        <v>24</v>
      </c>
      <c r="F358" t="s">
        <v>74</v>
      </c>
      <c r="G358" t="s">
        <v>34</v>
      </c>
      <c r="H358" t="s">
        <v>27</v>
      </c>
      <c r="I358" t="str">
        <f>IF('Cleaned Data'!H358="Emi","EMI",'Cleaned Data'!H358)</f>
        <v>Finance</v>
      </c>
      <c r="J358" t="s">
        <v>57</v>
      </c>
      <c r="K358" t="s">
        <v>81</v>
      </c>
      <c r="L358">
        <v>3</v>
      </c>
      <c r="M358" s="9">
        <v>144763</v>
      </c>
      <c r="N358" s="4">
        <v>2.3E-2</v>
      </c>
      <c r="O358" s="4">
        <f t="shared" si="5"/>
        <v>2.3E-2</v>
      </c>
      <c r="P358" s="11">
        <v>434289</v>
      </c>
      <c r="Q358" s="9">
        <v>9988.65</v>
      </c>
      <c r="R358" s="9">
        <v>424300.35</v>
      </c>
      <c r="S358">
        <v>4</v>
      </c>
      <c r="T358">
        <v>189</v>
      </c>
      <c r="U358">
        <v>3.3</v>
      </c>
      <c r="V358">
        <v>7</v>
      </c>
      <c r="W358">
        <f>IF('Cleaned Data'!V358&lt;0,"Review",'Cleaned Data'!V358)</f>
        <v>7</v>
      </c>
      <c r="X358">
        <v>3</v>
      </c>
      <c r="Y358" s="7">
        <f>IFERROR('Cleaned Data'!R358/'Cleaned Data'!L358,0)</f>
        <v>141433.44999999998</v>
      </c>
      <c r="Z358" t="str">
        <f>TEXT(EV_Sales[[#This Row],[Order_Date]],"mmm-yyyy")</f>
        <v>Mar-2025</v>
      </c>
      <c r="AA358">
        <f>MONTH(EV_Sales[[#This Row],[Order_Date]])</f>
        <v>3</v>
      </c>
      <c r="AB358" s="12" t="str">
        <f>"Q"&amp;ROUNDUP(MONTH(EV_Sales[[#This Row],[Order_Date]])/3,0)</f>
        <v>Q1</v>
      </c>
    </row>
    <row r="359" spans="1:28" x14ac:dyDescent="0.3">
      <c r="A359" t="s">
        <v>464</v>
      </c>
      <c r="B359" s="2">
        <v>45942</v>
      </c>
      <c r="C359" t="s">
        <v>99</v>
      </c>
      <c r="D359" t="s">
        <v>121</v>
      </c>
      <c r="E359" t="s">
        <v>24</v>
      </c>
      <c r="F359" t="s">
        <v>52</v>
      </c>
      <c r="G359" t="s">
        <v>67</v>
      </c>
      <c r="H359" t="s">
        <v>27</v>
      </c>
      <c r="I359" t="str">
        <f>IF('Cleaned Data'!H359="Emi","EMI",'Cleaned Data'!H359)</f>
        <v>Finance</v>
      </c>
      <c r="J359" t="s">
        <v>57</v>
      </c>
      <c r="K359" t="s">
        <v>92</v>
      </c>
      <c r="L359">
        <v>2</v>
      </c>
      <c r="M359" s="9">
        <v>103780</v>
      </c>
      <c r="N359" s="4">
        <v>2.1000000000000001E-2</v>
      </c>
      <c r="O359" s="4">
        <f t="shared" si="5"/>
        <v>2.1000000000000001E-2</v>
      </c>
      <c r="P359" s="11">
        <v>207560</v>
      </c>
      <c r="Q359" s="9">
        <v>4358.76</v>
      </c>
      <c r="R359" s="9">
        <v>203201.24</v>
      </c>
      <c r="S359">
        <v>3</v>
      </c>
      <c r="T359">
        <v>171</v>
      </c>
      <c r="U359">
        <v>3.9</v>
      </c>
      <c r="V359">
        <v>5</v>
      </c>
      <c r="W359">
        <f>IF('Cleaned Data'!V359&lt;0,"Review",'Cleaned Data'!V359)</f>
        <v>5</v>
      </c>
      <c r="X359">
        <v>5</v>
      </c>
      <c r="Y359" s="7">
        <f>IFERROR('Cleaned Data'!R359/'Cleaned Data'!L359,0)</f>
        <v>101600.62</v>
      </c>
      <c r="Z359" t="str">
        <f>TEXT(EV_Sales[[#This Row],[Order_Date]],"mmm-yyyy")</f>
        <v>Oct-2025</v>
      </c>
      <c r="AA359">
        <f>MONTH(EV_Sales[[#This Row],[Order_Date]])</f>
        <v>10</v>
      </c>
      <c r="AB359" s="12" t="str">
        <f>"Q"&amp;ROUNDUP(MONTH(EV_Sales[[#This Row],[Order_Date]])/3,0)</f>
        <v>Q4</v>
      </c>
    </row>
    <row r="360" spans="1:28" x14ac:dyDescent="0.3">
      <c r="A360" t="s">
        <v>465</v>
      </c>
      <c r="B360" s="2">
        <v>45740</v>
      </c>
      <c r="C360" t="s">
        <v>31</v>
      </c>
      <c r="D360" t="s">
        <v>32</v>
      </c>
      <c r="E360" t="s">
        <v>46</v>
      </c>
      <c r="F360" t="s">
        <v>101</v>
      </c>
      <c r="G360" t="s">
        <v>26</v>
      </c>
      <c r="H360" t="s">
        <v>53</v>
      </c>
      <c r="I360" t="str">
        <f>IF('Cleaned Data'!H360="Emi","EMI",'Cleaned Data'!H360)</f>
        <v>Cash</v>
      </c>
      <c r="J360" t="s">
        <v>28</v>
      </c>
      <c r="K360" t="s">
        <v>89</v>
      </c>
      <c r="L360">
        <v>1</v>
      </c>
      <c r="M360" s="9">
        <v>104345</v>
      </c>
      <c r="N360" s="4">
        <v>4.2000000000000003E-2</v>
      </c>
      <c r="O360" s="4">
        <f t="shared" si="5"/>
        <v>4.2000000000000003E-2</v>
      </c>
      <c r="P360" s="11">
        <v>104345</v>
      </c>
      <c r="Q360" s="9">
        <v>4382.49</v>
      </c>
      <c r="R360" s="9">
        <v>99962.51</v>
      </c>
      <c r="S360">
        <v>3</v>
      </c>
      <c r="T360">
        <v>168</v>
      </c>
      <c r="U360">
        <v>4.0999999999999996</v>
      </c>
      <c r="V360">
        <v>14</v>
      </c>
      <c r="W360">
        <f>IF('Cleaned Data'!V360&lt;0,"Review",'Cleaned Data'!V360)</f>
        <v>14</v>
      </c>
      <c r="X360">
        <v>5</v>
      </c>
      <c r="Y360" s="7">
        <f>IFERROR('Cleaned Data'!R360/'Cleaned Data'!L360,0)</f>
        <v>99962.51</v>
      </c>
      <c r="Z360" t="str">
        <f>TEXT(EV_Sales[[#This Row],[Order_Date]],"mmm-yyyy")</f>
        <v>Mar-2025</v>
      </c>
      <c r="AA360">
        <f>MONTH(EV_Sales[[#This Row],[Order_Date]])</f>
        <v>3</v>
      </c>
      <c r="AB360" s="12" t="str">
        <f>"Q"&amp;ROUNDUP(MONTH(EV_Sales[[#This Row],[Order_Date]])/3,0)</f>
        <v>Q1</v>
      </c>
    </row>
    <row r="361" spans="1:28" x14ac:dyDescent="0.3">
      <c r="A361" t="s">
        <v>466</v>
      </c>
      <c r="B361" s="2">
        <v>45779</v>
      </c>
      <c r="C361" t="s">
        <v>99</v>
      </c>
      <c r="D361" t="s">
        <v>121</v>
      </c>
      <c r="E361" t="s">
        <v>24</v>
      </c>
      <c r="F361" t="s">
        <v>33</v>
      </c>
      <c r="G361" t="s">
        <v>26</v>
      </c>
      <c r="H361" t="s">
        <v>53</v>
      </c>
      <c r="I361" t="str">
        <f>IF('Cleaned Data'!H361="Emi","EMI",'Cleaned Data'!H361)</f>
        <v>Cash</v>
      </c>
      <c r="J361" t="s">
        <v>57</v>
      </c>
      <c r="K361" t="s">
        <v>81</v>
      </c>
      <c r="L361">
        <v>1</v>
      </c>
      <c r="M361" s="9">
        <v>103409</v>
      </c>
      <c r="N361" s="4">
        <v>3.5999999999999997E-2</v>
      </c>
      <c r="O361" s="4">
        <f t="shared" si="5"/>
        <v>3.5999999999999997E-2</v>
      </c>
      <c r="P361" s="11">
        <v>103409</v>
      </c>
      <c r="Q361" s="9">
        <v>3722.72</v>
      </c>
      <c r="R361" s="9">
        <v>99686.28</v>
      </c>
      <c r="S361">
        <v>4</v>
      </c>
      <c r="T361">
        <v>185</v>
      </c>
      <c r="U361">
        <v>3.7</v>
      </c>
      <c r="V361">
        <v>4</v>
      </c>
      <c r="W361">
        <f>IF('Cleaned Data'!V361&lt;0,"Review",'Cleaned Data'!V361)</f>
        <v>4</v>
      </c>
      <c r="X361">
        <v>2</v>
      </c>
      <c r="Y361" s="7">
        <f>IFERROR('Cleaned Data'!R361/'Cleaned Data'!L361,0)</f>
        <v>99686.28</v>
      </c>
      <c r="Z361" t="str">
        <f>TEXT(EV_Sales[[#This Row],[Order_Date]],"mmm-yyyy")</f>
        <v>May-2025</v>
      </c>
      <c r="AA361">
        <f>MONTH(EV_Sales[[#This Row],[Order_Date]])</f>
        <v>5</v>
      </c>
      <c r="AB361" s="12" t="str">
        <f>"Q"&amp;ROUNDUP(MONTH(EV_Sales[[#This Row],[Order_Date]])/3,0)</f>
        <v>Q2</v>
      </c>
    </row>
    <row r="362" spans="1:28" x14ac:dyDescent="0.3">
      <c r="A362" t="s">
        <v>467</v>
      </c>
      <c r="B362" s="2">
        <v>45855</v>
      </c>
      <c r="C362" t="s">
        <v>60</v>
      </c>
      <c r="D362" t="s">
        <v>69</v>
      </c>
      <c r="E362" t="s">
        <v>46</v>
      </c>
      <c r="F362" t="s">
        <v>41</v>
      </c>
      <c r="G362" t="s">
        <v>26</v>
      </c>
      <c r="H362" t="s">
        <v>809</v>
      </c>
      <c r="I362" t="str">
        <f>IF('Cleaned Data'!H362="Emi","EMI",'Cleaned Data'!H362)</f>
        <v>EMI</v>
      </c>
      <c r="J362" t="s">
        <v>57</v>
      </c>
      <c r="K362" t="s">
        <v>37</v>
      </c>
      <c r="L362">
        <v>1</v>
      </c>
      <c r="M362" s="9">
        <v>112745</v>
      </c>
      <c r="N362" s="4">
        <v>4.4999999999999998E-2</v>
      </c>
      <c r="O362" s="4">
        <f t="shared" si="5"/>
        <v>4.4999999999999998E-2</v>
      </c>
      <c r="P362" s="11">
        <v>112745</v>
      </c>
      <c r="Q362" s="9">
        <v>5073.5200000000004</v>
      </c>
      <c r="R362" s="9">
        <v>107671.48</v>
      </c>
      <c r="S362">
        <v>5</v>
      </c>
      <c r="T362">
        <v>203</v>
      </c>
      <c r="U362">
        <v>4</v>
      </c>
      <c r="V362">
        <v>9</v>
      </c>
      <c r="W362">
        <f>IF('Cleaned Data'!V362&lt;0,"Review",'Cleaned Data'!V362)</f>
        <v>9</v>
      </c>
      <c r="X362">
        <v>3</v>
      </c>
      <c r="Y362" s="7">
        <f>IFERROR('Cleaned Data'!R362/'Cleaned Data'!L362,0)</f>
        <v>107671.48</v>
      </c>
      <c r="Z362" t="str">
        <f>TEXT(EV_Sales[[#This Row],[Order_Date]],"mmm-yyyy")</f>
        <v>Jul-2025</v>
      </c>
      <c r="AA362">
        <f>MONTH(EV_Sales[[#This Row],[Order_Date]])</f>
        <v>7</v>
      </c>
      <c r="AB362" s="12" t="str">
        <f>"Q"&amp;ROUNDUP(MONTH(EV_Sales[[#This Row],[Order_Date]])/3,0)</f>
        <v>Q3</v>
      </c>
    </row>
    <row r="363" spans="1:28" x14ac:dyDescent="0.3">
      <c r="A363" t="s">
        <v>468</v>
      </c>
      <c r="B363" s="2">
        <v>45838</v>
      </c>
      <c r="C363" t="s">
        <v>39</v>
      </c>
      <c r="D363" t="s">
        <v>40</v>
      </c>
      <c r="E363" t="s">
        <v>24</v>
      </c>
      <c r="F363" t="s">
        <v>47</v>
      </c>
      <c r="G363" t="s">
        <v>67</v>
      </c>
      <c r="H363" t="s">
        <v>53</v>
      </c>
      <c r="I363" t="str">
        <f>IF('Cleaned Data'!H363="Emi","EMI",'Cleaned Data'!H363)</f>
        <v>Cash</v>
      </c>
      <c r="J363" t="s">
        <v>94</v>
      </c>
      <c r="K363" t="s">
        <v>175</v>
      </c>
      <c r="L363">
        <v>1</v>
      </c>
      <c r="M363" s="9">
        <v>122556</v>
      </c>
      <c r="N363" s="4">
        <v>5.8000000000000003E-2</v>
      </c>
      <c r="O363" s="4">
        <f t="shared" si="5"/>
        <v>5.8000000000000003E-2</v>
      </c>
      <c r="P363" s="11">
        <v>122556</v>
      </c>
      <c r="Q363" s="9">
        <v>7108.25</v>
      </c>
      <c r="R363" s="9">
        <v>115447.75</v>
      </c>
      <c r="S363">
        <v>3</v>
      </c>
      <c r="T363">
        <v>149</v>
      </c>
      <c r="U363">
        <v>4.2</v>
      </c>
      <c r="V363">
        <v>4</v>
      </c>
      <c r="W363">
        <f>IF('Cleaned Data'!V363&lt;0,"Review",'Cleaned Data'!V363)</f>
        <v>4</v>
      </c>
      <c r="X363">
        <v>3</v>
      </c>
      <c r="Y363" s="7">
        <f>IFERROR('Cleaned Data'!R363/'Cleaned Data'!L363,0)</f>
        <v>115447.75</v>
      </c>
      <c r="Z363" t="str">
        <f>TEXT(EV_Sales[[#This Row],[Order_Date]],"mmm-yyyy")</f>
        <v>Jun-2025</v>
      </c>
      <c r="AA363">
        <f>MONTH(EV_Sales[[#This Row],[Order_Date]])</f>
        <v>6</v>
      </c>
      <c r="AB363" s="12" t="str">
        <f>"Q"&amp;ROUNDUP(MONTH(EV_Sales[[#This Row],[Order_Date]])/3,0)</f>
        <v>Q2</v>
      </c>
    </row>
    <row r="364" spans="1:28" x14ac:dyDescent="0.3">
      <c r="A364" t="s">
        <v>469</v>
      </c>
      <c r="B364" s="2">
        <v>45945</v>
      </c>
      <c r="C364" t="s">
        <v>87</v>
      </c>
      <c r="D364" t="s">
        <v>88</v>
      </c>
      <c r="E364" t="s">
        <v>62</v>
      </c>
      <c r="F364" t="s">
        <v>101</v>
      </c>
      <c r="G364" t="s">
        <v>67</v>
      </c>
      <c r="H364" t="s">
        <v>809</v>
      </c>
      <c r="I364" t="str">
        <f>IF('Cleaned Data'!H364="Emi","EMI",'Cleaned Data'!H364)</f>
        <v>EMI</v>
      </c>
      <c r="J364" t="s">
        <v>36</v>
      </c>
      <c r="K364" t="s">
        <v>58</v>
      </c>
      <c r="L364">
        <v>1</v>
      </c>
      <c r="M364" s="9">
        <v>154930</v>
      </c>
      <c r="N364" s="4">
        <v>3.2000000000000001E-2</v>
      </c>
      <c r="O364" s="4">
        <f t="shared" si="5"/>
        <v>3.2000000000000001E-2</v>
      </c>
      <c r="P364" s="11">
        <v>154930</v>
      </c>
      <c r="Q364" s="9">
        <v>4957.76</v>
      </c>
      <c r="R364" s="9">
        <v>149972.24</v>
      </c>
      <c r="S364">
        <v>3</v>
      </c>
      <c r="T364">
        <v>156</v>
      </c>
      <c r="U364">
        <v>4.4000000000000004</v>
      </c>
      <c r="V364">
        <v>2</v>
      </c>
      <c r="W364">
        <f>IF('Cleaned Data'!V364&lt;0,"Review",'Cleaned Data'!V364)</f>
        <v>2</v>
      </c>
      <c r="X364">
        <v>5</v>
      </c>
      <c r="Y364" s="7">
        <f>IFERROR('Cleaned Data'!R364/'Cleaned Data'!L364,0)</f>
        <v>149972.24</v>
      </c>
      <c r="Z364" t="str">
        <f>TEXT(EV_Sales[[#This Row],[Order_Date]],"mmm-yyyy")</f>
        <v>Oct-2025</v>
      </c>
      <c r="AA364">
        <f>MONTH(EV_Sales[[#This Row],[Order_Date]])</f>
        <v>10</v>
      </c>
      <c r="AB364" s="12" t="str">
        <f>"Q"&amp;ROUNDUP(MONTH(EV_Sales[[#This Row],[Order_Date]])/3,0)</f>
        <v>Q4</v>
      </c>
    </row>
    <row r="365" spans="1:28" x14ac:dyDescent="0.3">
      <c r="A365" t="s">
        <v>470</v>
      </c>
      <c r="B365" s="2">
        <v>45693</v>
      </c>
      <c r="C365" t="s">
        <v>99</v>
      </c>
      <c r="D365" t="s">
        <v>141</v>
      </c>
      <c r="E365" t="s">
        <v>62</v>
      </c>
      <c r="F365" t="s">
        <v>101</v>
      </c>
      <c r="G365" t="s">
        <v>56</v>
      </c>
      <c r="H365" t="s">
        <v>809</v>
      </c>
      <c r="I365" t="str">
        <f>IF('Cleaned Data'!H365="Emi","EMI",'Cleaned Data'!H365)</f>
        <v>EMI</v>
      </c>
      <c r="J365" t="s">
        <v>63</v>
      </c>
      <c r="K365" t="s">
        <v>78</v>
      </c>
      <c r="L365">
        <v>1</v>
      </c>
      <c r="M365" s="9">
        <v>139287</v>
      </c>
      <c r="N365" s="4">
        <v>0.115</v>
      </c>
      <c r="O365" s="4">
        <f t="shared" si="5"/>
        <v>0.115</v>
      </c>
      <c r="P365" s="11">
        <v>139287</v>
      </c>
      <c r="Q365" s="9">
        <v>16018.01</v>
      </c>
      <c r="R365" s="9">
        <v>123268.99</v>
      </c>
      <c r="S365">
        <v>3</v>
      </c>
      <c r="T365">
        <v>159</v>
      </c>
      <c r="U365">
        <v>4.2</v>
      </c>
      <c r="V365">
        <v>8</v>
      </c>
      <c r="W365">
        <f>IF('Cleaned Data'!V365&lt;0,"Review",'Cleaned Data'!V365)</f>
        <v>8</v>
      </c>
      <c r="X365">
        <v>3</v>
      </c>
      <c r="Y365" s="7">
        <f>IFERROR('Cleaned Data'!R365/'Cleaned Data'!L365,0)</f>
        <v>123268.99</v>
      </c>
      <c r="Z365" t="str">
        <f>TEXT(EV_Sales[[#This Row],[Order_Date]],"mmm-yyyy")</f>
        <v>Feb-2025</v>
      </c>
      <c r="AA365">
        <f>MONTH(EV_Sales[[#This Row],[Order_Date]])</f>
        <v>2</v>
      </c>
      <c r="AB365" s="12" t="str">
        <f>"Q"&amp;ROUNDUP(MONTH(EV_Sales[[#This Row],[Order_Date]])/3,0)</f>
        <v>Q1</v>
      </c>
    </row>
    <row r="366" spans="1:28" x14ac:dyDescent="0.3">
      <c r="A366" t="s">
        <v>471</v>
      </c>
      <c r="B366" s="2">
        <v>45754</v>
      </c>
      <c r="C366" t="s">
        <v>60</v>
      </c>
      <c r="D366" t="s">
        <v>61</v>
      </c>
      <c r="E366" t="s">
        <v>24</v>
      </c>
      <c r="F366" t="s">
        <v>66</v>
      </c>
      <c r="G366" t="s">
        <v>26</v>
      </c>
      <c r="H366" t="s">
        <v>27</v>
      </c>
      <c r="I366" t="str">
        <f>IF('Cleaned Data'!H366="Emi","EMI",'Cleaned Data'!H366)</f>
        <v>Finance</v>
      </c>
      <c r="J366" t="s">
        <v>28</v>
      </c>
      <c r="K366" t="s">
        <v>203</v>
      </c>
      <c r="L366">
        <v>5</v>
      </c>
      <c r="M366" s="9">
        <v>122874</v>
      </c>
      <c r="N366" s="4">
        <v>0.109</v>
      </c>
      <c r="O366" s="4">
        <f t="shared" si="5"/>
        <v>0.109</v>
      </c>
      <c r="P366" s="11">
        <v>614370</v>
      </c>
      <c r="Q366" s="9">
        <v>66966.33</v>
      </c>
      <c r="R366" s="9">
        <v>547403.67000000004</v>
      </c>
      <c r="S366">
        <v>4</v>
      </c>
      <c r="T366">
        <v>167</v>
      </c>
      <c r="U366">
        <v>3.6</v>
      </c>
      <c r="V366">
        <v>7</v>
      </c>
      <c r="W366">
        <f>IF('Cleaned Data'!V366&lt;0,"Review",'Cleaned Data'!V366)</f>
        <v>7</v>
      </c>
      <c r="X366">
        <v>5</v>
      </c>
      <c r="Y366" s="7">
        <f>IFERROR('Cleaned Data'!R366/'Cleaned Data'!L366,0)</f>
        <v>109480.73400000001</v>
      </c>
      <c r="Z366" t="str">
        <f>TEXT(EV_Sales[[#This Row],[Order_Date]],"mmm-yyyy")</f>
        <v>Apr-2025</v>
      </c>
      <c r="AA366">
        <f>MONTH(EV_Sales[[#This Row],[Order_Date]])</f>
        <v>4</v>
      </c>
      <c r="AB366" s="12" t="str">
        <f>"Q"&amp;ROUNDUP(MONTH(EV_Sales[[#This Row],[Order_Date]])/3,0)</f>
        <v>Q2</v>
      </c>
    </row>
    <row r="367" spans="1:28" x14ac:dyDescent="0.3">
      <c r="A367" t="s">
        <v>472</v>
      </c>
      <c r="B367" s="2">
        <v>45866</v>
      </c>
      <c r="C367" t="s">
        <v>60</v>
      </c>
      <c r="D367" t="s">
        <v>61</v>
      </c>
      <c r="E367" t="s">
        <v>24</v>
      </c>
      <c r="F367" t="s">
        <v>47</v>
      </c>
      <c r="G367" t="s">
        <v>26</v>
      </c>
      <c r="H367" t="s">
        <v>27</v>
      </c>
      <c r="I367" t="str">
        <f>IF('Cleaned Data'!H367="Emi","EMI",'Cleaned Data'!H367)</f>
        <v>Finance</v>
      </c>
      <c r="J367" t="s">
        <v>36</v>
      </c>
      <c r="K367" t="s">
        <v>212</v>
      </c>
      <c r="L367">
        <v>1</v>
      </c>
      <c r="M367" s="9">
        <v>123680</v>
      </c>
      <c r="N367" s="4">
        <v>8.5999999999999993E-2</v>
      </c>
      <c r="O367" s="4">
        <f t="shared" si="5"/>
        <v>8.5999999999999993E-2</v>
      </c>
      <c r="P367" s="11">
        <v>123680</v>
      </c>
      <c r="Q367" s="9">
        <v>10636.48</v>
      </c>
      <c r="R367" s="9">
        <v>113043.52</v>
      </c>
      <c r="S367">
        <v>4</v>
      </c>
      <c r="T367">
        <v>183</v>
      </c>
      <c r="U367">
        <v>4.4000000000000004</v>
      </c>
      <c r="V367">
        <v>12</v>
      </c>
      <c r="W367">
        <f>IF('Cleaned Data'!V367&lt;0,"Review",'Cleaned Data'!V367)</f>
        <v>12</v>
      </c>
      <c r="X367">
        <v>2</v>
      </c>
      <c r="Y367" s="7">
        <f>IFERROR('Cleaned Data'!R367/'Cleaned Data'!L367,0)</f>
        <v>113043.52</v>
      </c>
      <c r="Z367" t="str">
        <f>TEXT(EV_Sales[[#This Row],[Order_Date]],"mmm-yyyy")</f>
        <v>Jul-2025</v>
      </c>
      <c r="AA367">
        <f>MONTH(EV_Sales[[#This Row],[Order_Date]])</f>
        <v>7</v>
      </c>
      <c r="AB367" s="12" t="str">
        <f>"Q"&amp;ROUNDUP(MONTH(EV_Sales[[#This Row],[Order_Date]])/3,0)</f>
        <v>Q3</v>
      </c>
    </row>
    <row r="368" spans="1:28" x14ac:dyDescent="0.3">
      <c r="A368" t="s">
        <v>473</v>
      </c>
      <c r="B368" s="2">
        <v>45928</v>
      </c>
      <c r="C368" t="s">
        <v>22</v>
      </c>
      <c r="D368" t="s">
        <v>107</v>
      </c>
      <c r="E368" t="s">
        <v>24</v>
      </c>
      <c r="F368" t="s">
        <v>70</v>
      </c>
      <c r="G368" t="s">
        <v>67</v>
      </c>
      <c r="H368" t="s">
        <v>27</v>
      </c>
      <c r="I368" t="str">
        <f>IF('Cleaned Data'!H368="Emi","EMI",'Cleaned Data'!H368)</f>
        <v>Finance</v>
      </c>
      <c r="J368" t="s">
        <v>57</v>
      </c>
      <c r="K368" t="s">
        <v>92</v>
      </c>
      <c r="L368">
        <v>1</v>
      </c>
      <c r="M368" s="9">
        <v>139682</v>
      </c>
      <c r="N368" s="4">
        <v>2.7E-2</v>
      </c>
      <c r="O368" s="4">
        <f t="shared" si="5"/>
        <v>2.7E-2</v>
      </c>
      <c r="P368" s="11">
        <v>139682</v>
      </c>
      <c r="Q368" s="9">
        <v>3771.41</v>
      </c>
      <c r="R368" s="9">
        <v>135910.59</v>
      </c>
      <c r="S368">
        <v>4</v>
      </c>
      <c r="T368">
        <v>187</v>
      </c>
      <c r="U368">
        <v>4.4000000000000004</v>
      </c>
      <c r="V368">
        <v>12</v>
      </c>
      <c r="W368">
        <f>IF('Cleaned Data'!V368&lt;0,"Review",'Cleaned Data'!V368)</f>
        <v>12</v>
      </c>
      <c r="X368">
        <v>2</v>
      </c>
      <c r="Y368" s="7">
        <f>IFERROR('Cleaned Data'!R368/'Cleaned Data'!L368,0)</f>
        <v>135910.59</v>
      </c>
      <c r="Z368" t="str">
        <f>TEXT(EV_Sales[[#This Row],[Order_Date]],"mmm-yyyy")</f>
        <v>Sep-2025</v>
      </c>
      <c r="AA368">
        <f>MONTH(EV_Sales[[#This Row],[Order_Date]])</f>
        <v>9</v>
      </c>
      <c r="AB368" s="12" t="str">
        <f>"Q"&amp;ROUNDUP(MONTH(EV_Sales[[#This Row],[Order_Date]])/3,0)</f>
        <v>Q3</v>
      </c>
    </row>
    <row r="369" spans="1:28" x14ac:dyDescent="0.3">
      <c r="A369" t="s">
        <v>474</v>
      </c>
      <c r="B369" s="2">
        <v>45970</v>
      </c>
      <c r="C369" t="s">
        <v>31</v>
      </c>
      <c r="D369" t="s">
        <v>97</v>
      </c>
      <c r="E369" t="s">
        <v>24</v>
      </c>
      <c r="F369" t="s">
        <v>74</v>
      </c>
      <c r="G369" t="s">
        <v>26</v>
      </c>
      <c r="H369" t="s">
        <v>27</v>
      </c>
      <c r="I369" t="str">
        <f>IF('Cleaned Data'!H369="Emi","EMI",'Cleaned Data'!H369)</f>
        <v>Finance</v>
      </c>
      <c r="J369" t="s">
        <v>36</v>
      </c>
      <c r="K369" t="s">
        <v>131</v>
      </c>
      <c r="L369">
        <v>1</v>
      </c>
      <c r="M369" s="9">
        <v>131006</v>
      </c>
      <c r="N369" s="4">
        <v>3.2000000000000001E-2</v>
      </c>
      <c r="O369" s="4">
        <f t="shared" si="5"/>
        <v>3.2000000000000001E-2</v>
      </c>
      <c r="P369" s="11">
        <v>131006</v>
      </c>
      <c r="Q369" s="9">
        <v>4192.1899999999996</v>
      </c>
      <c r="R369" s="9">
        <v>126813.81</v>
      </c>
      <c r="S369">
        <v>3</v>
      </c>
      <c r="T369">
        <v>167</v>
      </c>
      <c r="U369">
        <v>4.8</v>
      </c>
      <c r="V369">
        <v>8</v>
      </c>
      <c r="W369">
        <f>IF('Cleaned Data'!V369&lt;0,"Review",'Cleaned Data'!V369)</f>
        <v>8</v>
      </c>
      <c r="X369">
        <v>2</v>
      </c>
      <c r="Y369" s="7">
        <f>IFERROR('Cleaned Data'!R369/'Cleaned Data'!L369,0)</f>
        <v>126813.81</v>
      </c>
      <c r="Z369" t="str">
        <f>TEXT(EV_Sales[[#This Row],[Order_Date]],"mmm-yyyy")</f>
        <v>Nov-2025</v>
      </c>
      <c r="AA369">
        <f>MONTH(EV_Sales[[#This Row],[Order_Date]])</f>
        <v>11</v>
      </c>
      <c r="AB369" s="12" t="str">
        <f>"Q"&amp;ROUNDUP(MONTH(EV_Sales[[#This Row],[Order_Date]])/3,0)</f>
        <v>Q4</v>
      </c>
    </row>
    <row r="370" spans="1:28" x14ac:dyDescent="0.3">
      <c r="A370" t="s">
        <v>475</v>
      </c>
      <c r="B370" s="2">
        <v>45674</v>
      </c>
      <c r="C370" t="s">
        <v>60</v>
      </c>
      <c r="D370" t="s">
        <v>61</v>
      </c>
      <c r="E370" t="s">
        <v>46</v>
      </c>
      <c r="F370" t="s">
        <v>25</v>
      </c>
      <c r="G370" t="s">
        <v>56</v>
      </c>
      <c r="H370" t="s">
        <v>809</v>
      </c>
      <c r="I370" t="str">
        <f>IF('Cleaned Data'!H370="Emi","EMI",'Cleaned Data'!H370)</f>
        <v>EMI</v>
      </c>
      <c r="J370" t="s">
        <v>48</v>
      </c>
      <c r="K370" t="s">
        <v>81</v>
      </c>
      <c r="L370">
        <v>1</v>
      </c>
      <c r="M370" s="9">
        <v>120333</v>
      </c>
      <c r="N370" s="4">
        <v>5.3999999999999999E-2</v>
      </c>
      <c r="O370" s="4">
        <f t="shared" si="5"/>
        <v>5.3999999999999999E-2</v>
      </c>
      <c r="P370" s="11">
        <v>120333</v>
      </c>
      <c r="Q370" s="9">
        <v>6497.98</v>
      </c>
      <c r="R370" s="9">
        <v>113835.02</v>
      </c>
      <c r="S370">
        <v>5</v>
      </c>
      <c r="T370">
        <v>207</v>
      </c>
      <c r="U370">
        <v>4.8</v>
      </c>
      <c r="V370">
        <v>12</v>
      </c>
      <c r="W370">
        <f>IF('Cleaned Data'!V370&lt;0,"Review",'Cleaned Data'!V370)</f>
        <v>12</v>
      </c>
      <c r="X370">
        <v>2</v>
      </c>
      <c r="Y370" s="7">
        <f>IFERROR('Cleaned Data'!R370/'Cleaned Data'!L370,0)</f>
        <v>113835.02</v>
      </c>
      <c r="Z370" t="str">
        <f>TEXT(EV_Sales[[#This Row],[Order_Date]],"mmm-yyyy")</f>
        <v>Jan-2025</v>
      </c>
      <c r="AA370">
        <f>MONTH(EV_Sales[[#This Row],[Order_Date]])</f>
        <v>1</v>
      </c>
      <c r="AB370" s="12" t="str">
        <f>"Q"&amp;ROUNDUP(MONTH(EV_Sales[[#This Row],[Order_Date]])/3,0)</f>
        <v>Q1</v>
      </c>
    </row>
    <row r="371" spans="1:28" x14ac:dyDescent="0.3">
      <c r="A371" t="s">
        <v>476</v>
      </c>
      <c r="B371" s="2">
        <v>45811</v>
      </c>
      <c r="C371" t="s">
        <v>99</v>
      </c>
      <c r="D371" t="s">
        <v>141</v>
      </c>
      <c r="E371" t="s">
        <v>46</v>
      </c>
      <c r="F371" t="s">
        <v>52</v>
      </c>
      <c r="G371" t="s">
        <v>56</v>
      </c>
      <c r="H371" t="s">
        <v>809</v>
      </c>
      <c r="I371" t="str">
        <f>IF('Cleaned Data'!H371="Emi","EMI",'Cleaned Data'!H371)</f>
        <v>EMI</v>
      </c>
      <c r="J371" t="s">
        <v>63</v>
      </c>
      <c r="K371" t="s">
        <v>92</v>
      </c>
      <c r="L371">
        <v>1</v>
      </c>
      <c r="M371" s="9">
        <v>150446</v>
      </c>
      <c r="N371" s="4">
        <v>6.4000000000000001E-2</v>
      </c>
      <c r="O371" s="4">
        <f t="shared" si="5"/>
        <v>6.4000000000000001E-2</v>
      </c>
      <c r="P371" s="11">
        <v>150446</v>
      </c>
      <c r="Q371" s="9">
        <v>9628.5400000000009</v>
      </c>
      <c r="R371" s="9">
        <v>140817.46</v>
      </c>
      <c r="S371">
        <v>3</v>
      </c>
      <c r="T371">
        <v>172</v>
      </c>
      <c r="U371">
        <v>4</v>
      </c>
      <c r="V371">
        <v>2</v>
      </c>
      <c r="W371">
        <f>IF('Cleaned Data'!V371&lt;0,"Review",'Cleaned Data'!V371)</f>
        <v>2</v>
      </c>
      <c r="X371">
        <v>2</v>
      </c>
      <c r="Y371" s="7">
        <f>IFERROR('Cleaned Data'!R371/'Cleaned Data'!L371,0)</f>
        <v>140817.46</v>
      </c>
      <c r="Z371" t="str">
        <f>TEXT(EV_Sales[[#This Row],[Order_Date]],"mmm-yyyy")</f>
        <v>Jun-2025</v>
      </c>
      <c r="AA371">
        <f>MONTH(EV_Sales[[#This Row],[Order_Date]])</f>
        <v>6</v>
      </c>
      <c r="AB371" s="12" t="str">
        <f>"Q"&amp;ROUNDUP(MONTH(EV_Sales[[#This Row],[Order_Date]])/3,0)</f>
        <v>Q2</v>
      </c>
    </row>
    <row r="372" spans="1:28" x14ac:dyDescent="0.3">
      <c r="A372" t="s">
        <v>477</v>
      </c>
      <c r="B372" s="2">
        <v>46012</v>
      </c>
      <c r="C372" t="s">
        <v>22</v>
      </c>
      <c r="D372" t="s">
        <v>23</v>
      </c>
      <c r="E372" t="s">
        <v>46</v>
      </c>
      <c r="F372" t="s">
        <v>74</v>
      </c>
      <c r="G372" t="s">
        <v>67</v>
      </c>
      <c r="H372" t="s">
        <v>27</v>
      </c>
      <c r="I372" t="str">
        <f>IF('Cleaned Data'!H372="Emi","EMI",'Cleaned Data'!H372)</f>
        <v>Finance</v>
      </c>
      <c r="J372" t="s">
        <v>28</v>
      </c>
      <c r="K372" t="s">
        <v>89</v>
      </c>
      <c r="L372">
        <v>5</v>
      </c>
      <c r="M372" s="9">
        <v>126093</v>
      </c>
      <c r="N372" s="4">
        <v>0.08</v>
      </c>
      <c r="O372" s="4">
        <f t="shared" si="5"/>
        <v>0.08</v>
      </c>
      <c r="P372" s="11">
        <v>630465</v>
      </c>
      <c r="Q372" s="9">
        <v>50437.2</v>
      </c>
      <c r="R372" s="9">
        <v>580027.80000000005</v>
      </c>
      <c r="S372">
        <v>3</v>
      </c>
      <c r="T372">
        <v>157</v>
      </c>
      <c r="U372">
        <v>4.0999999999999996</v>
      </c>
      <c r="V372">
        <v>7</v>
      </c>
      <c r="W372">
        <f>IF('Cleaned Data'!V372&lt;0,"Review",'Cleaned Data'!V372)</f>
        <v>7</v>
      </c>
      <c r="X372">
        <v>3</v>
      </c>
      <c r="Y372" s="7">
        <f>IFERROR('Cleaned Data'!R372/'Cleaned Data'!L372,0)</f>
        <v>116005.56000000001</v>
      </c>
      <c r="Z372" t="str">
        <f>TEXT(EV_Sales[[#This Row],[Order_Date]],"mmm-yyyy")</f>
        <v>Dec-2025</v>
      </c>
      <c r="AA372">
        <f>MONTH(EV_Sales[[#This Row],[Order_Date]])</f>
        <v>12</v>
      </c>
      <c r="AB372" s="12" t="str">
        <f>"Q"&amp;ROUNDUP(MONTH(EV_Sales[[#This Row],[Order_Date]])/3,0)</f>
        <v>Q4</v>
      </c>
    </row>
    <row r="373" spans="1:28" x14ac:dyDescent="0.3">
      <c r="A373" t="s">
        <v>478</v>
      </c>
      <c r="B373" s="2">
        <v>45857</v>
      </c>
      <c r="C373" t="s">
        <v>31</v>
      </c>
      <c r="D373" t="s">
        <v>32</v>
      </c>
      <c r="E373" t="s">
        <v>62</v>
      </c>
      <c r="F373" t="s">
        <v>74</v>
      </c>
      <c r="G373" t="s">
        <v>26</v>
      </c>
      <c r="H373" t="s">
        <v>53</v>
      </c>
      <c r="I373" t="str">
        <f>IF('Cleaned Data'!H373="Emi","EMI",'Cleaned Data'!H373)</f>
        <v>Cash</v>
      </c>
      <c r="J373" t="s">
        <v>94</v>
      </c>
      <c r="K373" t="s">
        <v>81</v>
      </c>
      <c r="L373">
        <v>2</v>
      </c>
      <c r="M373" s="9">
        <v>108897</v>
      </c>
      <c r="N373" s="4">
        <v>8.3000000000000004E-2</v>
      </c>
      <c r="O373" s="4">
        <f t="shared" si="5"/>
        <v>8.3000000000000004E-2</v>
      </c>
      <c r="P373" s="11">
        <v>217794</v>
      </c>
      <c r="Q373" s="9">
        <v>18076.900000000001</v>
      </c>
      <c r="R373" s="9">
        <v>199717.1</v>
      </c>
      <c r="S373">
        <v>3</v>
      </c>
      <c r="T373">
        <v>167</v>
      </c>
      <c r="U373">
        <v>4.8</v>
      </c>
      <c r="V373">
        <v>11</v>
      </c>
      <c r="W373">
        <f>IF('Cleaned Data'!V373&lt;0,"Review",'Cleaned Data'!V373)</f>
        <v>11</v>
      </c>
      <c r="X373">
        <v>3</v>
      </c>
      <c r="Y373" s="7">
        <f>IFERROR('Cleaned Data'!R373/'Cleaned Data'!L373,0)</f>
        <v>99858.55</v>
      </c>
      <c r="Z373" t="str">
        <f>TEXT(EV_Sales[[#This Row],[Order_Date]],"mmm-yyyy")</f>
        <v>Jul-2025</v>
      </c>
      <c r="AA373">
        <f>MONTH(EV_Sales[[#This Row],[Order_Date]])</f>
        <v>7</v>
      </c>
      <c r="AB373" s="12" t="str">
        <f>"Q"&amp;ROUNDUP(MONTH(EV_Sales[[#This Row],[Order_Date]])/3,0)</f>
        <v>Q3</v>
      </c>
    </row>
    <row r="374" spans="1:28" x14ac:dyDescent="0.3">
      <c r="A374" t="s">
        <v>479</v>
      </c>
      <c r="B374" s="2">
        <v>45725</v>
      </c>
      <c r="C374" t="s">
        <v>22</v>
      </c>
      <c r="D374" t="s">
        <v>107</v>
      </c>
      <c r="E374" t="s">
        <v>24</v>
      </c>
      <c r="F374" t="s">
        <v>47</v>
      </c>
      <c r="G374" t="s">
        <v>34</v>
      </c>
      <c r="H374" t="s">
        <v>27</v>
      </c>
      <c r="I374" t="str">
        <f>IF('Cleaned Data'!H374="Emi","EMI",'Cleaned Data'!H374)</f>
        <v>Finance</v>
      </c>
      <c r="J374" t="s">
        <v>94</v>
      </c>
      <c r="K374" t="s">
        <v>54</v>
      </c>
      <c r="L374">
        <v>2</v>
      </c>
      <c r="M374" s="9">
        <v>150359</v>
      </c>
      <c r="N374" s="4">
        <v>6.3E-2</v>
      </c>
      <c r="O374" s="4">
        <f t="shared" si="5"/>
        <v>6.3E-2</v>
      </c>
      <c r="P374" s="11">
        <v>300718</v>
      </c>
      <c r="Q374" s="9">
        <v>18945.23</v>
      </c>
      <c r="R374" s="9">
        <v>281772.77</v>
      </c>
      <c r="S374">
        <v>3</v>
      </c>
      <c r="T374">
        <v>164</v>
      </c>
      <c r="U374">
        <v>4.5</v>
      </c>
      <c r="V374">
        <v>14</v>
      </c>
      <c r="W374">
        <f>IF('Cleaned Data'!V374&lt;0,"Review",'Cleaned Data'!V374)</f>
        <v>14</v>
      </c>
      <c r="X374">
        <v>3</v>
      </c>
      <c r="Y374" s="7">
        <f>IFERROR('Cleaned Data'!R374/'Cleaned Data'!L374,0)</f>
        <v>140886.38500000001</v>
      </c>
      <c r="Z374" t="str">
        <f>TEXT(EV_Sales[[#This Row],[Order_Date]],"mmm-yyyy")</f>
        <v>Mar-2025</v>
      </c>
      <c r="AA374">
        <f>MONTH(EV_Sales[[#This Row],[Order_Date]])</f>
        <v>3</v>
      </c>
      <c r="AB374" s="12" t="str">
        <f>"Q"&amp;ROUNDUP(MONTH(EV_Sales[[#This Row],[Order_Date]])/3,0)</f>
        <v>Q1</v>
      </c>
    </row>
    <row r="375" spans="1:28" x14ac:dyDescent="0.3">
      <c r="A375" t="s">
        <v>480</v>
      </c>
      <c r="B375" s="2">
        <v>45723</v>
      </c>
      <c r="C375" t="s">
        <v>31</v>
      </c>
      <c r="D375" t="s">
        <v>32</v>
      </c>
      <c r="E375" t="s">
        <v>24</v>
      </c>
      <c r="F375" t="s">
        <v>33</v>
      </c>
      <c r="G375" t="s">
        <v>56</v>
      </c>
      <c r="H375" t="s">
        <v>27</v>
      </c>
      <c r="I375" t="str">
        <f>IF('Cleaned Data'!H375="Emi","EMI",'Cleaned Data'!H375)</f>
        <v>Finance</v>
      </c>
      <c r="J375" t="s">
        <v>36</v>
      </c>
      <c r="K375" t="s">
        <v>118</v>
      </c>
      <c r="L375">
        <v>1</v>
      </c>
      <c r="M375" s="9">
        <v>108912</v>
      </c>
      <c r="N375" s="4">
        <v>5.2999999999999999E-2</v>
      </c>
      <c r="O375" s="4">
        <f t="shared" si="5"/>
        <v>5.2999999999999999E-2</v>
      </c>
      <c r="P375" s="11">
        <v>108912</v>
      </c>
      <c r="Q375" s="9">
        <v>5772.34</v>
      </c>
      <c r="R375" s="9">
        <v>103139.66</v>
      </c>
      <c r="S375">
        <v>3</v>
      </c>
      <c r="T375">
        <v>169</v>
      </c>
      <c r="U375">
        <v>3.8</v>
      </c>
      <c r="V375">
        <v>5</v>
      </c>
      <c r="W375">
        <f>IF('Cleaned Data'!V375&lt;0,"Review",'Cleaned Data'!V375)</f>
        <v>5</v>
      </c>
      <c r="X375">
        <v>5</v>
      </c>
      <c r="Y375" s="7">
        <f>IFERROR('Cleaned Data'!R375/'Cleaned Data'!L375,0)</f>
        <v>103139.66</v>
      </c>
      <c r="Z375" t="str">
        <f>TEXT(EV_Sales[[#This Row],[Order_Date]],"mmm-yyyy")</f>
        <v>Mar-2025</v>
      </c>
      <c r="AA375">
        <f>MONTH(EV_Sales[[#This Row],[Order_Date]])</f>
        <v>3</v>
      </c>
      <c r="AB375" s="12" t="str">
        <f>"Q"&amp;ROUNDUP(MONTH(EV_Sales[[#This Row],[Order_Date]])/3,0)</f>
        <v>Q1</v>
      </c>
    </row>
    <row r="376" spans="1:28" x14ac:dyDescent="0.3">
      <c r="A376" t="s">
        <v>481</v>
      </c>
      <c r="B376" s="2">
        <v>45819</v>
      </c>
      <c r="C376" t="s">
        <v>31</v>
      </c>
      <c r="D376" t="s">
        <v>97</v>
      </c>
      <c r="E376" t="s">
        <v>62</v>
      </c>
      <c r="F376" t="s">
        <v>80</v>
      </c>
      <c r="G376" t="s">
        <v>34</v>
      </c>
      <c r="H376" t="s">
        <v>809</v>
      </c>
      <c r="I376" t="str">
        <f>IF('Cleaned Data'!H376="Emi","EMI",'Cleaned Data'!H376)</f>
        <v>EMI</v>
      </c>
      <c r="J376" t="s">
        <v>94</v>
      </c>
      <c r="K376" t="s">
        <v>138</v>
      </c>
      <c r="L376">
        <v>5</v>
      </c>
      <c r="M376" s="9">
        <v>131585</v>
      </c>
      <c r="N376" s="4">
        <v>7.0000000000000007E-2</v>
      </c>
      <c r="O376" s="4">
        <f t="shared" si="5"/>
        <v>7.0000000000000007E-2</v>
      </c>
      <c r="P376" s="11">
        <v>657925</v>
      </c>
      <c r="Q376" s="9">
        <v>46054.75</v>
      </c>
      <c r="R376" s="9">
        <v>611870.25</v>
      </c>
      <c r="S376">
        <v>3</v>
      </c>
      <c r="T376">
        <v>145</v>
      </c>
      <c r="U376">
        <v>4.5999999999999996</v>
      </c>
      <c r="V376">
        <v>9</v>
      </c>
      <c r="W376">
        <f>IF('Cleaned Data'!V376&lt;0,"Review",'Cleaned Data'!V376)</f>
        <v>9</v>
      </c>
      <c r="X376">
        <v>5</v>
      </c>
      <c r="Y376" s="7">
        <f>IFERROR('Cleaned Data'!R376/'Cleaned Data'!L376,0)</f>
        <v>122374.05</v>
      </c>
      <c r="Z376" t="str">
        <f>TEXT(EV_Sales[[#This Row],[Order_Date]],"mmm-yyyy")</f>
        <v>Jun-2025</v>
      </c>
      <c r="AA376">
        <f>MONTH(EV_Sales[[#This Row],[Order_Date]])</f>
        <v>6</v>
      </c>
      <c r="AB376" s="12" t="str">
        <f>"Q"&amp;ROUNDUP(MONTH(EV_Sales[[#This Row],[Order_Date]])/3,0)</f>
        <v>Q2</v>
      </c>
    </row>
    <row r="377" spans="1:28" x14ac:dyDescent="0.3">
      <c r="A377" t="s">
        <v>482</v>
      </c>
      <c r="B377" s="2">
        <v>45792</v>
      </c>
      <c r="C377" t="s">
        <v>60</v>
      </c>
      <c r="D377" t="s">
        <v>61</v>
      </c>
      <c r="E377" t="s">
        <v>24</v>
      </c>
      <c r="F377" t="s">
        <v>74</v>
      </c>
      <c r="G377" t="s">
        <v>26</v>
      </c>
      <c r="H377" t="s">
        <v>53</v>
      </c>
      <c r="I377" t="str">
        <f>IF('Cleaned Data'!H377="Emi","EMI",'Cleaned Data'!H377)</f>
        <v>Cash</v>
      </c>
      <c r="J377" t="s">
        <v>94</v>
      </c>
      <c r="K377" t="s">
        <v>37</v>
      </c>
      <c r="L377">
        <v>3</v>
      </c>
      <c r="M377" s="9">
        <v>111027</v>
      </c>
      <c r="N377" s="4">
        <v>6.3E-2</v>
      </c>
      <c r="O377" s="4">
        <f t="shared" si="5"/>
        <v>6.3E-2</v>
      </c>
      <c r="P377" s="11">
        <v>333081</v>
      </c>
      <c r="Q377" s="9">
        <v>20984.1</v>
      </c>
      <c r="R377" s="9">
        <v>312096.90000000002</v>
      </c>
      <c r="S377">
        <v>3</v>
      </c>
      <c r="T377">
        <v>167</v>
      </c>
      <c r="U377">
        <v>4.9000000000000004</v>
      </c>
      <c r="V377">
        <v>4</v>
      </c>
      <c r="W377">
        <f>IF('Cleaned Data'!V377&lt;0,"Review",'Cleaned Data'!V377)</f>
        <v>4</v>
      </c>
      <c r="X377">
        <v>2</v>
      </c>
      <c r="Y377" s="7">
        <f>IFERROR('Cleaned Data'!R377/'Cleaned Data'!L377,0)</f>
        <v>104032.3</v>
      </c>
      <c r="Z377" t="str">
        <f>TEXT(EV_Sales[[#This Row],[Order_Date]],"mmm-yyyy")</f>
        <v>May-2025</v>
      </c>
      <c r="AA377">
        <f>MONTH(EV_Sales[[#This Row],[Order_Date]])</f>
        <v>5</v>
      </c>
      <c r="AB377" s="12" t="str">
        <f>"Q"&amp;ROUNDUP(MONTH(EV_Sales[[#This Row],[Order_Date]])/3,0)</f>
        <v>Q2</v>
      </c>
    </row>
    <row r="378" spans="1:28" x14ac:dyDescent="0.3">
      <c r="A378" t="s">
        <v>483</v>
      </c>
      <c r="B378" s="2">
        <v>45985</v>
      </c>
      <c r="C378" t="s">
        <v>39</v>
      </c>
      <c r="D378" t="s">
        <v>154</v>
      </c>
      <c r="E378" t="s">
        <v>24</v>
      </c>
      <c r="F378" t="s">
        <v>70</v>
      </c>
      <c r="G378" t="s">
        <v>26</v>
      </c>
      <c r="H378" t="s">
        <v>27</v>
      </c>
      <c r="I378" t="str">
        <f>IF('Cleaned Data'!H378="Emi","EMI",'Cleaned Data'!H378)</f>
        <v>Finance</v>
      </c>
      <c r="J378" t="s">
        <v>57</v>
      </c>
      <c r="K378" t="s">
        <v>92</v>
      </c>
      <c r="L378">
        <v>4</v>
      </c>
      <c r="M378" s="9">
        <v>187816</v>
      </c>
      <c r="N378" s="4">
        <v>5.0999999999999997E-2</v>
      </c>
      <c r="O378" s="4">
        <f t="shared" si="5"/>
        <v>5.0999999999999997E-2</v>
      </c>
      <c r="P378" s="11">
        <v>751264</v>
      </c>
      <c r="Q378" s="9">
        <v>38314.46</v>
      </c>
      <c r="R378" s="9">
        <v>712949.54</v>
      </c>
      <c r="S378">
        <v>3</v>
      </c>
      <c r="T378">
        <v>152</v>
      </c>
      <c r="U378">
        <v>4.4000000000000004</v>
      </c>
      <c r="V378">
        <v>8</v>
      </c>
      <c r="W378">
        <f>IF('Cleaned Data'!V378&lt;0,"Review",'Cleaned Data'!V378)</f>
        <v>8</v>
      </c>
      <c r="X378">
        <v>3</v>
      </c>
      <c r="Y378" s="7">
        <f>IFERROR('Cleaned Data'!R378/'Cleaned Data'!L378,0)</f>
        <v>178237.38500000001</v>
      </c>
      <c r="Z378" t="str">
        <f>TEXT(EV_Sales[[#This Row],[Order_Date]],"mmm-yyyy")</f>
        <v>Nov-2025</v>
      </c>
      <c r="AA378">
        <f>MONTH(EV_Sales[[#This Row],[Order_Date]])</f>
        <v>11</v>
      </c>
      <c r="AB378" s="12" t="str">
        <f>"Q"&amp;ROUNDUP(MONTH(EV_Sales[[#This Row],[Order_Date]])/3,0)</f>
        <v>Q4</v>
      </c>
    </row>
    <row r="379" spans="1:28" x14ac:dyDescent="0.3">
      <c r="A379" t="s">
        <v>484</v>
      </c>
      <c r="B379" s="2">
        <v>45880</v>
      </c>
      <c r="C379" t="s">
        <v>39</v>
      </c>
      <c r="D379" t="s">
        <v>154</v>
      </c>
      <c r="E379" t="s">
        <v>46</v>
      </c>
      <c r="F379" t="s">
        <v>33</v>
      </c>
      <c r="G379" t="s">
        <v>26</v>
      </c>
      <c r="H379" t="s">
        <v>53</v>
      </c>
      <c r="I379" t="str">
        <f>IF('Cleaned Data'!H379="Emi","EMI",'Cleaned Data'!H379)</f>
        <v>Cash</v>
      </c>
      <c r="J379" t="s">
        <v>48</v>
      </c>
      <c r="K379" t="s">
        <v>29</v>
      </c>
      <c r="L379">
        <v>2</v>
      </c>
      <c r="M379" s="9">
        <v>183423</v>
      </c>
      <c r="N379" s="4">
        <v>0.08</v>
      </c>
      <c r="O379" s="4">
        <f t="shared" si="5"/>
        <v>0.08</v>
      </c>
      <c r="P379" s="11">
        <v>366846</v>
      </c>
      <c r="Q379" s="9">
        <v>29347.68</v>
      </c>
      <c r="R379" s="9">
        <v>337498.32</v>
      </c>
      <c r="S379">
        <v>3</v>
      </c>
      <c r="T379">
        <v>181</v>
      </c>
      <c r="U379">
        <v>3.4</v>
      </c>
      <c r="V379">
        <v>5</v>
      </c>
      <c r="W379">
        <f>IF('Cleaned Data'!V379&lt;0,"Review",'Cleaned Data'!V379)</f>
        <v>5</v>
      </c>
      <c r="X379">
        <v>3</v>
      </c>
      <c r="Y379" s="7">
        <f>IFERROR('Cleaned Data'!R379/'Cleaned Data'!L379,0)</f>
        <v>168749.16</v>
      </c>
      <c r="Z379" t="str">
        <f>TEXT(EV_Sales[[#This Row],[Order_Date]],"mmm-yyyy")</f>
        <v>Aug-2025</v>
      </c>
      <c r="AA379">
        <f>MONTH(EV_Sales[[#This Row],[Order_Date]])</f>
        <v>8</v>
      </c>
      <c r="AB379" s="12" t="str">
        <f>"Q"&amp;ROUNDUP(MONTH(EV_Sales[[#This Row],[Order_Date]])/3,0)</f>
        <v>Q3</v>
      </c>
    </row>
    <row r="380" spans="1:28" x14ac:dyDescent="0.3">
      <c r="A380" t="s">
        <v>485</v>
      </c>
      <c r="B380" s="2">
        <v>45782</v>
      </c>
      <c r="C380" t="s">
        <v>87</v>
      </c>
      <c r="D380" t="s">
        <v>88</v>
      </c>
      <c r="E380" t="s">
        <v>46</v>
      </c>
      <c r="F380" t="s">
        <v>41</v>
      </c>
      <c r="G380" t="s">
        <v>34</v>
      </c>
      <c r="H380" t="s">
        <v>53</v>
      </c>
      <c r="I380" t="str">
        <f>IF('Cleaned Data'!H380="Emi","EMI",'Cleaned Data'!H380)</f>
        <v>Cash</v>
      </c>
      <c r="J380" t="s">
        <v>48</v>
      </c>
      <c r="K380" t="s">
        <v>175</v>
      </c>
      <c r="L380">
        <v>2</v>
      </c>
      <c r="M380" s="9">
        <v>154090</v>
      </c>
      <c r="N380" s="4">
        <v>0.08</v>
      </c>
      <c r="O380" s="4">
        <f t="shared" si="5"/>
        <v>0.08</v>
      </c>
      <c r="P380" s="11">
        <v>308180</v>
      </c>
      <c r="Q380" s="9">
        <v>24654.400000000001</v>
      </c>
      <c r="R380" s="9">
        <v>283525.59999999998</v>
      </c>
      <c r="S380">
        <v>3</v>
      </c>
      <c r="T380">
        <v>139</v>
      </c>
      <c r="U380">
        <v>4.3</v>
      </c>
      <c r="V380">
        <v>6</v>
      </c>
      <c r="W380">
        <f>IF('Cleaned Data'!V380&lt;0,"Review",'Cleaned Data'!V380)</f>
        <v>6</v>
      </c>
      <c r="X380">
        <v>3</v>
      </c>
      <c r="Y380" s="7">
        <f>IFERROR('Cleaned Data'!R380/'Cleaned Data'!L380,0)</f>
        <v>141762.79999999999</v>
      </c>
      <c r="Z380" t="str">
        <f>TEXT(EV_Sales[[#This Row],[Order_Date]],"mmm-yyyy")</f>
        <v>May-2025</v>
      </c>
      <c r="AA380">
        <f>MONTH(EV_Sales[[#This Row],[Order_Date]])</f>
        <v>5</v>
      </c>
      <c r="AB380" s="12" t="str">
        <f>"Q"&amp;ROUNDUP(MONTH(EV_Sales[[#This Row],[Order_Date]])/3,0)</f>
        <v>Q2</v>
      </c>
    </row>
    <row r="381" spans="1:28" x14ac:dyDescent="0.3">
      <c r="A381" t="s">
        <v>486</v>
      </c>
      <c r="B381" s="2">
        <v>45897</v>
      </c>
      <c r="C381" t="s">
        <v>60</v>
      </c>
      <c r="D381" t="s">
        <v>61</v>
      </c>
      <c r="E381" t="s">
        <v>24</v>
      </c>
      <c r="F381" t="s">
        <v>80</v>
      </c>
      <c r="G381" t="s">
        <v>34</v>
      </c>
      <c r="H381" t="s">
        <v>27</v>
      </c>
      <c r="I381" t="str">
        <f>IF('Cleaned Data'!H381="Emi","EMI",'Cleaned Data'!H381)</f>
        <v>Finance</v>
      </c>
      <c r="J381" t="s">
        <v>28</v>
      </c>
      <c r="K381" t="s">
        <v>157</v>
      </c>
      <c r="L381">
        <v>1</v>
      </c>
      <c r="M381" s="9">
        <v>112555</v>
      </c>
      <c r="N381" s="4">
        <v>7.5999999999999998E-2</v>
      </c>
      <c r="O381" s="4">
        <f t="shared" si="5"/>
        <v>7.5999999999999998E-2</v>
      </c>
      <c r="P381" s="11">
        <v>112555</v>
      </c>
      <c r="Q381" s="9">
        <v>8554.18</v>
      </c>
      <c r="R381" s="9">
        <v>104000.82</v>
      </c>
      <c r="S381">
        <v>3</v>
      </c>
      <c r="T381">
        <v>139</v>
      </c>
      <c r="U381">
        <v>4.0999999999999996</v>
      </c>
      <c r="V381">
        <v>7</v>
      </c>
      <c r="W381">
        <f>IF('Cleaned Data'!V381&lt;0,"Review",'Cleaned Data'!V381)</f>
        <v>7</v>
      </c>
      <c r="X381">
        <v>3</v>
      </c>
      <c r="Y381" s="7">
        <f>IFERROR('Cleaned Data'!R381/'Cleaned Data'!L381,0)</f>
        <v>104000.82</v>
      </c>
      <c r="Z381" t="str">
        <f>TEXT(EV_Sales[[#This Row],[Order_Date]],"mmm-yyyy")</f>
        <v>Aug-2025</v>
      </c>
      <c r="AA381">
        <f>MONTH(EV_Sales[[#This Row],[Order_Date]])</f>
        <v>8</v>
      </c>
      <c r="AB381" s="12" t="str">
        <f>"Q"&amp;ROUNDUP(MONTH(EV_Sales[[#This Row],[Order_Date]])/3,0)</f>
        <v>Q3</v>
      </c>
    </row>
    <row r="382" spans="1:28" x14ac:dyDescent="0.3">
      <c r="A382" t="s">
        <v>487</v>
      </c>
      <c r="B382" s="2">
        <v>45708</v>
      </c>
      <c r="C382" t="s">
        <v>87</v>
      </c>
      <c r="D382" t="s">
        <v>130</v>
      </c>
      <c r="E382" t="s">
        <v>62</v>
      </c>
      <c r="F382" t="s">
        <v>47</v>
      </c>
      <c r="G382" t="s">
        <v>34</v>
      </c>
      <c r="H382" t="s">
        <v>53</v>
      </c>
      <c r="I382" t="str">
        <f>IF('Cleaned Data'!H382="Emi","EMI",'Cleaned Data'!H382)</f>
        <v>Cash</v>
      </c>
      <c r="J382" t="s">
        <v>36</v>
      </c>
      <c r="K382" t="s">
        <v>175</v>
      </c>
      <c r="L382">
        <v>2</v>
      </c>
      <c r="M382" s="9">
        <v>110869</v>
      </c>
      <c r="N382" s="4">
        <v>2.9000000000000001E-2</v>
      </c>
      <c r="O382" s="4">
        <f t="shared" si="5"/>
        <v>2.9000000000000001E-2</v>
      </c>
      <c r="P382" s="11">
        <v>221738</v>
      </c>
      <c r="Q382" s="9">
        <v>6430.4</v>
      </c>
      <c r="R382" s="9">
        <v>215307.6</v>
      </c>
      <c r="S382">
        <v>5</v>
      </c>
      <c r="T382">
        <v>228</v>
      </c>
      <c r="U382">
        <v>4.3</v>
      </c>
      <c r="V382">
        <v>8</v>
      </c>
      <c r="W382">
        <f>IF('Cleaned Data'!V382&lt;0,"Review",'Cleaned Data'!V382)</f>
        <v>8</v>
      </c>
      <c r="X382">
        <v>2</v>
      </c>
      <c r="Y382" s="7">
        <f>IFERROR('Cleaned Data'!R382/'Cleaned Data'!L382,0)</f>
        <v>107653.8</v>
      </c>
      <c r="Z382" t="str">
        <f>TEXT(EV_Sales[[#This Row],[Order_Date]],"mmm-yyyy")</f>
        <v>Feb-2025</v>
      </c>
      <c r="AA382">
        <f>MONTH(EV_Sales[[#This Row],[Order_Date]])</f>
        <v>2</v>
      </c>
      <c r="AB382" s="12" t="str">
        <f>"Q"&amp;ROUNDUP(MONTH(EV_Sales[[#This Row],[Order_Date]])/3,0)</f>
        <v>Q1</v>
      </c>
    </row>
    <row r="383" spans="1:28" x14ac:dyDescent="0.3">
      <c r="A383" t="s">
        <v>488</v>
      </c>
      <c r="B383" s="2">
        <v>45940</v>
      </c>
      <c r="C383" t="s">
        <v>31</v>
      </c>
      <c r="D383" t="s">
        <v>32</v>
      </c>
      <c r="E383" t="s">
        <v>62</v>
      </c>
      <c r="F383" t="s">
        <v>66</v>
      </c>
      <c r="G383" t="s">
        <v>34</v>
      </c>
      <c r="H383" t="s">
        <v>53</v>
      </c>
      <c r="I383" t="str">
        <f>IF('Cleaned Data'!H383="Emi","EMI",'Cleaned Data'!H383)</f>
        <v>Cash</v>
      </c>
      <c r="J383" t="s">
        <v>94</v>
      </c>
      <c r="K383" t="s">
        <v>29</v>
      </c>
      <c r="L383">
        <v>1</v>
      </c>
      <c r="M383" s="9">
        <v>116150</v>
      </c>
      <c r="N383" s="4">
        <v>5.8000000000000003E-2</v>
      </c>
      <c r="O383" s="4">
        <f t="shared" si="5"/>
        <v>5.8000000000000003E-2</v>
      </c>
      <c r="P383" s="11">
        <v>116150</v>
      </c>
      <c r="Q383" s="9">
        <v>6736.7</v>
      </c>
      <c r="R383" s="9">
        <v>109413.3</v>
      </c>
      <c r="S383">
        <v>5</v>
      </c>
      <c r="T383">
        <v>217</v>
      </c>
      <c r="U383">
        <v>4</v>
      </c>
      <c r="V383">
        <v>10</v>
      </c>
      <c r="W383">
        <f>IF('Cleaned Data'!V383&lt;0,"Review",'Cleaned Data'!V383)</f>
        <v>10</v>
      </c>
      <c r="X383">
        <v>3</v>
      </c>
      <c r="Y383" s="7">
        <f>IFERROR('Cleaned Data'!R383/'Cleaned Data'!L383,0)</f>
        <v>109413.3</v>
      </c>
      <c r="Z383" t="str">
        <f>TEXT(EV_Sales[[#This Row],[Order_Date]],"mmm-yyyy")</f>
        <v>Oct-2025</v>
      </c>
      <c r="AA383">
        <f>MONTH(EV_Sales[[#This Row],[Order_Date]])</f>
        <v>10</v>
      </c>
      <c r="AB383" s="12" t="str">
        <f>"Q"&amp;ROUNDUP(MONTH(EV_Sales[[#This Row],[Order_Date]])/3,0)</f>
        <v>Q4</v>
      </c>
    </row>
    <row r="384" spans="1:28" x14ac:dyDescent="0.3">
      <c r="A384" t="s">
        <v>489</v>
      </c>
      <c r="B384" s="2">
        <v>45886</v>
      </c>
      <c r="C384" t="s">
        <v>99</v>
      </c>
      <c r="D384" t="s">
        <v>121</v>
      </c>
      <c r="E384" t="s">
        <v>46</v>
      </c>
      <c r="F384" t="s">
        <v>101</v>
      </c>
      <c r="G384" t="s">
        <v>56</v>
      </c>
      <c r="H384" t="s">
        <v>53</v>
      </c>
      <c r="I384" t="str">
        <f>IF('Cleaned Data'!H384="Emi","EMI",'Cleaned Data'!H384)</f>
        <v>Cash</v>
      </c>
      <c r="J384" t="s">
        <v>63</v>
      </c>
      <c r="K384" t="s">
        <v>29</v>
      </c>
      <c r="L384">
        <v>1</v>
      </c>
      <c r="M384" s="9">
        <v>105301</v>
      </c>
      <c r="N384" s="4">
        <v>7.8E-2</v>
      </c>
      <c r="O384" s="4">
        <f t="shared" si="5"/>
        <v>7.8E-2</v>
      </c>
      <c r="P384" s="11">
        <v>105301</v>
      </c>
      <c r="Q384" s="9">
        <v>8213.48</v>
      </c>
      <c r="R384" s="9">
        <v>97087.52</v>
      </c>
      <c r="S384">
        <v>4</v>
      </c>
      <c r="T384">
        <v>167</v>
      </c>
      <c r="U384">
        <v>3.6</v>
      </c>
      <c r="V384">
        <v>14</v>
      </c>
      <c r="W384">
        <f>IF('Cleaned Data'!V384&lt;0,"Review",'Cleaned Data'!V384)</f>
        <v>14</v>
      </c>
      <c r="X384">
        <v>3</v>
      </c>
      <c r="Y384" s="7">
        <f>IFERROR('Cleaned Data'!R384/'Cleaned Data'!L384,0)</f>
        <v>97087.52</v>
      </c>
      <c r="Z384" t="str">
        <f>TEXT(EV_Sales[[#This Row],[Order_Date]],"mmm-yyyy")</f>
        <v>Aug-2025</v>
      </c>
      <c r="AA384">
        <f>MONTH(EV_Sales[[#This Row],[Order_Date]])</f>
        <v>8</v>
      </c>
      <c r="AB384" s="12" t="str">
        <f>"Q"&amp;ROUNDUP(MONTH(EV_Sales[[#This Row],[Order_Date]])/3,0)</f>
        <v>Q3</v>
      </c>
    </row>
    <row r="385" spans="1:28" x14ac:dyDescent="0.3">
      <c r="A385" t="s">
        <v>490</v>
      </c>
      <c r="B385" s="2">
        <v>45821</v>
      </c>
      <c r="C385" t="s">
        <v>99</v>
      </c>
      <c r="D385" t="s">
        <v>100</v>
      </c>
      <c r="E385" t="s">
        <v>62</v>
      </c>
      <c r="F385" t="s">
        <v>80</v>
      </c>
      <c r="G385" t="s">
        <v>34</v>
      </c>
      <c r="H385" t="s">
        <v>53</v>
      </c>
      <c r="I385" t="str">
        <f>IF('Cleaned Data'!H385="Emi","EMI",'Cleaned Data'!H385)</f>
        <v>Cash</v>
      </c>
      <c r="J385" t="s">
        <v>36</v>
      </c>
      <c r="K385" t="s">
        <v>85</v>
      </c>
      <c r="L385">
        <v>2</v>
      </c>
      <c r="M385" s="9">
        <v>112682</v>
      </c>
      <c r="N385" s="4">
        <v>7.1999999999999995E-2</v>
      </c>
      <c r="O385" s="4">
        <f t="shared" si="5"/>
        <v>7.1999999999999995E-2</v>
      </c>
      <c r="P385" s="11">
        <v>225364</v>
      </c>
      <c r="Q385" s="9">
        <v>16226.21</v>
      </c>
      <c r="R385" s="9">
        <v>209137.79</v>
      </c>
      <c r="S385">
        <v>5</v>
      </c>
      <c r="T385">
        <v>186</v>
      </c>
      <c r="U385">
        <v>4.5999999999999996</v>
      </c>
      <c r="V385">
        <v>11</v>
      </c>
      <c r="W385">
        <f>IF('Cleaned Data'!V385&lt;0,"Review",'Cleaned Data'!V385)</f>
        <v>11</v>
      </c>
      <c r="X385">
        <v>5</v>
      </c>
      <c r="Y385" s="7">
        <f>IFERROR('Cleaned Data'!R385/'Cleaned Data'!L385,0)</f>
        <v>104568.895</v>
      </c>
      <c r="Z385" t="str">
        <f>TEXT(EV_Sales[[#This Row],[Order_Date]],"mmm-yyyy")</f>
        <v>Jun-2025</v>
      </c>
      <c r="AA385">
        <f>MONTH(EV_Sales[[#This Row],[Order_Date]])</f>
        <v>6</v>
      </c>
      <c r="AB385" s="12" t="str">
        <f>"Q"&amp;ROUNDUP(MONTH(EV_Sales[[#This Row],[Order_Date]])/3,0)</f>
        <v>Q2</v>
      </c>
    </row>
    <row r="386" spans="1:28" x14ac:dyDescent="0.3">
      <c r="A386" t="s">
        <v>491</v>
      </c>
      <c r="B386" s="2">
        <v>45675</v>
      </c>
      <c r="C386" t="s">
        <v>99</v>
      </c>
      <c r="D386" t="s">
        <v>141</v>
      </c>
      <c r="E386" t="s">
        <v>24</v>
      </c>
      <c r="F386" t="s">
        <v>47</v>
      </c>
      <c r="G386" t="s">
        <v>56</v>
      </c>
      <c r="H386" t="s">
        <v>27</v>
      </c>
      <c r="I386" t="str">
        <f>IF('Cleaned Data'!H386="Emi","EMI",'Cleaned Data'!H386)</f>
        <v>Finance</v>
      </c>
      <c r="J386" t="s">
        <v>94</v>
      </c>
      <c r="K386" t="s">
        <v>131</v>
      </c>
      <c r="L386">
        <v>4</v>
      </c>
      <c r="M386" s="9">
        <v>143563</v>
      </c>
      <c r="N386" s="4">
        <v>7.4999999999999997E-2</v>
      </c>
      <c r="O386" s="4">
        <f t="shared" ref="O386:O449" si="6">IF(TRIM(N386&amp;"")="","missing",N386)</f>
        <v>7.4999999999999997E-2</v>
      </c>
      <c r="P386" s="11">
        <v>574252</v>
      </c>
      <c r="Q386" s="9">
        <v>43068.9</v>
      </c>
      <c r="R386" s="9">
        <v>531183.1</v>
      </c>
      <c r="S386">
        <v>3</v>
      </c>
      <c r="T386">
        <v>175</v>
      </c>
      <c r="U386">
        <v>3.9</v>
      </c>
      <c r="V386">
        <v>12</v>
      </c>
      <c r="W386">
        <f>IF('Cleaned Data'!V386&lt;0,"Review",'Cleaned Data'!V386)</f>
        <v>12</v>
      </c>
      <c r="X386">
        <v>3</v>
      </c>
      <c r="Y386" s="7">
        <f>IFERROR('Cleaned Data'!R386/'Cleaned Data'!L386,0)</f>
        <v>132795.77499999999</v>
      </c>
      <c r="Z386" t="str">
        <f>TEXT(EV_Sales[[#This Row],[Order_Date]],"mmm-yyyy")</f>
        <v>Jan-2025</v>
      </c>
      <c r="AA386">
        <f>MONTH(EV_Sales[[#This Row],[Order_Date]])</f>
        <v>1</v>
      </c>
      <c r="AB386" s="12" t="str">
        <f>"Q"&amp;ROUNDUP(MONTH(EV_Sales[[#This Row],[Order_Date]])/3,0)</f>
        <v>Q1</v>
      </c>
    </row>
    <row r="387" spans="1:28" x14ac:dyDescent="0.3">
      <c r="A387" t="s">
        <v>492</v>
      </c>
      <c r="B387" s="2">
        <v>45915</v>
      </c>
      <c r="C387" t="s">
        <v>87</v>
      </c>
      <c r="D387" t="s">
        <v>88</v>
      </c>
      <c r="E387" t="s">
        <v>62</v>
      </c>
      <c r="F387" t="s">
        <v>101</v>
      </c>
      <c r="G387" t="s">
        <v>34</v>
      </c>
      <c r="H387" t="s">
        <v>53</v>
      </c>
      <c r="I387" t="str">
        <f>IF('Cleaned Data'!H387="Emi","EMI",'Cleaned Data'!H387)</f>
        <v>Cash</v>
      </c>
      <c r="J387" t="s">
        <v>57</v>
      </c>
      <c r="K387" t="s">
        <v>95</v>
      </c>
      <c r="L387">
        <v>1</v>
      </c>
      <c r="M387" s="9">
        <v>149275</v>
      </c>
      <c r="N387" s="4">
        <v>0.105</v>
      </c>
      <c r="O387" s="4">
        <f t="shared" si="6"/>
        <v>0.105</v>
      </c>
      <c r="P387" s="11">
        <v>149275</v>
      </c>
      <c r="Q387" s="9">
        <v>15673.88</v>
      </c>
      <c r="R387" s="9">
        <v>133601.12</v>
      </c>
      <c r="S387">
        <v>3</v>
      </c>
      <c r="T387">
        <v>158</v>
      </c>
      <c r="U387">
        <v>4.3</v>
      </c>
      <c r="V387">
        <v>14</v>
      </c>
      <c r="W387">
        <f>IF('Cleaned Data'!V387&lt;0,"Review",'Cleaned Data'!V387)</f>
        <v>14</v>
      </c>
      <c r="X387">
        <v>2</v>
      </c>
      <c r="Y387" s="7">
        <f>IFERROR('Cleaned Data'!R387/'Cleaned Data'!L387,0)</f>
        <v>133601.12</v>
      </c>
      <c r="Z387" t="str">
        <f>TEXT(EV_Sales[[#This Row],[Order_Date]],"mmm-yyyy")</f>
        <v>Sep-2025</v>
      </c>
      <c r="AA387">
        <f>MONTH(EV_Sales[[#This Row],[Order_Date]])</f>
        <v>9</v>
      </c>
      <c r="AB387" s="12" t="str">
        <f>"Q"&amp;ROUNDUP(MONTH(EV_Sales[[#This Row],[Order_Date]])/3,0)</f>
        <v>Q3</v>
      </c>
    </row>
    <row r="388" spans="1:28" x14ac:dyDescent="0.3">
      <c r="A388" t="s">
        <v>493</v>
      </c>
      <c r="B388" s="2">
        <v>45800</v>
      </c>
      <c r="C388" t="s">
        <v>87</v>
      </c>
      <c r="D388" t="s">
        <v>88</v>
      </c>
      <c r="E388" t="s">
        <v>46</v>
      </c>
      <c r="F388" t="s">
        <v>41</v>
      </c>
      <c r="G388" t="s">
        <v>56</v>
      </c>
      <c r="H388" t="s">
        <v>27</v>
      </c>
      <c r="I388" t="str">
        <f>IF('Cleaned Data'!H388="Emi","EMI",'Cleaned Data'!H388)</f>
        <v>Finance</v>
      </c>
      <c r="J388" t="s">
        <v>94</v>
      </c>
      <c r="K388" t="s">
        <v>131</v>
      </c>
      <c r="L388">
        <v>1</v>
      </c>
      <c r="M388" s="9">
        <v>160085</v>
      </c>
      <c r="N388" s="4">
        <v>9.6000000000000002E-2</v>
      </c>
      <c r="O388" s="4">
        <f t="shared" si="6"/>
        <v>9.6000000000000002E-2</v>
      </c>
      <c r="P388" s="11">
        <v>160085</v>
      </c>
      <c r="Q388" s="9">
        <v>15368.16</v>
      </c>
      <c r="R388" s="9">
        <v>144716.84</v>
      </c>
      <c r="S388">
        <v>4</v>
      </c>
      <c r="T388">
        <v>171</v>
      </c>
      <c r="U388">
        <v>3.8</v>
      </c>
      <c r="V388">
        <v>6</v>
      </c>
      <c r="W388">
        <f>IF('Cleaned Data'!V388&lt;0,"Review",'Cleaned Data'!V388)</f>
        <v>6</v>
      </c>
      <c r="X388">
        <v>3</v>
      </c>
      <c r="Y388" s="7">
        <f>IFERROR('Cleaned Data'!R388/'Cleaned Data'!L388,0)</f>
        <v>144716.84</v>
      </c>
      <c r="Z388" t="str">
        <f>TEXT(EV_Sales[[#This Row],[Order_Date]],"mmm-yyyy")</f>
        <v>May-2025</v>
      </c>
      <c r="AA388">
        <f>MONTH(EV_Sales[[#This Row],[Order_Date]])</f>
        <v>5</v>
      </c>
      <c r="AB388" s="12" t="str">
        <f>"Q"&amp;ROUNDUP(MONTH(EV_Sales[[#This Row],[Order_Date]])/3,0)</f>
        <v>Q2</v>
      </c>
    </row>
    <row r="389" spans="1:28" x14ac:dyDescent="0.3">
      <c r="A389" t="s">
        <v>494</v>
      </c>
      <c r="B389" s="2">
        <v>45998</v>
      </c>
      <c r="C389" t="s">
        <v>22</v>
      </c>
      <c r="D389" t="s">
        <v>107</v>
      </c>
      <c r="E389" t="s">
        <v>62</v>
      </c>
      <c r="F389" t="s">
        <v>25</v>
      </c>
      <c r="G389" t="s">
        <v>26</v>
      </c>
      <c r="H389" t="s">
        <v>53</v>
      </c>
      <c r="I389" t="str">
        <f>IF('Cleaned Data'!H389="Emi","EMI",'Cleaned Data'!H389)</f>
        <v>Cash</v>
      </c>
      <c r="J389" t="s">
        <v>36</v>
      </c>
      <c r="K389" t="s">
        <v>175</v>
      </c>
      <c r="L389">
        <v>1</v>
      </c>
      <c r="M389" s="9">
        <v>134499</v>
      </c>
      <c r="N389" s="4">
        <v>0.11799999999999999</v>
      </c>
      <c r="O389" s="4">
        <f t="shared" si="6"/>
        <v>0.11799999999999999</v>
      </c>
      <c r="P389" s="11">
        <v>134499</v>
      </c>
      <c r="Q389" s="9">
        <v>15870.88</v>
      </c>
      <c r="R389" s="9">
        <v>118628.12</v>
      </c>
      <c r="S389">
        <v>3</v>
      </c>
      <c r="T389">
        <v>160</v>
      </c>
      <c r="U389">
        <v>3.9</v>
      </c>
      <c r="V389">
        <v>14</v>
      </c>
      <c r="W389">
        <f>IF('Cleaned Data'!V389&lt;0,"Review",'Cleaned Data'!V389)</f>
        <v>14</v>
      </c>
      <c r="X389">
        <v>5</v>
      </c>
      <c r="Y389" s="7">
        <f>IFERROR('Cleaned Data'!R389/'Cleaned Data'!L389,0)</f>
        <v>118628.12</v>
      </c>
      <c r="Z389" t="str">
        <f>TEXT(EV_Sales[[#This Row],[Order_Date]],"mmm-yyyy")</f>
        <v>Dec-2025</v>
      </c>
      <c r="AA389">
        <f>MONTH(EV_Sales[[#This Row],[Order_Date]])</f>
        <v>12</v>
      </c>
      <c r="AB389" s="12" t="str">
        <f>"Q"&amp;ROUNDUP(MONTH(EV_Sales[[#This Row],[Order_Date]])/3,0)</f>
        <v>Q4</v>
      </c>
    </row>
    <row r="390" spans="1:28" x14ac:dyDescent="0.3">
      <c r="A390" t="s">
        <v>495</v>
      </c>
      <c r="B390" s="2">
        <v>45913</v>
      </c>
      <c r="C390" t="s">
        <v>99</v>
      </c>
      <c r="D390" t="s">
        <v>141</v>
      </c>
      <c r="E390" t="s">
        <v>24</v>
      </c>
      <c r="F390" t="s">
        <v>47</v>
      </c>
      <c r="G390" t="s">
        <v>67</v>
      </c>
      <c r="H390" t="s">
        <v>809</v>
      </c>
      <c r="I390" t="str">
        <f>IF('Cleaned Data'!H390="Emi","EMI",'Cleaned Data'!H390)</f>
        <v>EMI</v>
      </c>
      <c r="J390" t="s">
        <v>48</v>
      </c>
      <c r="K390" t="s">
        <v>102</v>
      </c>
      <c r="L390">
        <v>4</v>
      </c>
      <c r="M390" s="9">
        <v>133299</v>
      </c>
      <c r="N390" s="4">
        <v>7.3999999999999996E-2</v>
      </c>
      <c r="O390" s="4">
        <f t="shared" si="6"/>
        <v>7.3999999999999996E-2</v>
      </c>
      <c r="P390" s="11">
        <v>533196</v>
      </c>
      <c r="Q390" s="9">
        <v>39456.5</v>
      </c>
      <c r="R390" s="9">
        <v>493739.5</v>
      </c>
      <c r="S390">
        <v>5</v>
      </c>
      <c r="T390">
        <v>213</v>
      </c>
      <c r="U390">
        <v>3.9</v>
      </c>
      <c r="V390">
        <v>6</v>
      </c>
      <c r="W390">
        <f>IF('Cleaned Data'!V390&lt;0,"Review",'Cleaned Data'!V390)</f>
        <v>6</v>
      </c>
      <c r="X390">
        <v>3</v>
      </c>
      <c r="Y390" s="7">
        <f>IFERROR('Cleaned Data'!R390/'Cleaned Data'!L390,0)</f>
        <v>123434.875</v>
      </c>
      <c r="Z390" t="str">
        <f>TEXT(EV_Sales[[#This Row],[Order_Date]],"mmm-yyyy")</f>
        <v>Sep-2025</v>
      </c>
      <c r="AA390">
        <f>MONTH(EV_Sales[[#This Row],[Order_Date]])</f>
        <v>9</v>
      </c>
      <c r="AB390" s="12" t="str">
        <f>"Q"&amp;ROUNDUP(MONTH(EV_Sales[[#This Row],[Order_Date]])/3,0)</f>
        <v>Q3</v>
      </c>
    </row>
    <row r="391" spans="1:28" x14ac:dyDescent="0.3">
      <c r="A391" t="s">
        <v>496</v>
      </c>
      <c r="B391" s="2">
        <v>45735</v>
      </c>
      <c r="C391" t="s">
        <v>31</v>
      </c>
      <c r="D391" t="s">
        <v>32</v>
      </c>
      <c r="E391" t="s">
        <v>62</v>
      </c>
      <c r="F391" t="s">
        <v>70</v>
      </c>
      <c r="G391" t="s">
        <v>56</v>
      </c>
      <c r="H391" t="s">
        <v>27</v>
      </c>
      <c r="I391" t="str">
        <f>IF('Cleaned Data'!H391="Emi","EMI",'Cleaned Data'!H391)</f>
        <v>Finance</v>
      </c>
      <c r="J391" t="s">
        <v>94</v>
      </c>
      <c r="K391" t="s">
        <v>104</v>
      </c>
      <c r="L391">
        <v>1</v>
      </c>
      <c r="M391" s="9">
        <v>110001</v>
      </c>
      <c r="N391" s="4">
        <v>8.3000000000000004E-2</v>
      </c>
      <c r="O391" s="4">
        <f t="shared" si="6"/>
        <v>8.3000000000000004E-2</v>
      </c>
      <c r="P391" s="11">
        <v>110001</v>
      </c>
      <c r="Q391" s="9">
        <v>9130.08</v>
      </c>
      <c r="R391" s="9">
        <v>100870.92</v>
      </c>
      <c r="S391">
        <v>3</v>
      </c>
      <c r="T391">
        <v>172</v>
      </c>
      <c r="U391">
        <v>4.2</v>
      </c>
      <c r="V391">
        <v>4</v>
      </c>
      <c r="W391">
        <f>IF('Cleaned Data'!V391&lt;0,"Review",'Cleaned Data'!V391)</f>
        <v>4</v>
      </c>
      <c r="X391">
        <v>3</v>
      </c>
      <c r="Y391" s="7">
        <f>IFERROR('Cleaned Data'!R391/'Cleaned Data'!L391,0)</f>
        <v>100870.92</v>
      </c>
      <c r="Z391" t="str">
        <f>TEXT(EV_Sales[[#This Row],[Order_Date]],"mmm-yyyy")</f>
        <v>Mar-2025</v>
      </c>
      <c r="AA391">
        <f>MONTH(EV_Sales[[#This Row],[Order_Date]])</f>
        <v>3</v>
      </c>
      <c r="AB391" s="12" t="str">
        <f>"Q"&amp;ROUNDUP(MONTH(EV_Sales[[#This Row],[Order_Date]])/3,0)</f>
        <v>Q1</v>
      </c>
    </row>
    <row r="392" spans="1:28" x14ac:dyDescent="0.3">
      <c r="A392" t="s">
        <v>497</v>
      </c>
      <c r="B392" s="2">
        <v>45964</v>
      </c>
      <c r="C392" t="s">
        <v>39</v>
      </c>
      <c r="D392" t="s">
        <v>154</v>
      </c>
      <c r="E392" t="s">
        <v>62</v>
      </c>
      <c r="F392" t="s">
        <v>70</v>
      </c>
      <c r="G392" t="s">
        <v>67</v>
      </c>
      <c r="H392" t="s">
        <v>53</v>
      </c>
      <c r="I392" t="str">
        <f>IF('Cleaned Data'!H392="Emi","EMI",'Cleaned Data'!H392)</f>
        <v>Cash</v>
      </c>
      <c r="J392" t="s">
        <v>48</v>
      </c>
      <c r="K392" t="s">
        <v>138</v>
      </c>
      <c r="L392">
        <v>1</v>
      </c>
      <c r="M392" s="9">
        <v>193254</v>
      </c>
      <c r="N392" s="4">
        <v>0.112</v>
      </c>
      <c r="O392" s="4">
        <f t="shared" si="6"/>
        <v>0.112</v>
      </c>
      <c r="P392" s="11">
        <v>193254</v>
      </c>
      <c r="Q392" s="9">
        <v>21644.45</v>
      </c>
      <c r="R392" s="9">
        <v>171609.55</v>
      </c>
      <c r="S392">
        <v>2</v>
      </c>
      <c r="T392">
        <v>133</v>
      </c>
      <c r="U392">
        <v>3.3</v>
      </c>
      <c r="V392">
        <v>3</v>
      </c>
      <c r="W392">
        <f>IF('Cleaned Data'!V392&lt;0,"Review",'Cleaned Data'!V392)</f>
        <v>3</v>
      </c>
      <c r="X392">
        <v>2</v>
      </c>
      <c r="Y392" s="7">
        <f>IFERROR('Cleaned Data'!R392/'Cleaned Data'!L392,0)</f>
        <v>171609.55</v>
      </c>
      <c r="Z392" t="str">
        <f>TEXT(EV_Sales[[#This Row],[Order_Date]],"mmm-yyyy")</f>
        <v>Nov-2025</v>
      </c>
      <c r="AA392">
        <f>MONTH(EV_Sales[[#This Row],[Order_Date]])</f>
        <v>11</v>
      </c>
      <c r="AB392" s="12" t="str">
        <f>"Q"&amp;ROUNDUP(MONTH(EV_Sales[[#This Row],[Order_Date]])/3,0)</f>
        <v>Q4</v>
      </c>
    </row>
    <row r="393" spans="1:28" x14ac:dyDescent="0.3">
      <c r="A393" t="s">
        <v>498</v>
      </c>
      <c r="B393" s="2">
        <v>45720</v>
      </c>
      <c r="C393" t="s">
        <v>39</v>
      </c>
      <c r="D393" t="s">
        <v>154</v>
      </c>
      <c r="E393" t="s">
        <v>46</v>
      </c>
      <c r="F393" t="s">
        <v>47</v>
      </c>
      <c r="G393" t="s">
        <v>26</v>
      </c>
      <c r="H393" t="s">
        <v>53</v>
      </c>
      <c r="I393" t="str">
        <f>IF('Cleaned Data'!H393="Emi","EMI",'Cleaned Data'!H393)</f>
        <v>Cash</v>
      </c>
      <c r="J393" t="s">
        <v>48</v>
      </c>
      <c r="K393" t="s">
        <v>92</v>
      </c>
      <c r="L393">
        <v>2</v>
      </c>
      <c r="M393" s="9">
        <v>176104</v>
      </c>
      <c r="N393" s="4">
        <v>7.9000000000000001E-2</v>
      </c>
      <c r="O393" s="4">
        <f t="shared" si="6"/>
        <v>7.9000000000000001E-2</v>
      </c>
      <c r="P393" s="11">
        <v>352208</v>
      </c>
      <c r="Q393" s="9">
        <v>27824.43</v>
      </c>
      <c r="R393" s="9">
        <v>324383.57</v>
      </c>
      <c r="S393">
        <v>3</v>
      </c>
      <c r="T393">
        <v>159</v>
      </c>
      <c r="U393">
        <v>3.9</v>
      </c>
      <c r="V393">
        <v>13</v>
      </c>
      <c r="W393">
        <f>IF('Cleaned Data'!V393&lt;0,"Review",'Cleaned Data'!V393)</f>
        <v>13</v>
      </c>
      <c r="X393">
        <v>3</v>
      </c>
      <c r="Y393" s="7">
        <f>IFERROR('Cleaned Data'!R393/'Cleaned Data'!L393,0)</f>
        <v>162191.785</v>
      </c>
      <c r="Z393" t="str">
        <f>TEXT(EV_Sales[[#This Row],[Order_Date]],"mmm-yyyy")</f>
        <v>Mar-2025</v>
      </c>
      <c r="AA393">
        <f>MONTH(EV_Sales[[#This Row],[Order_Date]])</f>
        <v>3</v>
      </c>
      <c r="AB393" s="12" t="str">
        <f>"Q"&amp;ROUNDUP(MONTH(EV_Sales[[#This Row],[Order_Date]])/3,0)</f>
        <v>Q1</v>
      </c>
    </row>
    <row r="394" spans="1:28" x14ac:dyDescent="0.3">
      <c r="A394" t="s">
        <v>499</v>
      </c>
      <c r="B394" s="2">
        <v>46004</v>
      </c>
      <c r="C394" t="s">
        <v>31</v>
      </c>
      <c r="D394" t="s">
        <v>97</v>
      </c>
      <c r="E394" t="s">
        <v>62</v>
      </c>
      <c r="F394" t="s">
        <v>70</v>
      </c>
      <c r="G394" t="s">
        <v>34</v>
      </c>
      <c r="H394" t="s">
        <v>809</v>
      </c>
      <c r="I394" t="str">
        <f>IF('Cleaned Data'!H394="Emi","EMI",'Cleaned Data'!H394)</f>
        <v>EMI</v>
      </c>
      <c r="J394" t="s">
        <v>48</v>
      </c>
      <c r="K394" t="s">
        <v>92</v>
      </c>
      <c r="L394">
        <v>4</v>
      </c>
      <c r="M394" s="9">
        <v>132705</v>
      </c>
      <c r="N394" s="4">
        <v>8.6999999999999994E-2</v>
      </c>
      <c r="O394" s="4">
        <f t="shared" si="6"/>
        <v>8.6999999999999994E-2</v>
      </c>
      <c r="P394" s="11">
        <v>530820</v>
      </c>
      <c r="Q394" s="9">
        <v>46181.34</v>
      </c>
      <c r="R394" s="9">
        <v>484638.66</v>
      </c>
      <c r="S394">
        <v>2</v>
      </c>
      <c r="T394">
        <v>159</v>
      </c>
      <c r="U394">
        <v>3.8</v>
      </c>
      <c r="V394">
        <v>5</v>
      </c>
      <c r="W394">
        <f>IF('Cleaned Data'!V394&lt;0,"Review",'Cleaned Data'!V394)</f>
        <v>5</v>
      </c>
      <c r="X394">
        <v>2</v>
      </c>
      <c r="Y394" s="7">
        <f>IFERROR('Cleaned Data'!R394/'Cleaned Data'!L394,0)</f>
        <v>121159.66499999999</v>
      </c>
      <c r="Z394" t="str">
        <f>TEXT(EV_Sales[[#This Row],[Order_Date]],"mmm-yyyy")</f>
        <v>Dec-2025</v>
      </c>
      <c r="AA394">
        <f>MONTH(EV_Sales[[#This Row],[Order_Date]])</f>
        <v>12</v>
      </c>
      <c r="AB394" s="12" t="str">
        <f>"Q"&amp;ROUNDUP(MONTH(EV_Sales[[#This Row],[Order_Date]])/3,0)</f>
        <v>Q4</v>
      </c>
    </row>
    <row r="395" spans="1:28" x14ac:dyDescent="0.3">
      <c r="A395" t="s">
        <v>500</v>
      </c>
      <c r="B395" s="2">
        <v>45904</v>
      </c>
      <c r="C395" t="s">
        <v>31</v>
      </c>
      <c r="D395" t="s">
        <v>32</v>
      </c>
      <c r="E395" t="s">
        <v>46</v>
      </c>
      <c r="F395" t="s">
        <v>41</v>
      </c>
      <c r="G395" t="s">
        <v>34</v>
      </c>
      <c r="H395" t="s">
        <v>27</v>
      </c>
      <c r="I395" t="str">
        <f>IF('Cleaned Data'!H395="Emi","EMI",'Cleaned Data'!H395)</f>
        <v>Finance</v>
      </c>
      <c r="J395" t="s">
        <v>36</v>
      </c>
      <c r="K395" t="s">
        <v>49</v>
      </c>
      <c r="L395">
        <v>3</v>
      </c>
      <c r="M395" s="9">
        <v>111222</v>
      </c>
      <c r="N395" s="4">
        <v>9.5000000000000001E-2</v>
      </c>
      <c r="O395" s="4">
        <f t="shared" si="6"/>
        <v>9.5000000000000001E-2</v>
      </c>
      <c r="P395" s="11">
        <v>333666</v>
      </c>
      <c r="Q395" s="9">
        <v>31698.27</v>
      </c>
      <c r="R395" s="9">
        <v>301967.73</v>
      </c>
      <c r="S395">
        <v>3</v>
      </c>
      <c r="T395">
        <v>177</v>
      </c>
      <c r="U395">
        <v>4.0999999999999996</v>
      </c>
      <c r="V395">
        <v>2</v>
      </c>
      <c r="W395">
        <f>IF('Cleaned Data'!V395&lt;0,"Review",'Cleaned Data'!V395)</f>
        <v>2</v>
      </c>
      <c r="X395">
        <v>3</v>
      </c>
      <c r="Y395" s="7">
        <f>IFERROR('Cleaned Data'!R395/'Cleaned Data'!L395,0)</f>
        <v>100655.90999999999</v>
      </c>
      <c r="Z395" t="str">
        <f>TEXT(EV_Sales[[#This Row],[Order_Date]],"mmm-yyyy")</f>
        <v>Sep-2025</v>
      </c>
      <c r="AA395">
        <f>MONTH(EV_Sales[[#This Row],[Order_Date]])</f>
        <v>9</v>
      </c>
      <c r="AB395" s="12" t="str">
        <f>"Q"&amp;ROUNDUP(MONTH(EV_Sales[[#This Row],[Order_Date]])/3,0)</f>
        <v>Q3</v>
      </c>
    </row>
    <row r="396" spans="1:28" x14ac:dyDescent="0.3">
      <c r="A396" t="s">
        <v>501</v>
      </c>
      <c r="B396" s="2">
        <v>45871</v>
      </c>
      <c r="C396" t="s">
        <v>44</v>
      </c>
      <c r="D396" t="s">
        <v>45</v>
      </c>
      <c r="E396" t="s">
        <v>24</v>
      </c>
      <c r="F396" t="s">
        <v>25</v>
      </c>
      <c r="G396" t="s">
        <v>34</v>
      </c>
      <c r="H396" t="s">
        <v>810</v>
      </c>
      <c r="I396" t="str">
        <f>IF('Cleaned Data'!H396="Emi","EMI",'Cleaned Data'!H396)</f>
        <v xml:space="preserve"> Emi </v>
      </c>
      <c r="J396" t="s">
        <v>36</v>
      </c>
      <c r="K396" t="s">
        <v>89</v>
      </c>
      <c r="L396">
        <v>2</v>
      </c>
      <c r="M396" s="9">
        <v>159136</v>
      </c>
      <c r="N396" s="4">
        <v>0.12</v>
      </c>
      <c r="O396" s="4">
        <f t="shared" si="6"/>
        <v>0.12</v>
      </c>
      <c r="P396" s="11">
        <v>318272</v>
      </c>
      <c r="Q396" s="9">
        <v>38192.639999999999</v>
      </c>
      <c r="R396" s="9">
        <v>280079.35999999999</v>
      </c>
      <c r="S396">
        <v>3</v>
      </c>
      <c r="T396">
        <v>171</v>
      </c>
      <c r="U396">
        <v>4.3</v>
      </c>
      <c r="V396">
        <v>11</v>
      </c>
      <c r="W396">
        <f>IF('Cleaned Data'!V396&lt;0,"Review",'Cleaned Data'!V396)</f>
        <v>11</v>
      </c>
      <c r="X396">
        <v>5</v>
      </c>
      <c r="Y396" s="7">
        <f>IFERROR('Cleaned Data'!R396/'Cleaned Data'!L396,0)</f>
        <v>140039.67999999999</v>
      </c>
      <c r="Z396" t="str">
        <f>TEXT(EV_Sales[[#This Row],[Order_Date]],"mmm-yyyy")</f>
        <v>Aug-2025</v>
      </c>
      <c r="AA396">
        <f>MONTH(EV_Sales[[#This Row],[Order_Date]])</f>
        <v>8</v>
      </c>
      <c r="AB396" s="12" t="str">
        <f>"Q"&amp;ROUNDUP(MONTH(EV_Sales[[#This Row],[Order_Date]])/3,0)</f>
        <v>Q3</v>
      </c>
    </row>
    <row r="397" spans="1:28" x14ac:dyDescent="0.3">
      <c r="A397" t="s">
        <v>502</v>
      </c>
      <c r="B397" s="2">
        <v>45802</v>
      </c>
      <c r="C397" t="s">
        <v>60</v>
      </c>
      <c r="D397" t="s">
        <v>69</v>
      </c>
      <c r="E397" t="s">
        <v>46</v>
      </c>
      <c r="F397" t="s">
        <v>66</v>
      </c>
      <c r="G397" t="s">
        <v>67</v>
      </c>
      <c r="H397" t="s">
        <v>53</v>
      </c>
      <c r="I397" t="str">
        <f>IF('Cleaned Data'!H397="Emi","EMI",'Cleaned Data'!H397)</f>
        <v>Cash</v>
      </c>
      <c r="J397" t="s">
        <v>36</v>
      </c>
      <c r="K397" t="s">
        <v>58</v>
      </c>
      <c r="L397">
        <v>1</v>
      </c>
      <c r="M397" s="9">
        <v>111310</v>
      </c>
      <c r="N397" s="4">
        <v>0.05</v>
      </c>
      <c r="O397" s="4">
        <f t="shared" si="6"/>
        <v>0.05</v>
      </c>
      <c r="P397" s="11">
        <v>111310</v>
      </c>
      <c r="Q397" s="9">
        <v>5565.5</v>
      </c>
      <c r="R397" s="9">
        <v>105744.5</v>
      </c>
      <c r="S397">
        <v>3</v>
      </c>
      <c r="T397">
        <v>159</v>
      </c>
      <c r="U397">
        <v>3.8</v>
      </c>
      <c r="V397">
        <v>5</v>
      </c>
      <c r="W397">
        <f>IF('Cleaned Data'!V397&lt;0,"Review",'Cleaned Data'!V397)</f>
        <v>5</v>
      </c>
      <c r="X397">
        <v>5</v>
      </c>
      <c r="Y397" s="7">
        <f>IFERROR('Cleaned Data'!R397/'Cleaned Data'!L397,0)</f>
        <v>105744.5</v>
      </c>
      <c r="Z397" t="str">
        <f>TEXT(EV_Sales[[#This Row],[Order_Date]],"mmm-yyyy")</f>
        <v>May-2025</v>
      </c>
      <c r="AA397">
        <f>MONTH(EV_Sales[[#This Row],[Order_Date]])</f>
        <v>5</v>
      </c>
      <c r="AB397" s="12" t="str">
        <f>"Q"&amp;ROUNDUP(MONTH(EV_Sales[[#This Row],[Order_Date]])/3,0)</f>
        <v>Q2</v>
      </c>
    </row>
    <row r="398" spans="1:28" x14ac:dyDescent="0.3">
      <c r="A398" t="s">
        <v>503</v>
      </c>
      <c r="B398" s="2">
        <v>45982</v>
      </c>
      <c r="C398" t="s">
        <v>99</v>
      </c>
      <c r="D398" t="s">
        <v>100</v>
      </c>
      <c r="E398" t="s">
        <v>46</v>
      </c>
      <c r="F398" t="s">
        <v>52</v>
      </c>
      <c r="G398" t="s">
        <v>67</v>
      </c>
      <c r="H398" t="s">
        <v>53</v>
      </c>
      <c r="I398" t="str">
        <f>IF('Cleaned Data'!H398="Emi","EMI",'Cleaned Data'!H398)</f>
        <v>Cash</v>
      </c>
      <c r="J398" t="s">
        <v>28</v>
      </c>
      <c r="K398" t="s">
        <v>95</v>
      </c>
      <c r="L398">
        <v>1</v>
      </c>
      <c r="M398" s="9">
        <v>115453</v>
      </c>
      <c r="N398" s="4">
        <v>5.2999999999999999E-2</v>
      </c>
      <c r="O398" s="4">
        <f t="shared" si="6"/>
        <v>5.2999999999999999E-2</v>
      </c>
      <c r="P398" s="11">
        <v>115453</v>
      </c>
      <c r="Q398" s="9">
        <v>6119.01</v>
      </c>
      <c r="R398" s="9">
        <v>109333.99</v>
      </c>
      <c r="S398">
        <v>2</v>
      </c>
      <c r="T398">
        <v>126</v>
      </c>
      <c r="U398">
        <v>4</v>
      </c>
      <c r="V398">
        <v>12</v>
      </c>
      <c r="W398">
        <f>IF('Cleaned Data'!V398&lt;0,"Review",'Cleaned Data'!V398)</f>
        <v>12</v>
      </c>
      <c r="X398">
        <v>5</v>
      </c>
      <c r="Y398" s="7">
        <f>IFERROR('Cleaned Data'!R398/'Cleaned Data'!L398,0)</f>
        <v>109333.99</v>
      </c>
      <c r="Z398" t="str">
        <f>TEXT(EV_Sales[[#This Row],[Order_Date]],"mmm-yyyy")</f>
        <v>Nov-2025</v>
      </c>
      <c r="AA398">
        <f>MONTH(EV_Sales[[#This Row],[Order_Date]])</f>
        <v>11</v>
      </c>
      <c r="AB398" s="12" t="str">
        <f>"Q"&amp;ROUNDUP(MONTH(EV_Sales[[#This Row],[Order_Date]])/3,0)</f>
        <v>Q4</v>
      </c>
    </row>
    <row r="399" spans="1:28" x14ac:dyDescent="0.3">
      <c r="A399" t="s">
        <v>504</v>
      </c>
      <c r="B399" s="2">
        <v>45706</v>
      </c>
      <c r="C399" t="s">
        <v>87</v>
      </c>
      <c r="D399" t="s">
        <v>130</v>
      </c>
      <c r="E399" t="s">
        <v>46</v>
      </c>
      <c r="F399" t="s">
        <v>52</v>
      </c>
      <c r="G399" t="s">
        <v>67</v>
      </c>
      <c r="H399" t="s">
        <v>27</v>
      </c>
      <c r="I399" t="str">
        <f>IF('Cleaned Data'!H399="Emi","EMI",'Cleaned Data'!H399)</f>
        <v>Finance</v>
      </c>
      <c r="J399" t="s">
        <v>94</v>
      </c>
      <c r="K399" t="s">
        <v>138</v>
      </c>
      <c r="L399">
        <v>1</v>
      </c>
      <c r="M399" s="9">
        <v>115327</v>
      </c>
      <c r="N399" s="4">
        <v>3.3000000000000002E-2</v>
      </c>
      <c r="O399" s="4">
        <f t="shared" si="6"/>
        <v>3.3000000000000002E-2</v>
      </c>
      <c r="P399" s="11">
        <v>115327</v>
      </c>
      <c r="Q399" s="9">
        <v>3805.79</v>
      </c>
      <c r="R399" s="9">
        <v>111521.21</v>
      </c>
      <c r="S399">
        <v>3</v>
      </c>
      <c r="T399">
        <v>148</v>
      </c>
      <c r="U399">
        <v>5</v>
      </c>
      <c r="V399">
        <v>4</v>
      </c>
      <c r="W399">
        <f>IF('Cleaned Data'!V399&lt;0,"Review",'Cleaned Data'!V399)</f>
        <v>4</v>
      </c>
      <c r="X399">
        <v>3</v>
      </c>
      <c r="Y399" s="7">
        <f>IFERROR('Cleaned Data'!R399/'Cleaned Data'!L399,0)</f>
        <v>111521.21</v>
      </c>
      <c r="Z399" t="str">
        <f>TEXT(EV_Sales[[#This Row],[Order_Date]],"mmm-yyyy")</f>
        <v>Feb-2025</v>
      </c>
      <c r="AA399">
        <f>MONTH(EV_Sales[[#This Row],[Order_Date]])</f>
        <v>2</v>
      </c>
      <c r="AB399" s="12" t="str">
        <f>"Q"&amp;ROUNDUP(MONTH(EV_Sales[[#This Row],[Order_Date]])/3,0)</f>
        <v>Q1</v>
      </c>
    </row>
    <row r="400" spans="1:28" x14ac:dyDescent="0.3">
      <c r="A400" t="s">
        <v>505</v>
      </c>
      <c r="B400" s="2">
        <v>45765</v>
      </c>
      <c r="C400" t="s">
        <v>76</v>
      </c>
      <c r="D400" t="s">
        <v>115</v>
      </c>
      <c r="E400" t="s">
        <v>62</v>
      </c>
      <c r="F400" t="s">
        <v>41</v>
      </c>
      <c r="G400" t="s">
        <v>34</v>
      </c>
      <c r="H400" t="s">
        <v>27</v>
      </c>
      <c r="I400" t="str">
        <f>IF('Cleaned Data'!H400="Emi","EMI",'Cleaned Data'!H400)</f>
        <v>Finance</v>
      </c>
      <c r="J400" t="s">
        <v>28</v>
      </c>
      <c r="K400" t="s">
        <v>37</v>
      </c>
      <c r="L400">
        <v>1</v>
      </c>
      <c r="M400" s="9">
        <v>138351</v>
      </c>
      <c r="N400" s="4">
        <v>0.109</v>
      </c>
      <c r="O400" s="4">
        <f t="shared" si="6"/>
        <v>0.109</v>
      </c>
      <c r="P400" s="11">
        <v>138351</v>
      </c>
      <c r="Q400" s="9">
        <v>15080.26</v>
      </c>
      <c r="R400" s="9">
        <v>123270.74</v>
      </c>
      <c r="S400">
        <v>3</v>
      </c>
      <c r="T400">
        <v>172</v>
      </c>
      <c r="U400">
        <v>4.2</v>
      </c>
      <c r="V400">
        <v>9</v>
      </c>
      <c r="W400">
        <f>IF('Cleaned Data'!V400&lt;0,"Review",'Cleaned Data'!V400)</f>
        <v>9</v>
      </c>
      <c r="X400">
        <v>3</v>
      </c>
      <c r="Y400" s="7">
        <f>IFERROR('Cleaned Data'!R400/'Cleaned Data'!L400,0)</f>
        <v>123270.74</v>
      </c>
      <c r="Z400" t="str">
        <f>TEXT(EV_Sales[[#This Row],[Order_Date]],"mmm-yyyy")</f>
        <v>Apr-2025</v>
      </c>
      <c r="AA400">
        <f>MONTH(EV_Sales[[#This Row],[Order_Date]])</f>
        <v>4</v>
      </c>
      <c r="AB400" s="12" t="str">
        <f>"Q"&amp;ROUNDUP(MONTH(EV_Sales[[#This Row],[Order_Date]])/3,0)</f>
        <v>Q2</v>
      </c>
    </row>
    <row r="401" spans="1:28" x14ac:dyDescent="0.3">
      <c r="A401" t="s">
        <v>506</v>
      </c>
      <c r="B401" s="2">
        <v>45777</v>
      </c>
      <c r="C401" t="s">
        <v>44</v>
      </c>
      <c r="D401" t="s">
        <v>45</v>
      </c>
      <c r="E401" t="s">
        <v>62</v>
      </c>
      <c r="F401" t="s">
        <v>70</v>
      </c>
      <c r="G401" t="s">
        <v>34</v>
      </c>
      <c r="H401" t="s">
        <v>809</v>
      </c>
      <c r="I401" t="str">
        <f>IF('Cleaned Data'!H401="Emi","EMI",'Cleaned Data'!H401)</f>
        <v>EMI</v>
      </c>
      <c r="J401" t="s">
        <v>57</v>
      </c>
      <c r="K401" t="s">
        <v>102</v>
      </c>
      <c r="L401">
        <v>1</v>
      </c>
      <c r="M401" s="9">
        <v>147810</v>
      </c>
      <c r="N401" s="4">
        <v>0.115</v>
      </c>
      <c r="O401" s="4">
        <f t="shared" si="6"/>
        <v>0.115</v>
      </c>
      <c r="P401" s="11">
        <v>147810</v>
      </c>
      <c r="Q401" s="9">
        <v>16998.150000000001</v>
      </c>
      <c r="R401" s="9">
        <v>130811.85</v>
      </c>
      <c r="S401">
        <v>4</v>
      </c>
      <c r="T401">
        <v>190</v>
      </c>
      <c r="U401">
        <v>4.8</v>
      </c>
      <c r="V401">
        <v>11</v>
      </c>
      <c r="W401">
        <f>IF('Cleaned Data'!V401&lt;0,"Review",'Cleaned Data'!V401)</f>
        <v>11</v>
      </c>
      <c r="X401">
        <v>2</v>
      </c>
      <c r="Y401" s="7">
        <f>IFERROR('Cleaned Data'!R401/'Cleaned Data'!L401,0)</f>
        <v>130811.85</v>
      </c>
      <c r="Z401" t="str">
        <f>TEXT(EV_Sales[[#This Row],[Order_Date]],"mmm-yyyy")</f>
        <v>Apr-2025</v>
      </c>
      <c r="AA401">
        <f>MONTH(EV_Sales[[#This Row],[Order_Date]])</f>
        <v>4</v>
      </c>
      <c r="AB401" s="12" t="str">
        <f>"Q"&amp;ROUNDUP(MONTH(EV_Sales[[#This Row],[Order_Date]])/3,0)</f>
        <v>Q2</v>
      </c>
    </row>
    <row r="402" spans="1:28" x14ac:dyDescent="0.3">
      <c r="A402" t="s">
        <v>507</v>
      </c>
      <c r="B402" s="2">
        <v>45712</v>
      </c>
      <c r="C402" t="s">
        <v>87</v>
      </c>
      <c r="D402" t="s">
        <v>130</v>
      </c>
      <c r="E402" t="s">
        <v>46</v>
      </c>
      <c r="F402" t="s">
        <v>66</v>
      </c>
      <c r="G402" t="s">
        <v>67</v>
      </c>
      <c r="H402" t="s">
        <v>53</v>
      </c>
      <c r="I402" t="str">
        <f>IF('Cleaned Data'!H402="Emi","EMI",'Cleaned Data'!H402)</f>
        <v>Cash</v>
      </c>
      <c r="J402" t="s">
        <v>94</v>
      </c>
      <c r="K402" t="s">
        <v>29</v>
      </c>
      <c r="L402">
        <v>1</v>
      </c>
      <c r="M402" s="9">
        <v>105176</v>
      </c>
      <c r="N402" s="4">
        <v>0.107</v>
      </c>
      <c r="O402" s="4">
        <f t="shared" si="6"/>
        <v>0.107</v>
      </c>
      <c r="P402" s="11">
        <v>105176</v>
      </c>
      <c r="Q402" s="9">
        <v>11253.83</v>
      </c>
      <c r="R402" s="9">
        <v>93922.17</v>
      </c>
      <c r="S402">
        <v>3</v>
      </c>
      <c r="T402">
        <v>154</v>
      </c>
      <c r="U402">
        <v>4.8</v>
      </c>
      <c r="V402">
        <v>6</v>
      </c>
      <c r="W402">
        <f>IF('Cleaned Data'!V402&lt;0,"Review",'Cleaned Data'!V402)</f>
        <v>6</v>
      </c>
      <c r="X402">
        <v>2</v>
      </c>
      <c r="Y402" s="7">
        <f>IFERROR('Cleaned Data'!R402/'Cleaned Data'!L402,0)</f>
        <v>93922.17</v>
      </c>
      <c r="Z402" t="str">
        <f>TEXT(EV_Sales[[#This Row],[Order_Date]],"mmm-yyyy")</f>
        <v>Feb-2025</v>
      </c>
      <c r="AA402">
        <f>MONTH(EV_Sales[[#This Row],[Order_Date]])</f>
        <v>2</v>
      </c>
      <c r="AB402" s="12" t="str">
        <f>"Q"&amp;ROUNDUP(MONTH(EV_Sales[[#This Row],[Order_Date]])/3,0)</f>
        <v>Q1</v>
      </c>
    </row>
    <row r="403" spans="1:28" x14ac:dyDescent="0.3">
      <c r="A403" t="s">
        <v>508</v>
      </c>
      <c r="B403" s="2">
        <v>45775</v>
      </c>
      <c r="C403" t="s">
        <v>39</v>
      </c>
      <c r="D403" t="s">
        <v>40</v>
      </c>
      <c r="E403" t="s">
        <v>46</v>
      </c>
      <c r="F403" t="s">
        <v>25</v>
      </c>
      <c r="G403" t="s">
        <v>56</v>
      </c>
      <c r="H403" t="s">
        <v>27</v>
      </c>
      <c r="I403" t="str">
        <f>IF('Cleaned Data'!H403="Emi","EMI",'Cleaned Data'!H403)</f>
        <v>Finance</v>
      </c>
      <c r="J403" t="s">
        <v>94</v>
      </c>
      <c r="K403" t="s">
        <v>109</v>
      </c>
      <c r="L403">
        <v>1</v>
      </c>
      <c r="M403" s="9">
        <v>134313</v>
      </c>
      <c r="N403" s="4">
        <v>7.3999999999999996E-2</v>
      </c>
      <c r="O403" s="4">
        <f t="shared" si="6"/>
        <v>7.3999999999999996E-2</v>
      </c>
      <c r="P403" s="11">
        <v>134313</v>
      </c>
      <c r="Q403" s="9">
        <v>9939.16</v>
      </c>
      <c r="R403" s="9">
        <v>124373.84</v>
      </c>
      <c r="S403">
        <v>2</v>
      </c>
      <c r="T403">
        <v>141</v>
      </c>
      <c r="U403">
        <v>3.4</v>
      </c>
      <c r="V403">
        <v>5</v>
      </c>
      <c r="W403">
        <f>IF('Cleaned Data'!V403&lt;0,"Review",'Cleaned Data'!V403)</f>
        <v>5</v>
      </c>
      <c r="X403">
        <v>5</v>
      </c>
      <c r="Y403" s="7">
        <f>IFERROR('Cleaned Data'!R403/'Cleaned Data'!L403,0)</f>
        <v>124373.84</v>
      </c>
      <c r="Z403" t="str">
        <f>TEXT(EV_Sales[[#This Row],[Order_Date]],"mmm-yyyy")</f>
        <v>Apr-2025</v>
      </c>
      <c r="AA403">
        <f>MONTH(EV_Sales[[#This Row],[Order_Date]])</f>
        <v>4</v>
      </c>
      <c r="AB403" s="12" t="str">
        <f>"Q"&amp;ROUNDUP(MONTH(EV_Sales[[#This Row],[Order_Date]])/3,0)</f>
        <v>Q2</v>
      </c>
    </row>
    <row r="404" spans="1:28" x14ac:dyDescent="0.3">
      <c r="A404" t="s">
        <v>509</v>
      </c>
      <c r="B404" s="2">
        <v>45738</v>
      </c>
      <c r="C404" t="s">
        <v>39</v>
      </c>
      <c r="D404" t="s">
        <v>40</v>
      </c>
      <c r="E404" t="s">
        <v>46</v>
      </c>
      <c r="F404" t="s">
        <v>47</v>
      </c>
      <c r="G404" t="s">
        <v>26</v>
      </c>
      <c r="H404" t="s">
        <v>53</v>
      </c>
      <c r="I404" t="str">
        <f>IF('Cleaned Data'!H404="Emi","EMI",'Cleaned Data'!H404)</f>
        <v>Cash</v>
      </c>
      <c r="J404" t="s">
        <v>63</v>
      </c>
      <c r="K404" t="s">
        <v>175</v>
      </c>
      <c r="L404">
        <v>4</v>
      </c>
      <c r="M404" s="9">
        <v>119197</v>
      </c>
      <c r="N404" s="4">
        <v>2.5999999999999999E-2</v>
      </c>
      <c r="O404" s="4">
        <f t="shared" si="6"/>
        <v>2.5999999999999999E-2</v>
      </c>
      <c r="P404" s="11">
        <v>476788</v>
      </c>
      <c r="Q404" s="9">
        <v>12396.49</v>
      </c>
      <c r="R404" s="9">
        <v>464391.51</v>
      </c>
      <c r="S404">
        <v>3</v>
      </c>
      <c r="T404">
        <v>163</v>
      </c>
      <c r="U404">
        <v>4</v>
      </c>
      <c r="V404">
        <v>9</v>
      </c>
      <c r="W404">
        <f>IF('Cleaned Data'!V404&lt;0,"Review",'Cleaned Data'!V404)</f>
        <v>9</v>
      </c>
      <c r="X404">
        <v>3</v>
      </c>
      <c r="Y404" s="7">
        <f>IFERROR('Cleaned Data'!R404/'Cleaned Data'!L404,0)</f>
        <v>116097.8775</v>
      </c>
      <c r="Z404" t="str">
        <f>TEXT(EV_Sales[[#This Row],[Order_Date]],"mmm-yyyy")</f>
        <v>Mar-2025</v>
      </c>
      <c r="AA404">
        <f>MONTH(EV_Sales[[#This Row],[Order_Date]])</f>
        <v>3</v>
      </c>
      <c r="AB404" s="12" t="str">
        <f>"Q"&amp;ROUNDUP(MONTH(EV_Sales[[#This Row],[Order_Date]])/3,0)</f>
        <v>Q1</v>
      </c>
    </row>
    <row r="405" spans="1:28" x14ac:dyDescent="0.3">
      <c r="A405" t="s">
        <v>510</v>
      </c>
      <c r="B405" s="2">
        <v>45943</v>
      </c>
      <c r="C405" t="s">
        <v>99</v>
      </c>
      <c r="D405" t="s">
        <v>141</v>
      </c>
      <c r="E405" t="s">
        <v>62</v>
      </c>
      <c r="F405" t="s">
        <v>80</v>
      </c>
      <c r="G405" t="s">
        <v>56</v>
      </c>
      <c r="H405" t="s">
        <v>809</v>
      </c>
      <c r="I405" t="str">
        <f>IF('Cleaned Data'!H405="Emi","EMI",'Cleaned Data'!H405)</f>
        <v>EMI</v>
      </c>
      <c r="J405" t="s">
        <v>94</v>
      </c>
      <c r="K405" t="s">
        <v>175</v>
      </c>
      <c r="L405">
        <v>3</v>
      </c>
      <c r="M405" s="9">
        <v>134941</v>
      </c>
      <c r="N405" s="4">
        <v>5.8000000000000003E-2</v>
      </c>
      <c r="O405" s="4">
        <f t="shared" si="6"/>
        <v>5.8000000000000003E-2</v>
      </c>
      <c r="P405" s="11">
        <v>404823</v>
      </c>
      <c r="Q405" s="9">
        <v>23479.73</v>
      </c>
      <c r="R405" s="9">
        <v>381343.27</v>
      </c>
      <c r="S405">
        <v>3</v>
      </c>
      <c r="T405">
        <v>181</v>
      </c>
      <c r="U405">
        <v>3.9</v>
      </c>
      <c r="V405">
        <v>9</v>
      </c>
      <c r="W405">
        <f>IF('Cleaned Data'!V405&lt;0,"Review",'Cleaned Data'!V405)</f>
        <v>9</v>
      </c>
      <c r="X405">
        <v>2</v>
      </c>
      <c r="Y405" s="7">
        <f>IFERROR('Cleaned Data'!R405/'Cleaned Data'!L405,0)</f>
        <v>127114.42333333334</v>
      </c>
      <c r="Z405" t="str">
        <f>TEXT(EV_Sales[[#This Row],[Order_Date]],"mmm-yyyy")</f>
        <v>Oct-2025</v>
      </c>
      <c r="AA405">
        <f>MONTH(EV_Sales[[#This Row],[Order_Date]])</f>
        <v>10</v>
      </c>
      <c r="AB405" s="12" t="str">
        <f>"Q"&amp;ROUNDUP(MONTH(EV_Sales[[#This Row],[Order_Date]])/3,0)</f>
        <v>Q4</v>
      </c>
    </row>
    <row r="406" spans="1:28" x14ac:dyDescent="0.3">
      <c r="A406" t="s">
        <v>511</v>
      </c>
      <c r="B406" s="2">
        <v>45870</v>
      </c>
      <c r="C406" t="s">
        <v>44</v>
      </c>
      <c r="D406" t="s">
        <v>45</v>
      </c>
      <c r="E406" t="s">
        <v>62</v>
      </c>
      <c r="F406" t="s">
        <v>47</v>
      </c>
      <c r="G406" t="s">
        <v>56</v>
      </c>
      <c r="H406" t="s">
        <v>809</v>
      </c>
      <c r="I406" t="str">
        <f>IF('Cleaned Data'!H406="Emi","EMI",'Cleaned Data'!H406)</f>
        <v>EMI</v>
      </c>
      <c r="J406" t="s">
        <v>57</v>
      </c>
      <c r="K406" t="s">
        <v>104</v>
      </c>
      <c r="L406">
        <v>1</v>
      </c>
      <c r="M406" s="9">
        <v>151594</v>
      </c>
      <c r="N406" s="4">
        <v>4.5999999999999999E-2</v>
      </c>
      <c r="O406" s="4">
        <f t="shared" si="6"/>
        <v>4.5999999999999999E-2</v>
      </c>
      <c r="P406" s="11">
        <v>151594</v>
      </c>
      <c r="Q406" s="9">
        <v>6973.32</v>
      </c>
      <c r="R406" s="9">
        <v>144620.68</v>
      </c>
      <c r="S406">
        <v>2</v>
      </c>
      <c r="T406">
        <v>147</v>
      </c>
      <c r="U406">
        <v>5</v>
      </c>
      <c r="V406">
        <v>3</v>
      </c>
      <c r="W406">
        <f>IF('Cleaned Data'!V406&lt;0,"Review",'Cleaned Data'!V406)</f>
        <v>3</v>
      </c>
      <c r="X406">
        <v>3</v>
      </c>
      <c r="Y406" s="7">
        <f>IFERROR('Cleaned Data'!R406/'Cleaned Data'!L406,0)</f>
        <v>144620.68</v>
      </c>
      <c r="Z406" t="str">
        <f>TEXT(EV_Sales[[#This Row],[Order_Date]],"mmm-yyyy")</f>
        <v>Aug-2025</v>
      </c>
      <c r="AA406">
        <f>MONTH(EV_Sales[[#This Row],[Order_Date]])</f>
        <v>8</v>
      </c>
      <c r="AB406" s="12" t="str">
        <f>"Q"&amp;ROUNDUP(MONTH(EV_Sales[[#This Row],[Order_Date]])/3,0)</f>
        <v>Q3</v>
      </c>
    </row>
    <row r="407" spans="1:28" x14ac:dyDescent="0.3">
      <c r="A407" t="s">
        <v>512</v>
      </c>
      <c r="B407" s="2">
        <v>45911</v>
      </c>
      <c r="C407" t="s">
        <v>99</v>
      </c>
      <c r="D407" t="s">
        <v>100</v>
      </c>
      <c r="E407" t="s">
        <v>62</v>
      </c>
      <c r="F407" t="s">
        <v>33</v>
      </c>
      <c r="G407" t="s">
        <v>26</v>
      </c>
      <c r="H407" t="s">
        <v>53</v>
      </c>
      <c r="I407" t="str">
        <f>IF('Cleaned Data'!H407="Emi","EMI",'Cleaned Data'!H407)</f>
        <v>Cash</v>
      </c>
      <c r="J407" t="s">
        <v>28</v>
      </c>
      <c r="K407" t="s">
        <v>54</v>
      </c>
      <c r="L407">
        <v>2</v>
      </c>
      <c r="M407" s="9">
        <v>114359</v>
      </c>
      <c r="N407" s="4">
        <v>3.3000000000000002E-2</v>
      </c>
      <c r="O407" s="4">
        <f t="shared" si="6"/>
        <v>3.3000000000000002E-2</v>
      </c>
      <c r="P407" s="11">
        <v>228718</v>
      </c>
      <c r="Q407" s="9">
        <v>7547.69</v>
      </c>
      <c r="R407" s="9">
        <v>221170.31</v>
      </c>
      <c r="S407">
        <v>3</v>
      </c>
      <c r="T407">
        <v>183</v>
      </c>
      <c r="U407">
        <v>4.4000000000000004</v>
      </c>
      <c r="V407">
        <v>9</v>
      </c>
      <c r="W407">
        <f>IF('Cleaned Data'!V407&lt;0,"Review",'Cleaned Data'!V407)</f>
        <v>9</v>
      </c>
      <c r="X407">
        <v>5</v>
      </c>
      <c r="Y407" s="7">
        <f>IFERROR('Cleaned Data'!R407/'Cleaned Data'!L407,0)</f>
        <v>110585.155</v>
      </c>
      <c r="Z407" t="str">
        <f>TEXT(EV_Sales[[#This Row],[Order_Date]],"mmm-yyyy")</f>
        <v>Sep-2025</v>
      </c>
      <c r="AA407">
        <f>MONTH(EV_Sales[[#This Row],[Order_Date]])</f>
        <v>9</v>
      </c>
      <c r="AB407" s="12" t="str">
        <f>"Q"&amp;ROUNDUP(MONTH(EV_Sales[[#This Row],[Order_Date]])/3,0)</f>
        <v>Q3</v>
      </c>
    </row>
    <row r="408" spans="1:28" x14ac:dyDescent="0.3">
      <c r="A408" t="s">
        <v>513</v>
      </c>
      <c r="B408" s="2">
        <v>45824</v>
      </c>
      <c r="C408" t="s">
        <v>87</v>
      </c>
      <c r="D408" t="s">
        <v>88</v>
      </c>
      <c r="E408" t="s">
        <v>24</v>
      </c>
      <c r="F408" t="s">
        <v>66</v>
      </c>
      <c r="G408" t="s">
        <v>34</v>
      </c>
      <c r="H408" t="s">
        <v>809</v>
      </c>
      <c r="I408" t="str">
        <f>IF('Cleaned Data'!H408="Emi","EMI",'Cleaned Data'!H408)</f>
        <v>EMI</v>
      </c>
      <c r="J408" t="s">
        <v>57</v>
      </c>
      <c r="K408" t="s">
        <v>64</v>
      </c>
      <c r="L408">
        <v>5</v>
      </c>
      <c r="M408" s="9">
        <v>150312</v>
      </c>
      <c r="N408" s="4">
        <v>5.1999999999999998E-2</v>
      </c>
      <c r="O408" s="4">
        <f t="shared" si="6"/>
        <v>5.1999999999999998E-2</v>
      </c>
      <c r="P408" s="11">
        <v>751560</v>
      </c>
      <c r="Q408" s="9">
        <v>39081.120000000003</v>
      </c>
      <c r="R408" s="9">
        <v>712478.88</v>
      </c>
      <c r="S408">
        <v>4</v>
      </c>
      <c r="T408">
        <v>168</v>
      </c>
      <c r="U408">
        <v>4.5</v>
      </c>
      <c r="V408">
        <v>5</v>
      </c>
      <c r="W408">
        <f>IF('Cleaned Data'!V408&lt;0,"Review",'Cleaned Data'!V408)</f>
        <v>5</v>
      </c>
      <c r="X408">
        <v>2</v>
      </c>
      <c r="Y408" s="7">
        <f>IFERROR('Cleaned Data'!R408/'Cleaned Data'!L408,0)</f>
        <v>142495.77600000001</v>
      </c>
      <c r="Z408" t="str">
        <f>TEXT(EV_Sales[[#This Row],[Order_Date]],"mmm-yyyy")</f>
        <v>Jun-2025</v>
      </c>
      <c r="AA408">
        <f>MONTH(EV_Sales[[#This Row],[Order_Date]])</f>
        <v>6</v>
      </c>
      <c r="AB408" s="12" t="str">
        <f>"Q"&amp;ROUNDUP(MONTH(EV_Sales[[#This Row],[Order_Date]])/3,0)</f>
        <v>Q2</v>
      </c>
    </row>
    <row r="409" spans="1:28" x14ac:dyDescent="0.3">
      <c r="A409" t="s">
        <v>514</v>
      </c>
      <c r="B409" s="2">
        <v>46008</v>
      </c>
      <c r="C409" t="s">
        <v>22</v>
      </c>
      <c r="D409" t="s">
        <v>107</v>
      </c>
      <c r="E409" t="s">
        <v>24</v>
      </c>
      <c r="F409" t="s">
        <v>101</v>
      </c>
      <c r="G409" t="s">
        <v>67</v>
      </c>
      <c r="H409" t="s">
        <v>809</v>
      </c>
      <c r="I409" t="str">
        <f>IF('Cleaned Data'!H409="Emi","EMI",'Cleaned Data'!H409)</f>
        <v>EMI</v>
      </c>
      <c r="J409" t="s">
        <v>28</v>
      </c>
      <c r="K409" t="s">
        <v>148</v>
      </c>
      <c r="L409">
        <v>1</v>
      </c>
      <c r="M409" s="9">
        <v>137886</v>
      </c>
      <c r="N409" s="4">
        <v>3.9E-2</v>
      </c>
      <c r="O409" s="4">
        <f t="shared" si="6"/>
        <v>3.9E-2</v>
      </c>
      <c r="P409" s="11">
        <v>137886</v>
      </c>
      <c r="Q409" s="9">
        <v>5377.55</v>
      </c>
      <c r="R409" s="9">
        <v>132508.45000000001</v>
      </c>
      <c r="S409">
        <v>3</v>
      </c>
      <c r="T409">
        <v>163</v>
      </c>
      <c r="U409">
        <v>4.3</v>
      </c>
      <c r="V409">
        <v>11</v>
      </c>
      <c r="W409">
        <f>IF('Cleaned Data'!V409&lt;0,"Review",'Cleaned Data'!V409)</f>
        <v>11</v>
      </c>
      <c r="X409">
        <v>5</v>
      </c>
      <c r="Y409" s="7">
        <f>IFERROR('Cleaned Data'!R409/'Cleaned Data'!L409,0)</f>
        <v>132508.45000000001</v>
      </c>
      <c r="Z409" t="str">
        <f>TEXT(EV_Sales[[#This Row],[Order_Date]],"mmm-yyyy")</f>
        <v>Dec-2025</v>
      </c>
      <c r="AA409">
        <f>MONTH(EV_Sales[[#This Row],[Order_Date]])</f>
        <v>12</v>
      </c>
      <c r="AB409" s="12" t="str">
        <f>"Q"&amp;ROUNDUP(MONTH(EV_Sales[[#This Row],[Order_Date]])/3,0)</f>
        <v>Q4</v>
      </c>
    </row>
    <row r="410" spans="1:28" x14ac:dyDescent="0.3">
      <c r="A410" t="s">
        <v>515</v>
      </c>
      <c r="B410" s="2">
        <v>45909</v>
      </c>
      <c r="C410" t="s">
        <v>22</v>
      </c>
      <c r="D410" t="s">
        <v>107</v>
      </c>
      <c r="E410" t="s">
        <v>46</v>
      </c>
      <c r="F410" t="s">
        <v>47</v>
      </c>
      <c r="G410" t="s">
        <v>34</v>
      </c>
      <c r="H410" t="s">
        <v>809</v>
      </c>
      <c r="I410" t="str">
        <f>IF('Cleaned Data'!H410="Emi","EMI",'Cleaned Data'!H410)</f>
        <v>EMI</v>
      </c>
      <c r="J410" t="s">
        <v>63</v>
      </c>
      <c r="K410" t="s">
        <v>109</v>
      </c>
      <c r="L410">
        <v>1</v>
      </c>
      <c r="M410" s="9">
        <v>141322</v>
      </c>
      <c r="N410" s="4">
        <v>2.1000000000000001E-2</v>
      </c>
      <c r="O410" s="4">
        <f t="shared" si="6"/>
        <v>2.1000000000000001E-2</v>
      </c>
      <c r="P410" s="11">
        <v>141322</v>
      </c>
      <c r="Q410" s="9">
        <v>2967.76</v>
      </c>
      <c r="R410" s="9">
        <v>138354.23999999999</v>
      </c>
      <c r="S410">
        <v>3</v>
      </c>
      <c r="T410">
        <v>183</v>
      </c>
      <c r="U410">
        <v>3.7</v>
      </c>
      <c r="V410">
        <v>7</v>
      </c>
      <c r="W410">
        <f>IF('Cleaned Data'!V410&lt;0,"Review",'Cleaned Data'!V410)</f>
        <v>7</v>
      </c>
      <c r="X410">
        <v>3</v>
      </c>
      <c r="Y410" s="7">
        <f>IFERROR('Cleaned Data'!R410/'Cleaned Data'!L410,0)</f>
        <v>138354.23999999999</v>
      </c>
      <c r="Z410" t="str">
        <f>TEXT(EV_Sales[[#This Row],[Order_Date]],"mmm-yyyy")</f>
        <v>Sep-2025</v>
      </c>
      <c r="AA410">
        <f>MONTH(EV_Sales[[#This Row],[Order_Date]])</f>
        <v>9</v>
      </c>
      <c r="AB410" s="12" t="str">
        <f>"Q"&amp;ROUNDUP(MONTH(EV_Sales[[#This Row],[Order_Date]])/3,0)</f>
        <v>Q3</v>
      </c>
    </row>
    <row r="411" spans="1:28" x14ac:dyDescent="0.3">
      <c r="A411" t="s">
        <v>516</v>
      </c>
      <c r="B411" s="2">
        <v>45708</v>
      </c>
      <c r="C411" t="s">
        <v>87</v>
      </c>
      <c r="D411" t="s">
        <v>88</v>
      </c>
      <c r="E411" t="s">
        <v>24</v>
      </c>
      <c r="F411" t="s">
        <v>33</v>
      </c>
      <c r="G411" t="s">
        <v>67</v>
      </c>
      <c r="H411" t="s">
        <v>27</v>
      </c>
      <c r="I411" t="str">
        <f>IF('Cleaned Data'!H411="Emi","EMI",'Cleaned Data'!H411)</f>
        <v>Finance</v>
      </c>
      <c r="J411" t="s">
        <v>57</v>
      </c>
      <c r="K411" t="s">
        <v>58</v>
      </c>
      <c r="L411">
        <v>1</v>
      </c>
      <c r="M411" s="9">
        <v>145180</v>
      </c>
      <c r="N411" s="4">
        <v>5.5E-2</v>
      </c>
      <c r="O411" s="4">
        <f t="shared" si="6"/>
        <v>5.5E-2</v>
      </c>
      <c r="P411" s="11">
        <v>145180</v>
      </c>
      <c r="Q411" s="9">
        <v>7984.9</v>
      </c>
      <c r="R411" s="9">
        <v>137195.1</v>
      </c>
      <c r="S411">
        <v>4</v>
      </c>
      <c r="T411">
        <v>169</v>
      </c>
      <c r="U411">
        <v>4.2</v>
      </c>
      <c r="V411">
        <v>8</v>
      </c>
      <c r="W411">
        <f>IF('Cleaned Data'!V411&lt;0,"Review",'Cleaned Data'!V411)</f>
        <v>8</v>
      </c>
      <c r="X411">
        <v>2</v>
      </c>
      <c r="Y411" s="7">
        <f>IFERROR('Cleaned Data'!R411/'Cleaned Data'!L411,0)</f>
        <v>137195.1</v>
      </c>
      <c r="Z411" t="str">
        <f>TEXT(EV_Sales[[#This Row],[Order_Date]],"mmm-yyyy")</f>
        <v>Feb-2025</v>
      </c>
      <c r="AA411">
        <f>MONTH(EV_Sales[[#This Row],[Order_Date]])</f>
        <v>2</v>
      </c>
      <c r="AB411" s="12" t="str">
        <f>"Q"&amp;ROUNDUP(MONTH(EV_Sales[[#This Row],[Order_Date]])/3,0)</f>
        <v>Q1</v>
      </c>
    </row>
    <row r="412" spans="1:28" x14ac:dyDescent="0.3">
      <c r="A412" t="s">
        <v>517</v>
      </c>
      <c r="B412" s="2">
        <v>45934</v>
      </c>
      <c r="C412" t="s">
        <v>60</v>
      </c>
      <c r="D412" t="s">
        <v>69</v>
      </c>
      <c r="E412" t="s">
        <v>46</v>
      </c>
      <c r="F412" t="s">
        <v>41</v>
      </c>
      <c r="G412" t="s">
        <v>26</v>
      </c>
      <c r="H412" t="s">
        <v>27</v>
      </c>
      <c r="I412" t="str">
        <f>IF('Cleaned Data'!H412="Emi","EMI",'Cleaned Data'!H412)</f>
        <v>Finance</v>
      </c>
      <c r="J412" t="s">
        <v>94</v>
      </c>
      <c r="K412" t="s">
        <v>58</v>
      </c>
      <c r="L412">
        <v>1</v>
      </c>
      <c r="M412" s="9">
        <v>113053</v>
      </c>
      <c r="N412" s="4">
        <v>0.115</v>
      </c>
      <c r="O412" s="4">
        <f t="shared" si="6"/>
        <v>0.115</v>
      </c>
      <c r="P412" s="11">
        <v>113053</v>
      </c>
      <c r="Q412" s="9">
        <v>13001.1</v>
      </c>
      <c r="R412" s="9">
        <v>100051.9</v>
      </c>
      <c r="S412">
        <v>4</v>
      </c>
      <c r="T412">
        <v>168</v>
      </c>
      <c r="U412">
        <v>3.7</v>
      </c>
      <c r="V412">
        <v>13</v>
      </c>
      <c r="W412">
        <f>IF('Cleaned Data'!V412&lt;0,"Review",'Cleaned Data'!V412)</f>
        <v>13</v>
      </c>
      <c r="X412">
        <v>2</v>
      </c>
      <c r="Y412" s="7">
        <f>IFERROR('Cleaned Data'!R412/'Cleaned Data'!L412,0)</f>
        <v>100051.9</v>
      </c>
      <c r="Z412" t="str">
        <f>TEXT(EV_Sales[[#This Row],[Order_Date]],"mmm-yyyy")</f>
        <v>Oct-2025</v>
      </c>
      <c r="AA412">
        <f>MONTH(EV_Sales[[#This Row],[Order_Date]])</f>
        <v>10</v>
      </c>
      <c r="AB412" s="12" t="str">
        <f>"Q"&amp;ROUNDUP(MONTH(EV_Sales[[#This Row],[Order_Date]])/3,0)</f>
        <v>Q4</v>
      </c>
    </row>
    <row r="413" spans="1:28" x14ac:dyDescent="0.3">
      <c r="A413" t="s">
        <v>518</v>
      </c>
      <c r="B413" s="2">
        <v>45889</v>
      </c>
      <c r="C413" t="s">
        <v>87</v>
      </c>
      <c r="D413" t="s">
        <v>130</v>
      </c>
      <c r="E413" t="s">
        <v>24</v>
      </c>
      <c r="F413" t="s">
        <v>66</v>
      </c>
      <c r="G413" t="s">
        <v>56</v>
      </c>
      <c r="H413" t="s">
        <v>809</v>
      </c>
      <c r="I413" t="str">
        <f>IF('Cleaned Data'!H413="Emi","EMI",'Cleaned Data'!H413)</f>
        <v>EMI</v>
      </c>
      <c r="J413" t="s">
        <v>36</v>
      </c>
      <c r="K413" t="s">
        <v>157</v>
      </c>
      <c r="L413">
        <v>1</v>
      </c>
      <c r="M413" s="9">
        <v>113188</v>
      </c>
      <c r="N413" s="4">
        <v>0.11899999999999999</v>
      </c>
      <c r="O413" s="4">
        <f t="shared" si="6"/>
        <v>0.11899999999999999</v>
      </c>
      <c r="P413" s="11">
        <v>113188</v>
      </c>
      <c r="Q413" s="9">
        <v>13469.37</v>
      </c>
      <c r="R413" s="9">
        <v>99718.63</v>
      </c>
      <c r="S413">
        <v>4</v>
      </c>
      <c r="T413">
        <v>174</v>
      </c>
      <c r="U413">
        <v>3.9</v>
      </c>
      <c r="V413">
        <v>12</v>
      </c>
      <c r="W413">
        <f>IF('Cleaned Data'!V413&lt;0,"Review",'Cleaned Data'!V413)</f>
        <v>12</v>
      </c>
      <c r="X413">
        <v>3</v>
      </c>
      <c r="Y413" s="7">
        <f>IFERROR('Cleaned Data'!R413/'Cleaned Data'!L413,0)</f>
        <v>99718.63</v>
      </c>
      <c r="Z413" t="str">
        <f>TEXT(EV_Sales[[#This Row],[Order_Date]],"mmm-yyyy")</f>
        <v>Aug-2025</v>
      </c>
      <c r="AA413">
        <f>MONTH(EV_Sales[[#This Row],[Order_Date]])</f>
        <v>8</v>
      </c>
      <c r="AB413" s="12" t="str">
        <f>"Q"&amp;ROUNDUP(MONTH(EV_Sales[[#This Row],[Order_Date]])/3,0)</f>
        <v>Q3</v>
      </c>
    </row>
    <row r="414" spans="1:28" x14ac:dyDescent="0.3">
      <c r="A414" t="s">
        <v>519</v>
      </c>
      <c r="B414" s="2">
        <v>45726</v>
      </c>
      <c r="C414" t="s">
        <v>44</v>
      </c>
      <c r="D414" t="s">
        <v>51</v>
      </c>
      <c r="E414" t="s">
        <v>24</v>
      </c>
      <c r="F414" t="s">
        <v>33</v>
      </c>
      <c r="G414" t="s">
        <v>56</v>
      </c>
      <c r="H414" t="s">
        <v>53</v>
      </c>
      <c r="I414" t="str">
        <f>IF('Cleaned Data'!H414="Emi","EMI",'Cleaned Data'!H414)</f>
        <v>Cash</v>
      </c>
      <c r="J414" t="s">
        <v>48</v>
      </c>
      <c r="K414" t="s">
        <v>138</v>
      </c>
      <c r="L414">
        <v>2</v>
      </c>
      <c r="M414" s="9">
        <v>129387</v>
      </c>
      <c r="N414" s="4">
        <v>4.2999999999999997E-2</v>
      </c>
      <c r="O414" s="4">
        <f t="shared" si="6"/>
        <v>4.2999999999999997E-2</v>
      </c>
      <c r="P414" s="11">
        <v>258774</v>
      </c>
      <c r="Q414" s="9">
        <v>11127.28</v>
      </c>
      <c r="R414" s="9">
        <v>247646.72</v>
      </c>
      <c r="S414">
        <v>4</v>
      </c>
      <c r="T414">
        <v>191</v>
      </c>
      <c r="U414">
        <v>4.2</v>
      </c>
      <c r="V414">
        <v>2</v>
      </c>
      <c r="W414">
        <f>IF('Cleaned Data'!V414&lt;0,"Review",'Cleaned Data'!V414)</f>
        <v>2</v>
      </c>
      <c r="X414">
        <v>2</v>
      </c>
      <c r="Y414" s="7">
        <f>IFERROR('Cleaned Data'!R414/'Cleaned Data'!L414,0)</f>
        <v>123823.36</v>
      </c>
      <c r="Z414" t="str">
        <f>TEXT(EV_Sales[[#This Row],[Order_Date]],"mmm-yyyy")</f>
        <v>Mar-2025</v>
      </c>
      <c r="AA414">
        <f>MONTH(EV_Sales[[#This Row],[Order_Date]])</f>
        <v>3</v>
      </c>
      <c r="AB414" s="12" t="str">
        <f>"Q"&amp;ROUNDUP(MONTH(EV_Sales[[#This Row],[Order_Date]])/3,0)</f>
        <v>Q1</v>
      </c>
    </row>
    <row r="415" spans="1:28" x14ac:dyDescent="0.3">
      <c r="A415" t="s">
        <v>520</v>
      </c>
      <c r="B415" s="2">
        <v>45774</v>
      </c>
      <c r="C415" t="s">
        <v>87</v>
      </c>
      <c r="D415" t="s">
        <v>130</v>
      </c>
      <c r="E415" t="s">
        <v>46</v>
      </c>
      <c r="F415" t="s">
        <v>41</v>
      </c>
      <c r="G415" t="s">
        <v>67</v>
      </c>
      <c r="H415" t="s">
        <v>27</v>
      </c>
      <c r="I415" t="str">
        <f>IF('Cleaned Data'!H415="Emi","EMI",'Cleaned Data'!H415)</f>
        <v>Finance</v>
      </c>
      <c r="J415" t="s">
        <v>48</v>
      </c>
      <c r="K415" t="s">
        <v>89</v>
      </c>
      <c r="L415">
        <v>2</v>
      </c>
      <c r="M415" s="9">
        <v>113128</v>
      </c>
      <c r="N415" s="4">
        <v>7.1999999999999995E-2</v>
      </c>
      <c r="O415" s="4">
        <f t="shared" si="6"/>
        <v>7.1999999999999995E-2</v>
      </c>
      <c r="P415" s="11">
        <v>226256</v>
      </c>
      <c r="Q415" s="9">
        <v>16290.43</v>
      </c>
      <c r="R415" s="9">
        <v>209965.57</v>
      </c>
      <c r="S415">
        <v>2</v>
      </c>
      <c r="T415">
        <v>145</v>
      </c>
      <c r="U415">
        <v>3.4</v>
      </c>
      <c r="V415">
        <v>3</v>
      </c>
      <c r="W415">
        <f>IF('Cleaned Data'!V415&lt;0,"Review",'Cleaned Data'!V415)</f>
        <v>3</v>
      </c>
      <c r="X415">
        <v>3</v>
      </c>
      <c r="Y415" s="7">
        <f>IFERROR('Cleaned Data'!R415/'Cleaned Data'!L415,0)</f>
        <v>104982.785</v>
      </c>
      <c r="Z415" t="str">
        <f>TEXT(EV_Sales[[#This Row],[Order_Date]],"mmm-yyyy")</f>
        <v>Apr-2025</v>
      </c>
      <c r="AA415">
        <f>MONTH(EV_Sales[[#This Row],[Order_Date]])</f>
        <v>4</v>
      </c>
      <c r="AB415" s="12" t="str">
        <f>"Q"&amp;ROUNDUP(MONTH(EV_Sales[[#This Row],[Order_Date]])/3,0)</f>
        <v>Q2</v>
      </c>
    </row>
    <row r="416" spans="1:28" x14ac:dyDescent="0.3">
      <c r="A416" t="s">
        <v>521</v>
      </c>
      <c r="B416" s="2">
        <v>45696</v>
      </c>
      <c r="C416" t="s">
        <v>76</v>
      </c>
      <c r="D416" t="s">
        <v>117</v>
      </c>
      <c r="E416" t="s">
        <v>62</v>
      </c>
      <c r="F416" t="s">
        <v>74</v>
      </c>
      <c r="G416" t="s">
        <v>67</v>
      </c>
      <c r="H416" t="s">
        <v>53</v>
      </c>
      <c r="I416" t="str">
        <f>IF('Cleaned Data'!H416="Emi","EMI",'Cleaned Data'!H416)</f>
        <v>Cash</v>
      </c>
      <c r="J416" t="s">
        <v>57</v>
      </c>
      <c r="K416" t="s">
        <v>81</v>
      </c>
      <c r="L416">
        <v>4</v>
      </c>
      <c r="M416" s="9">
        <v>143299</v>
      </c>
      <c r="N416" s="4">
        <v>9.0999999999999998E-2</v>
      </c>
      <c r="O416" s="4">
        <f t="shared" si="6"/>
        <v>9.0999999999999998E-2</v>
      </c>
      <c r="P416" s="11">
        <v>573196</v>
      </c>
      <c r="Q416" s="9">
        <v>52160.84</v>
      </c>
      <c r="R416" s="9">
        <v>521035.16</v>
      </c>
      <c r="S416">
        <v>2</v>
      </c>
      <c r="T416">
        <v>153</v>
      </c>
      <c r="U416">
        <v>4.4000000000000004</v>
      </c>
      <c r="V416">
        <v>7</v>
      </c>
      <c r="W416">
        <f>IF('Cleaned Data'!V416&lt;0,"Review",'Cleaned Data'!V416)</f>
        <v>7</v>
      </c>
      <c r="X416">
        <v>2</v>
      </c>
      <c r="Y416" s="7">
        <f>IFERROR('Cleaned Data'!R416/'Cleaned Data'!L416,0)</f>
        <v>130258.79</v>
      </c>
      <c r="Z416" t="str">
        <f>TEXT(EV_Sales[[#This Row],[Order_Date]],"mmm-yyyy")</f>
        <v>Feb-2025</v>
      </c>
      <c r="AA416">
        <f>MONTH(EV_Sales[[#This Row],[Order_Date]])</f>
        <v>2</v>
      </c>
      <c r="AB416" s="12" t="str">
        <f>"Q"&amp;ROUNDUP(MONTH(EV_Sales[[#This Row],[Order_Date]])/3,0)</f>
        <v>Q1</v>
      </c>
    </row>
    <row r="417" spans="1:28" x14ac:dyDescent="0.3">
      <c r="A417" t="s">
        <v>522</v>
      </c>
      <c r="B417" s="2">
        <v>45771</v>
      </c>
      <c r="C417" t="s">
        <v>76</v>
      </c>
      <c r="D417" t="s">
        <v>115</v>
      </c>
      <c r="E417" t="s">
        <v>24</v>
      </c>
      <c r="F417" t="s">
        <v>47</v>
      </c>
      <c r="G417" t="s">
        <v>56</v>
      </c>
      <c r="H417" t="s">
        <v>53</v>
      </c>
      <c r="I417" t="str">
        <f>IF('Cleaned Data'!H417="Emi","EMI",'Cleaned Data'!H417)</f>
        <v>Cash</v>
      </c>
      <c r="J417" t="s">
        <v>28</v>
      </c>
      <c r="K417" t="s">
        <v>216</v>
      </c>
      <c r="L417">
        <v>2</v>
      </c>
      <c r="M417" s="9">
        <v>122825</v>
      </c>
      <c r="N417" s="4">
        <v>8.4000000000000005E-2</v>
      </c>
      <c r="O417" s="4">
        <f t="shared" si="6"/>
        <v>8.4000000000000005E-2</v>
      </c>
      <c r="P417" s="11">
        <v>245650</v>
      </c>
      <c r="Q417" s="9">
        <v>20634.599999999999</v>
      </c>
      <c r="R417" s="9">
        <v>225015.4</v>
      </c>
      <c r="S417">
        <v>2</v>
      </c>
      <c r="T417">
        <v>125</v>
      </c>
      <c r="U417">
        <v>3.9</v>
      </c>
      <c r="V417">
        <v>11</v>
      </c>
      <c r="W417">
        <f>IF('Cleaned Data'!V417&lt;0,"Review",'Cleaned Data'!V417)</f>
        <v>11</v>
      </c>
      <c r="X417">
        <v>5</v>
      </c>
      <c r="Y417" s="7">
        <f>IFERROR('Cleaned Data'!R417/'Cleaned Data'!L417,0)</f>
        <v>112507.7</v>
      </c>
      <c r="Z417" t="str">
        <f>TEXT(EV_Sales[[#This Row],[Order_Date]],"mmm-yyyy")</f>
        <v>Apr-2025</v>
      </c>
      <c r="AA417">
        <f>MONTH(EV_Sales[[#This Row],[Order_Date]])</f>
        <v>4</v>
      </c>
      <c r="AB417" s="12" t="str">
        <f>"Q"&amp;ROUNDUP(MONTH(EV_Sales[[#This Row],[Order_Date]])/3,0)</f>
        <v>Q2</v>
      </c>
    </row>
    <row r="418" spans="1:28" x14ac:dyDescent="0.3">
      <c r="A418" t="s">
        <v>523</v>
      </c>
      <c r="B418" s="2">
        <v>45813</v>
      </c>
      <c r="C418" t="s">
        <v>39</v>
      </c>
      <c r="D418" t="s">
        <v>154</v>
      </c>
      <c r="E418" t="s">
        <v>62</v>
      </c>
      <c r="F418" t="s">
        <v>101</v>
      </c>
      <c r="G418" t="s">
        <v>67</v>
      </c>
      <c r="H418" t="s">
        <v>809</v>
      </c>
      <c r="I418" t="str">
        <f>IF('Cleaned Data'!H418="Emi","EMI",'Cleaned Data'!H418)</f>
        <v>EMI</v>
      </c>
      <c r="J418" t="s">
        <v>48</v>
      </c>
      <c r="K418" t="s">
        <v>42</v>
      </c>
      <c r="L418">
        <v>2</v>
      </c>
      <c r="M418" s="9">
        <v>186006</v>
      </c>
      <c r="N418" s="4">
        <v>4.7E-2</v>
      </c>
      <c r="O418" s="4">
        <f t="shared" si="6"/>
        <v>4.7E-2</v>
      </c>
      <c r="P418" s="11">
        <v>372012</v>
      </c>
      <c r="Q418" s="9">
        <v>17484.560000000001</v>
      </c>
      <c r="R418" s="9">
        <v>354527.44</v>
      </c>
      <c r="S418">
        <v>5</v>
      </c>
      <c r="T418">
        <v>187</v>
      </c>
      <c r="U418">
        <v>4</v>
      </c>
      <c r="V418">
        <v>5</v>
      </c>
      <c r="W418">
        <f>IF('Cleaned Data'!V418&lt;0,"Review",'Cleaned Data'!V418)</f>
        <v>5</v>
      </c>
      <c r="X418">
        <v>2</v>
      </c>
      <c r="Y418" s="7">
        <f>IFERROR('Cleaned Data'!R418/'Cleaned Data'!L418,0)</f>
        <v>177263.72</v>
      </c>
      <c r="Z418" t="str">
        <f>TEXT(EV_Sales[[#This Row],[Order_Date]],"mmm-yyyy")</f>
        <v>Jun-2025</v>
      </c>
      <c r="AA418">
        <f>MONTH(EV_Sales[[#This Row],[Order_Date]])</f>
        <v>6</v>
      </c>
      <c r="AB418" s="12" t="str">
        <f>"Q"&amp;ROUNDUP(MONTH(EV_Sales[[#This Row],[Order_Date]])/3,0)</f>
        <v>Q2</v>
      </c>
    </row>
    <row r="419" spans="1:28" x14ac:dyDescent="0.3">
      <c r="A419" t="s">
        <v>524</v>
      </c>
      <c r="B419" s="2">
        <v>45710</v>
      </c>
      <c r="C419" t="s">
        <v>99</v>
      </c>
      <c r="D419" t="s">
        <v>121</v>
      </c>
      <c r="E419" t="s">
        <v>46</v>
      </c>
      <c r="F419" t="s">
        <v>80</v>
      </c>
      <c r="G419" t="s">
        <v>67</v>
      </c>
      <c r="H419" t="s">
        <v>27</v>
      </c>
      <c r="I419" t="str">
        <f>IF('Cleaned Data'!H419="Emi","EMI",'Cleaned Data'!H419)</f>
        <v>Finance</v>
      </c>
      <c r="J419" t="s">
        <v>63</v>
      </c>
      <c r="K419" t="s">
        <v>42</v>
      </c>
      <c r="L419">
        <v>1</v>
      </c>
      <c r="M419" s="9">
        <v>104384</v>
      </c>
      <c r="N419" s="4">
        <v>0.10199999999999999</v>
      </c>
      <c r="O419" s="4">
        <f t="shared" si="6"/>
        <v>0.10199999999999999</v>
      </c>
      <c r="P419" s="11">
        <v>104384</v>
      </c>
      <c r="Q419" s="9">
        <v>10647.17</v>
      </c>
      <c r="R419" s="9">
        <v>93736.83</v>
      </c>
      <c r="S419">
        <v>5</v>
      </c>
      <c r="T419">
        <v>205</v>
      </c>
      <c r="U419">
        <v>3</v>
      </c>
      <c r="V419">
        <v>4</v>
      </c>
      <c r="W419">
        <f>IF('Cleaned Data'!V419&lt;0,"Review",'Cleaned Data'!V419)</f>
        <v>4</v>
      </c>
      <c r="X419">
        <v>2</v>
      </c>
      <c r="Y419" s="7">
        <f>IFERROR('Cleaned Data'!R419/'Cleaned Data'!L419,0)</f>
        <v>93736.83</v>
      </c>
      <c r="Z419" t="str">
        <f>TEXT(EV_Sales[[#This Row],[Order_Date]],"mmm-yyyy")</f>
        <v>Feb-2025</v>
      </c>
      <c r="AA419">
        <f>MONTH(EV_Sales[[#This Row],[Order_Date]])</f>
        <v>2</v>
      </c>
      <c r="AB419" s="12" t="str">
        <f>"Q"&amp;ROUNDUP(MONTH(EV_Sales[[#This Row],[Order_Date]])/3,0)</f>
        <v>Q1</v>
      </c>
    </row>
    <row r="420" spans="1:28" x14ac:dyDescent="0.3">
      <c r="A420" t="s">
        <v>525</v>
      </c>
      <c r="B420" s="2">
        <v>45660</v>
      </c>
      <c r="C420" t="s">
        <v>44</v>
      </c>
      <c r="D420" t="s">
        <v>51</v>
      </c>
      <c r="E420" t="s">
        <v>62</v>
      </c>
      <c r="F420" t="s">
        <v>47</v>
      </c>
      <c r="G420" t="s">
        <v>56</v>
      </c>
      <c r="H420" t="s">
        <v>53</v>
      </c>
      <c r="I420" t="str">
        <f>IF('Cleaned Data'!H420="Emi","EMI",'Cleaned Data'!H420)</f>
        <v>Cash</v>
      </c>
      <c r="J420" t="s">
        <v>63</v>
      </c>
      <c r="K420" t="s">
        <v>72</v>
      </c>
      <c r="L420">
        <v>3</v>
      </c>
      <c r="M420" s="9">
        <v>122928</v>
      </c>
      <c r="N420" s="4">
        <v>8.5000000000000006E-2</v>
      </c>
      <c r="O420" s="4">
        <f t="shared" si="6"/>
        <v>8.5000000000000006E-2</v>
      </c>
      <c r="P420" s="11">
        <v>368784</v>
      </c>
      <c r="Q420" s="9">
        <v>31346.639999999999</v>
      </c>
      <c r="R420" s="9">
        <v>337437.36</v>
      </c>
      <c r="S420">
        <v>5</v>
      </c>
      <c r="T420">
        <v>179</v>
      </c>
      <c r="U420">
        <v>3.6</v>
      </c>
      <c r="V420">
        <v>3</v>
      </c>
      <c r="W420">
        <f>IF('Cleaned Data'!V420&lt;0,"Review",'Cleaned Data'!V420)</f>
        <v>3</v>
      </c>
      <c r="X420">
        <v>5</v>
      </c>
      <c r="Y420" s="7">
        <f>IFERROR('Cleaned Data'!R420/'Cleaned Data'!L420,0)</f>
        <v>112479.12</v>
      </c>
      <c r="Z420" t="str">
        <f>TEXT(EV_Sales[[#This Row],[Order_Date]],"mmm-yyyy")</f>
        <v>Jan-2025</v>
      </c>
      <c r="AA420">
        <f>MONTH(EV_Sales[[#This Row],[Order_Date]])</f>
        <v>1</v>
      </c>
      <c r="AB420" s="12" t="str">
        <f>"Q"&amp;ROUNDUP(MONTH(EV_Sales[[#This Row],[Order_Date]])/3,0)</f>
        <v>Q1</v>
      </c>
    </row>
    <row r="421" spans="1:28" x14ac:dyDescent="0.3">
      <c r="A421" t="s">
        <v>526</v>
      </c>
      <c r="B421" s="2">
        <v>45760</v>
      </c>
      <c r="C421" t="s">
        <v>22</v>
      </c>
      <c r="D421" t="s">
        <v>23</v>
      </c>
      <c r="E421" t="s">
        <v>24</v>
      </c>
      <c r="F421" t="s">
        <v>80</v>
      </c>
      <c r="G421" t="s">
        <v>67</v>
      </c>
      <c r="H421" t="s">
        <v>809</v>
      </c>
      <c r="I421" t="str">
        <f>IF('Cleaned Data'!H421="Emi","EMI",'Cleaned Data'!H421)</f>
        <v>EMI</v>
      </c>
      <c r="J421" t="s">
        <v>48</v>
      </c>
      <c r="K421" t="s">
        <v>212</v>
      </c>
      <c r="L421">
        <v>3</v>
      </c>
      <c r="M421" s="9">
        <v>125430</v>
      </c>
      <c r="N421" s="4">
        <v>7.9000000000000001E-2</v>
      </c>
      <c r="O421" s="4">
        <f t="shared" si="6"/>
        <v>7.9000000000000001E-2</v>
      </c>
      <c r="P421" s="11">
        <v>376290</v>
      </c>
      <c r="Q421" s="9">
        <v>29726.91</v>
      </c>
      <c r="R421" s="9">
        <v>346563.09</v>
      </c>
      <c r="S421">
        <v>3</v>
      </c>
      <c r="T421">
        <v>178</v>
      </c>
      <c r="U421">
        <v>4.3</v>
      </c>
      <c r="V421">
        <v>10</v>
      </c>
      <c r="W421">
        <f>IF('Cleaned Data'!V421&lt;0,"Review",'Cleaned Data'!V421)</f>
        <v>10</v>
      </c>
      <c r="X421">
        <v>3</v>
      </c>
      <c r="Y421" s="7">
        <f>IFERROR('Cleaned Data'!R421/'Cleaned Data'!L421,0)</f>
        <v>115521.03000000001</v>
      </c>
      <c r="Z421" t="str">
        <f>TEXT(EV_Sales[[#This Row],[Order_Date]],"mmm-yyyy")</f>
        <v>Apr-2025</v>
      </c>
      <c r="AA421">
        <f>MONTH(EV_Sales[[#This Row],[Order_Date]])</f>
        <v>4</v>
      </c>
      <c r="AB421" s="12" t="str">
        <f>"Q"&amp;ROUNDUP(MONTH(EV_Sales[[#This Row],[Order_Date]])/3,0)</f>
        <v>Q2</v>
      </c>
    </row>
    <row r="422" spans="1:28" x14ac:dyDescent="0.3">
      <c r="A422" t="s">
        <v>527</v>
      </c>
      <c r="B422" s="2">
        <v>45742</v>
      </c>
      <c r="C422" t="s">
        <v>44</v>
      </c>
      <c r="D422" t="s">
        <v>51</v>
      </c>
      <c r="E422" t="s">
        <v>24</v>
      </c>
      <c r="F422" t="s">
        <v>101</v>
      </c>
      <c r="G422" t="s">
        <v>34</v>
      </c>
      <c r="H422" t="s">
        <v>53</v>
      </c>
      <c r="I422" t="str">
        <f>IF('Cleaned Data'!H422="Emi","EMI",'Cleaned Data'!H422)</f>
        <v>Cash</v>
      </c>
      <c r="J422" t="s">
        <v>28</v>
      </c>
      <c r="K422" t="s">
        <v>143</v>
      </c>
      <c r="L422">
        <v>1</v>
      </c>
      <c r="M422" s="9">
        <v>129139</v>
      </c>
      <c r="N422" s="4">
        <v>5.6000000000000001E-2</v>
      </c>
      <c r="O422" s="4">
        <f t="shared" si="6"/>
        <v>5.6000000000000001E-2</v>
      </c>
      <c r="P422" s="11">
        <v>129139</v>
      </c>
      <c r="Q422" s="9">
        <v>7231.78</v>
      </c>
      <c r="R422" s="9">
        <v>121907.22</v>
      </c>
      <c r="S422">
        <v>3</v>
      </c>
      <c r="T422">
        <v>180</v>
      </c>
      <c r="U422">
        <v>3.6</v>
      </c>
      <c r="V422">
        <v>14</v>
      </c>
      <c r="W422">
        <f>IF('Cleaned Data'!V422&lt;0,"Review",'Cleaned Data'!V422)</f>
        <v>14</v>
      </c>
      <c r="X422">
        <v>3</v>
      </c>
      <c r="Y422" s="7">
        <f>IFERROR('Cleaned Data'!R422/'Cleaned Data'!L422,0)</f>
        <v>121907.22</v>
      </c>
      <c r="Z422" t="str">
        <f>TEXT(EV_Sales[[#This Row],[Order_Date]],"mmm-yyyy")</f>
        <v>Mar-2025</v>
      </c>
      <c r="AA422">
        <f>MONTH(EV_Sales[[#This Row],[Order_Date]])</f>
        <v>3</v>
      </c>
      <c r="AB422" s="12" t="str">
        <f>"Q"&amp;ROUNDUP(MONTH(EV_Sales[[#This Row],[Order_Date]])/3,0)</f>
        <v>Q1</v>
      </c>
    </row>
    <row r="423" spans="1:28" x14ac:dyDescent="0.3">
      <c r="A423" t="s">
        <v>528</v>
      </c>
      <c r="B423" s="2">
        <v>45914</v>
      </c>
      <c r="C423" t="s">
        <v>39</v>
      </c>
      <c r="D423" t="s">
        <v>154</v>
      </c>
      <c r="E423" t="s">
        <v>62</v>
      </c>
      <c r="F423" t="s">
        <v>80</v>
      </c>
      <c r="G423" t="s">
        <v>26</v>
      </c>
      <c r="H423" t="s">
        <v>27</v>
      </c>
      <c r="I423" t="str">
        <f>IF('Cleaned Data'!H423="Emi","EMI",'Cleaned Data'!H423)</f>
        <v>Finance</v>
      </c>
      <c r="J423" t="s">
        <v>28</v>
      </c>
      <c r="K423" t="s">
        <v>58</v>
      </c>
      <c r="L423">
        <v>1</v>
      </c>
      <c r="M423" s="9">
        <v>172720</v>
      </c>
      <c r="N423" s="4">
        <v>9.1999999999999998E-2</v>
      </c>
      <c r="O423" s="4">
        <f t="shared" si="6"/>
        <v>9.1999999999999998E-2</v>
      </c>
      <c r="P423" s="11">
        <v>172720</v>
      </c>
      <c r="Q423" s="9">
        <v>15890.24</v>
      </c>
      <c r="R423" s="9">
        <v>156829.76000000001</v>
      </c>
      <c r="S423">
        <v>5</v>
      </c>
      <c r="T423">
        <v>199</v>
      </c>
      <c r="U423">
        <v>4.3</v>
      </c>
      <c r="V423">
        <v>3</v>
      </c>
      <c r="W423">
        <f>IF('Cleaned Data'!V423&lt;0,"Review",'Cleaned Data'!V423)</f>
        <v>3</v>
      </c>
      <c r="X423">
        <v>3</v>
      </c>
      <c r="Y423" s="7">
        <f>IFERROR('Cleaned Data'!R423/'Cleaned Data'!L423,0)</f>
        <v>156829.76000000001</v>
      </c>
      <c r="Z423" t="str">
        <f>TEXT(EV_Sales[[#This Row],[Order_Date]],"mmm-yyyy")</f>
        <v>Sep-2025</v>
      </c>
      <c r="AA423">
        <f>MONTH(EV_Sales[[#This Row],[Order_Date]])</f>
        <v>9</v>
      </c>
      <c r="AB423" s="12" t="str">
        <f>"Q"&amp;ROUNDUP(MONTH(EV_Sales[[#This Row],[Order_Date]])/3,0)</f>
        <v>Q3</v>
      </c>
    </row>
    <row r="424" spans="1:28" x14ac:dyDescent="0.3">
      <c r="A424" t="s">
        <v>529</v>
      </c>
      <c r="B424" s="2">
        <v>45874</v>
      </c>
      <c r="C424" t="s">
        <v>87</v>
      </c>
      <c r="D424" t="s">
        <v>88</v>
      </c>
      <c r="E424" t="s">
        <v>24</v>
      </c>
      <c r="F424" t="s">
        <v>47</v>
      </c>
      <c r="G424" t="s">
        <v>67</v>
      </c>
      <c r="H424" t="s">
        <v>53</v>
      </c>
      <c r="I424" t="str">
        <f>IF('Cleaned Data'!H424="Emi","EMI",'Cleaned Data'!H424)</f>
        <v>Cash</v>
      </c>
      <c r="J424" t="s">
        <v>57</v>
      </c>
      <c r="K424" t="s">
        <v>143</v>
      </c>
      <c r="L424">
        <v>4</v>
      </c>
      <c r="M424" s="9">
        <v>146106</v>
      </c>
      <c r="N424" s="4">
        <v>7.4999999999999997E-2</v>
      </c>
      <c r="O424" s="4">
        <f t="shared" si="6"/>
        <v>7.4999999999999997E-2</v>
      </c>
      <c r="P424" s="11">
        <v>584424</v>
      </c>
      <c r="Q424" s="9">
        <v>43831.8</v>
      </c>
      <c r="R424" s="9">
        <v>540592.19999999995</v>
      </c>
      <c r="S424">
        <v>3</v>
      </c>
      <c r="T424">
        <v>170</v>
      </c>
      <c r="U424">
        <v>4.4000000000000004</v>
      </c>
      <c r="V424">
        <v>5</v>
      </c>
      <c r="W424">
        <f>IF('Cleaned Data'!V424&lt;0,"Review",'Cleaned Data'!V424)</f>
        <v>5</v>
      </c>
      <c r="X424">
        <v>3</v>
      </c>
      <c r="Y424" s="7">
        <f>IFERROR('Cleaned Data'!R424/'Cleaned Data'!L424,0)</f>
        <v>135148.04999999999</v>
      </c>
      <c r="Z424" t="str">
        <f>TEXT(EV_Sales[[#This Row],[Order_Date]],"mmm-yyyy")</f>
        <v>Aug-2025</v>
      </c>
      <c r="AA424">
        <f>MONTH(EV_Sales[[#This Row],[Order_Date]])</f>
        <v>8</v>
      </c>
      <c r="AB424" s="12" t="str">
        <f>"Q"&amp;ROUNDUP(MONTH(EV_Sales[[#This Row],[Order_Date]])/3,0)</f>
        <v>Q3</v>
      </c>
    </row>
    <row r="425" spans="1:28" x14ac:dyDescent="0.3">
      <c r="A425" t="s">
        <v>530</v>
      </c>
      <c r="B425" s="2">
        <v>45942</v>
      </c>
      <c r="C425" t="s">
        <v>87</v>
      </c>
      <c r="D425" t="s">
        <v>88</v>
      </c>
      <c r="E425" t="s">
        <v>24</v>
      </c>
      <c r="F425" t="s">
        <v>25</v>
      </c>
      <c r="G425" t="s">
        <v>67</v>
      </c>
      <c r="H425" t="s">
        <v>53</v>
      </c>
      <c r="I425" t="str">
        <f>IF('Cleaned Data'!H425="Emi","EMI",'Cleaned Data'!H425)</f>
        <v>Cash</v>
      </c>
      <c r="J425" t="s">
        <v>57</v>
      </c>
      <c r="K425" t="s">
        <v>37</v>
      </c>
      <c r="L425">
        <v>2</v>
      </c>
      <c r="M425" s="9">
        <v>159261</v>
      </c>
      <c r="N425" s="4">
        <v>3.9E-2</v>
      </c>
      <c r="O425" s="4">
        <f t="shared" si="6"/>
        <v>3.9E-2</v>
      </c>
      <c r="P425" s="11">
        <v>318522</v>
      </c>
      <c r="Q425" s="9">
        <v>12422.36</v>
      </c>
      <c r="R425" s="9">
        <v>306099.64</v>
      </c>
      <c r="S425">
        <v>3</v>
      </c>
      <c r="T425">
        <v>162</v>
      </c>
      <c r="U425">
        <v>4.4000000000000004</v>
      </c>
      <c r="V425">
        <v>14</v>
      </c>
      <c r="W425">
        <f>IF('Cleaned Data'!V425&lt;0,"Review",'Cleaned Data'!V425)</f>
        <v>14</v>
      </c>
      <c r="X425">
        <v>3</v>
      </c>
      <c r="Y425" s="7">
        <f>IFERROR('Cleaned Data'!R425/'Cleaned Data'!L425,0)</f>
        <v>153049.82</v>
      </c>
      <c r="Z425" t="str">
        <f>TEXT(EV_Sales[[#This Row],[Order_Date]],"mmm-yyyy")</f>
        <v>Oct-2025</v>
      </c>
      <c r="AA425">
        <f>MONTH(EV_Sales[[#This Row],[Order_Date]])</f>
        <v>10</v>
      </c>
      <c r="AB425" s="12" t="str">
        <f>"Q"&amp;ROUNDUP(MONTH(EV_Sales[[#This Row],[Order_Date]])/3,0)</f>
        <v>Q4</v>
      </c>
    </row>
    <row r="426" spans="1:28" x14ac:dyDescent="0.3">
      <c r="A426" t="s">
        <v>531</v>
      </c>
      <c r="B426" s="2">
        <v>45873</v>
      </c>
      <c r="C426" t="s">
        <v>22</v>
      </c>
      <c r="D426" t="s">
        <v>107</v>
      </c>
      <c r="E426" t="s">
        <v>24</v>
      </c>
      <c r="F426" t="s">
        <v>41</v>
      </c>
      <c r="G426" t="s">
        <v>67</v>
      </c>
      <c r="H426" t="s">
        <v>809</v>
      </c>
      <c r="I426" t="str">
        <f>IF('Cleaned Data'!H426="Emi","EMI",'Cleaned Data'!H426)</f>
        <v>EMI</v>
      </c>
      <c r="J426" t="s">
        <v>48</v>
      </c>
      <c r="K426" t="s">
        <v>118</v>
      </c>
      <c r="L426">
        <v>5</v>
      </c>
      <c r="M426" s="9">
        <v>140238</v>
      </c>
      <c r="N426" s="4">
        <v>4.5999999999999999E-2</v>
      </c>
      <c r="O426" s="4">
        <f t="shared" si="6"/>
        <v>4.5999999999999999E-2</v>
      </c>
      <c r="P426" s="11">
        <v>701190</v>
      </c>
      <c r="Q426" s="9">
        <v>32254.74</v>
      </c>
      <c r="R426" s="9">
        <v>668935.26</v>
      </c>
      <c r="S426">
        <v>5</v>
      </c>
      <c r="T426">
        <v>211</v>
      </c>
      <c r="U426">
        <v>4.5999999999999996</v>
      </c>
      <c r="V426">
        <v>11</v>
      </c>
      <c r="W426">
        <f>IF('Cleaned Data'!V426&lt;0,"Review",'Cleaned Data'!V426)</f>
        <v>11</v>
      </c>
      <c r="X426">
        <v>5</v>
      </c>
      <c r="Y426" s="7">
        <f>IFERROR('Cleaned Data'!R426/'Cleaned Data'!L426,0)</f>
        <v>133787.052</v>
      </c>
      <c r="Z426" t="str">
        <f>TEXT(EV_Sales[[#This Row],[Order_Date]],"mmm-yyyy")</f>
        <v>Aug-2025</v>
      </c>
      <c r="AA426">
        <f>MONTH(EV_Sales[[#This Row],[Order_Date]])</f>
        <v>8</v>
      </c>
      <c r="AB426" s="12" t="str">
        <f>"Q"&amp;ROUNDUP(MONTH(EV_Sales[[#This Row],[Order_Date]])/3,0)</f>
        <v>Q3</v>
      </c>
    </row>
    <row r="427" spans="1:28" x14ac:dyDescent="0.3">
      <c r="A427" t="s">
        <v>532</v>
      </c>
      <c r="B427" s="2">
        <v>45730</v>
      </c>
      <c r="C427" t="s">
        <v>99</v>
      </c>
      <c r="D427" t="s">
        <v>141</v>
      </c>
      <c r="E427" t="s">
        <v>24</v>
      </c>
      <c r="F427" t="s">
        <v>47</v>
      </c>
      <c r="G427" t="s">
        <v>56</v>
      </c>
      <c r="H427" t="s">
        <v>27</v>
      </c>
      <c r="I427" t="str">
        <f>IF('Cleaned Data'!H427="Emi","EMI",'Cleaned Data'!H427)</f>
        <v>Finance</v>
      </c>
      <c r="J427" t="s">
        <v>36</v>
      </c>
      <c r="K427" t="s">
        <v>109</v>
      </c>
      <c r="L427">
        <v>4</v>
      </c>
      <c r="M427" s="9">
        <v>150469</v>
      </c>
      <c r="N427" s="4">
        <v>8.3000000000000004E-2</v>
      </c>
      <c r="O427" s="4">
        <f t="shared" si="6"/>
        <v>8.3000000000000004E-2</v>
      </c>
      <c r="P427" s="11">
        <v>601876</v>
      </c>
      <c r="Q427" s="9">
        <v>49955.71</v>
      </c>
      <c r="R427" s="9">
        <v>551920.29</v>
      </c>
      <c r="S427">
        <v>3</v>
      </c>
      <c r="T427">
        <v>186</v>
      </c>
      <c r="U427">
        <v>4.7</v>
      </c>
      <c r="V427">
        <v>3</v>
      </c>
      <c r="W427">
        <f>IF('Cleaned Data'!V427&lt;0,"Review",'Cleaned Data'!V427)</f>
        <v>3</v>
      </c>
      <c r="X427">
        <v>3</v>
      </c>
      <c r="Y427" s="7">
        <f>IFERROR('Cleaned Data'!R427/'Cleaned Data'!L427,0)</f>
        <v>137980.07250000001</v>
      </c>
      <c r="Z427" t="str">
        <f>TEXT(EV_Sales[[#This Row],[Order_Date]],"mmm-yyyy")</f>
        <v>Mar-2025</v>
      </c>
      <c r="AA427">
        <f>MONTH(EV_Sales[[#This Row],[Order_Date]])</f>
        <v>3</v>
      </c>
      <c r="AB427" s="12" t="str">
        <f>"Q"&amp;ROUNDUP(MONTH(EV_Sales[[#This Row],[Order_Date]])/3,0)</f>
        <v>Q1</v>
      </c>
    </row>
    <row r="428" spans="1:28" x14ac:dyDescent="0.3">
      <c r="A428" t="s">
        <v>533</v>
      </c>
      <c r="B428" s="2">
        <v>45760</v>
      </c>
      <c r="C428" t="s">
        <v>60</v>
      </c>
      <c r="D428" t="s">
        <v>61</v>
      </c>
      <c r="E428" t="s">
        <v>24</v>
      </c>
      <c r="F428" t="s">
        <v>101</v>
      </c>
      <c r="G428" t="s">
        <v>67</v>
      </c>
      <c r="H428" t="s">
        <v>53</v>
      </c>
      <c r="I428" t="str">
        <f>IF('Cleaned Data'!H428="Emi","EMI",'Cleaned Data'!H428)</f>
        <v>Cash</v>
      </c>
      <c r="J428" t="s">
        <v>48</v>
      </c>
      <c r="K428" t="s">
        <v>72</v>
      </c>
      <c r="L428">
        <v>5</v>
      </c>
      <c r="M428" s="9">
        <v>112929</v>
      </c>
      <c r="N428" s="4">
        <v>2.1999999999999999E-2</v>
      </c>
      <c r="O428" s="4">
        <f t="shared" si="6"/>
        <v>2.1999999999999999E-2</v>
      </c>
      <c r="P428" s="11">
        <v>564645</v>
      </c>
      <c r="Q428" s="9">
        <v>12422.19</v>
      </c>
      <c r="R428" s="9">
        <v>552222.81000000006</v>
      </c>
      <c r="S428">
        <v>3</v>
      </c>
      <c r="T428">
        <v>171</v>
      </c>
      <c r="U428">
        <v>3.8</v>
      </c>
      <c r="V428">
        <v>8</v>
      </c>
      <c r="W428">
        <f>IF('Cleaned Data'!V428&lt;0,"Review",'Cleaned Data'!V428)</f>
        <v>8</v>
      </c>
      <c r="X428">
        <v>5</v>
      </c>
      <c r="Y428" s="7">
        <f>IFERROR('Cleaned Data'!R428/'Cleaned Data'!L428,0)</f>
        <v>110444.56200000001</v>
      </c>
      <c r="Z428" t="str">
        <f>TEXT(EV_Sales[[#This Row],[Order_Date]],"mmm-yyyy")</f>
        <v>Apr-2025</v>
      </c>
      <c r="AA428">
        <f>MONTH(EV_Sales[[#This Row],[Order_Date]])</f>
        <v>4</v>
      </c>
      <c r="AB428" s="12" t="str">
        <f>"Q"&amp;ROUNDUP(MONTH(EV_Sales[[#This Row],[Order_Date]])/3,0)</f>
        <v>Q2</v>
      </c>
    </row>
    <row r="429" spans="1:28" x14ac:dyDescent="0.3">
      <c r="A429" t="s">
        <v>534</v>
      </c>
      <c r="B429" s="2">
        <v>45673</v>
      </c>
      <c r="C429" t="s">
        <v>31</v>
      </c>
      <c r="D429" t="s">
        <v>32</v>
      </c>
      <c r="E429" t="s">
        <v>62</v>
      </c>
      <c r="F429" t="s">
        <v>25</v>
      </c>
      <c r="G429" t="s">
        <v>56</v>
      </c>
      <c r="H429" t="s">
        <v>53</v>
      </c>
      <c r="I429" t="str">
        <f>IF('Cleaned Data'!H429="Emi","EMI",'Cleaned Data'!H429)</f>
        <v>Cash</v>
      </c>
      <c r="J429" t="s">
        <v>48</v>
      </c>
      <c r="K429" t="s">
        <v>138</v>
      </c>
      <c r="L429">
        <v>3</v>
      </c>
      <c r="M429" s="9">
        <v>107302</v>
      </c>
      <c r="N429" s="4">
        <v>0.11</v>
      </c>
      <c r="O429" s="4">
        <f t="shared" si="6"/>
        <v>0.11</v>
      </c>
      <c r="P429" s="11">
        <v>321906</v>
      </c>
      <c r="Q429" s="9">
        <v>35409.660000000003</v>
      </c>
      <c r="R429" s="9">
        <v>286496.34000000003</v>
      </c>
      <c r="S429">
        <v>4</v>
      </c>
      <c r="T429">
        <v>194</v>
      </c>
      <c r="U429">
        <v>3.9</v>
      </c>
      <c r="V429">
        <v>11</v>
      </c>
      <c r="W429">
        <f>IF('Cleaned Data'!V429&lt;0,"Review",'Cleaned Data'!V429)</f>
        <v>11</v>
      </c>
      <c r="X429">
        <v>5</v>
      </c>
      <c r="Y429" s="7">
        <f>IFERROR('Cleaned Data'!R429/'Cleaned Data'!L429,0)</f>
        <v>95498.780000000013</v>
      </c>
      <c r="Z429" t="str">
        <f>TEXT(EV_Sales[[#This Row],[Order_Date]],"mmm-yyyy")</f>
        <v>Jan-2025</v>
      </c>
      <c r="AA429">
        <f>MONTH(EV_Sales[[#This Row],[Order_Date]])</f>
        <v>1</v>
      </c>
      <c r="AB429" s="12" t="str">
        <f>"Q"&amp;ROUNDUP(MONTH(EV_Sales[[#This Row],[Order_Date]])/3,0)</f>
        <v>Q1</v>
      </c>
    </row>
    <row r="430" spans="1:28" x14ac:dyDescent="0.3">
      <c r="A430" t="s">
        <v>535</v>
      </c>
      <c r="B430" s="2">
        <v>45760</v>
      </c>
      <c r="C430" t="s">
        <v>99</v>
      </c>
      <c r="D430" t="s">
        <v>100</v>
      </c>
      <c r="E430" t="s">
        <v>62</v>
      </c>
      <c r="F430" t="s">
        <v>47</v>
      </c>
      <c r="G430" t="s">
        <v>67</v>
      </c>
      <c r="H430" t="s">
        <v>809</v>
      </c>
      <c r="I430" t="str">
        <f>IF('Cleaned Data'!H430="Emi","EMI",'Cleaned Data'!H430)</f>
        <v>EMI</v>
      </c>
      <c r="J430" t="s">
        <v>36</v>
      </c>
      <c r="K430" t="s">
        <v>81</v>
      </c>
      <c r="L430">
        <v>4</v>
      </c>
      <c r="M430" s="9">
        <v>108992</v>
      </c>
      <c r="N430" s="4">
        <v>0.10299999999999999</v>
      </c>
      <c r="O430" s="4">
        <f t="shared" si="6"/>
        <v>0.10299999999999999</v>
      </c>
      <c r="P430" s="11">
        <v>435968</v>
      </c>
      <c r="Q430" s="9">
        <v>44904.7</v>
      </c>
      <c r="R430" s="9">
        <v>391063.3</v>
      </c>
      <c r="S430">
        <v>3</v>
      </c>
      <c r="T430">
        <v>170</v>
      </c>
      <c r="U430" t="s">
        <v>812</v>
      </c>
      <c r="V430">
        <v>2</v>
      </c>
      <c r="W430">
        <f>IF('Cleaned Data'!V430&lt;0,"Review",'Cleaned Data'!V430)</f>
        <v>2</v>
      </c>
      <c r="X430">
        <v>2</v>
      </c>
      <c r="Y430" s="7">
        <f>IFERROR('Cleaned Data'!R430/'Cleaned Data'!L430,0)</f>
        <v>97765.824999999997</v>
      </c>
      <c r="Z430" t="str">
        <f>TEXT(EV_Sales[[#This Row],[Order_Date]],"mmm-yyyy")</f>
        <v>Apr-2025</v>
      </c>
      <c r="AA430">
        <f>MONTH(EV_Sales[[#This Row],[Order_Date]])</f>
        <v>4</v>
      </c>
      <c r="AB430" s="12" t="str">
        <f>"Q"&amp;ROUNDUP(MONTH(EV_Sales[[#This Row],[Order_Date]])/3,0)</f>
        <v>Q2</v>
      </c>
    </row>
    <row r="431" spans="1:28" x14ac:dyDescent="0.3">
      <c r="A431" t="s">
        <v>536</v>
      </c>
      <c r="B431" s="2">
        <v>45821</v>
      </c>
      <c r="C431" t="s">
        <v>99</v>
      </c>
      <c r="D431" t="s">
        <v>141</v>
      </c>
      <c r="E431" t="s">
        <v>24</v>
      </c>
      <c r="F431" t="s">
        <v>33</v>
      </c>
      <c r="G431" t="s">
        <v>67</v>
      </c>
      <c r="H431" t="s">
        <v>53</v>
      </c>
      <c r="I431" t="str">
        <f>IF('Cleaned Data'!H431="Emi","EMI",'Cleaned Data'!H431)</f>
        <v>Cash</v>
      </c>
      <c r="J431" t="s">
        <v>63</v>
      </c>
      <c r="K431" t="s">
        <v>109</v>
      </c>
      <c r="L431">
        <v>1</v>
      </c>
      <c r="M431" s="9">
        <v>141809</v>
      </c>
      <c r="N431" s="4">
        <v>6.7000000000000004E-2</v>
      </c>
      <c r="O431" s="4">
        <f t="shared" si="6"/>
        <v>6.7000000000000004E-2</v>
      </c>
      <c r="P431" s="11">
        <v>141809</v>
      </c>
      <c r="Q431" s="9">
        <v>9501.2000000000007</v>
      </c>
      <c r="R431" s="9">
        <v>132307.79999999999</v>
      </c>
      <c r="S431">
        <v>2</v>
      </c>
      <c r="T431">
        <v>139</v>
      </c>
      <c r="U431">
        <v>4.5999999999999996</v>
      </c>
      <c r="V431">
        <v>8</v>
      </c>
      <c r="W431">
        <f>IF('Cleaned Data'!V431&lt;0,"Review",'Cleaned Data'!V431)</f>
        <v>8</v>
      </c>
      <c r="X431">
        <v>2</v>
      </c>
      <c r="Y431" s="7">
        <f>IFERROR('Cleaned Data'!R431/'Cleaned Data'!L431,0)</f>
        <v>132307.79999999999</v>
      </c>
      <c r="Z431" t="str">
        <f>TEXT(EV_Sales[[#This Row],[Order_Date]],"mmm-yyyy")</f>
        <v>Jun-2025</v>
      </c>
      <c r="AA431">
        <f>MONTH(EV_Sales[[#This Row],[Order_Date]])</f>
        <v>6</v>
      </c>
      <c r="AB431" s="12" t="str">
        <f>"Q"&amp;ROUNDUP(MONTH(EV_Sales[[#This Row],[Order_Date]])/3,0)</f>
        <v>Q2</v>
      </c>
    </row>
    <row r="432" spans="1:28" x14ac:dyDescent="0.3">
      <c r="A432" t="s">
        <v>537</v>
      </c>
      <c r="B432" s="2">
        <v>45766</v>
      </c>
      <c r="C432" t="s">
        <v>31</v>
      </c>
      <c r="D432" t="s">
        <v>97</v>
      </c>
      <c r="E432" t="s">
        <v>24</v>
      </c>
      <c r="F432" t="s">
        <v>47</v>
      </c>
      <c r="G432" t="s">
        <v>67</v>
      </c>
      <c r="H432" t="s">
        <v>809</v>
      </c>
      <c r="I432" t="str">
        <f>IF('Cleaned Data'!H432="Emi","EMI",'Cleaned Data'!H432)</f>
        <v>EMI</v>
      </c>
      <c r="J432" t="s">
        <v>94</v>
      </c>
      <c r="K432" t="s">
        <v>109</v>
      </c>
      <c r="L432">
        <v>1</v>
      </c>
      <c r="M432" s="9">
        <v>123976</v>
      </c>
      <c r="N432" s="4">
        <v>3.6999999999999998E-2</v>
      </c>
      <c r="O432" s="4">
        <f t="shared" si="6"/>
        <v>3.6999999999999998E-2</v>
      </c>
      <c r="P432" s="11">
        <v>123976</v>
      </c>
      <c r="Q432" s="9">
        <v>4587.1099999999997</v>
      </c>
      <c r="R432" s="9">
        <v>119388.89</v>
      </c>
      <c r="S432">
        <v>5</v>
      </c>
      <c r="T432">
        <v>194</v>
      </c>
      <c r="U432">
        <v>4.5999999999999996</v>
      </c>
      <c r="V432">
        <v>10</v>
      </c>
      <c r="W432">
        <f>IF('Cleaned Data'!V432&lt;0,"Review",'Cleaned Data'!V432)</f>
        <v>10</v>
      </c>
      <c r="X432">
        <v>3</v>
      </c>
      <c r="Y432" s="7">
        <f>IFERROR('Cleaned Data'!R432/'Cleaned Data'!L432,0)</f>
        <v>119388.89</v>
      </c>
      <c r="Z432" t="str">
        <f>TEXT(EV_Sales[[#This Row],[Order_Date]],"mmm-yyyy")</f>
        <v>Apr-2025</v>
      </c>
      <c r="AA432">
        <f>MONTH(EV_Sales[[#This Row],[Order_Date]])</f>
        <v>4</v>
      </c>
      <c r="AB432" s="12" t="str">
        <f>"Q"&amp;ROUNDUP(MONTH(EV_Sales[[#This Row],[Order_Date]])/3,0)</f>
        <v>Q2</v>
      </c>
    </row>
    <row r="433" spans="1:28" x14ac:dyDescent="0.3">
      <c r="A433" t="s">
        <v>538</v>
      </c>
      <c r="B433" s="2">
        <v>45930</v>
      </c>
      <c r="C433" t="s">
        <v>99</v>
      </c>
      <c r="D433" t="s">
        <v>141</v>
      </c>
      <c r="E433" t="s">
        <v>62</v>
      </c>
      <c r="F433" t="s">
        <v>101</v>
      </c>
      <c r="G433" t="s">
        <v>56</v>
      </c>
      <c r="H433" t="s">
        <v>27</v>
      </c>
      <c r="I433" t="str">
        <f>IF('Cleaned Data'!H433="Emi","EMI",'Cleaned Data'!H433)</f>
        <v>Finance</v>
      </c>
      <c r="J433" t="s">
        <v>63</v>
      </c>
      <c r="K433" t="s">
        <v>81</v>
      </c>
      <c r="L433">
        <v>4</v>
      </c>
      <c r="M433" s="9">
        <v>142762</v>
      </c>
      <c r="N433" s="4">
        <v>0.10299999999999999</v>
      </c>
      <c r="O433" s="4">
        <f t="shared" si="6"/>
        <v>0.10299999999999999</v>
      </c>
      <c r="P433" s="11">
        <v>571048</v>
      </c>
      <c r="Q433" s="9">
        <v>58817.94</v>
      </c>
      <c r="R433" s="9">
        <v>512230.06</v>
      </c>
      <c r="S433">
        <v>5</v>
      </c>
      <c r="T433">
        <v>206</v>
      </c>
      <c r="U433">
        <v>3.7</v>
      </c>
      <c r="V433">
        <v>12</v>
      </c>
      <c r="W433">
        <f>IF('Cleaned Data'!V433&lt;0,"Review",'Cleaned Data'!V433)</f>
        <v>12</v>
      </c>
      <c r="X433">
        <v>2</v>
      </c>
      <c r="Y433" s="7">
        <f>IFERROR('Cleaned Data'!R433/'Cleaned Data'!L433,0)</f>
        <v>128057.515</v>
      </c>
      <c r="Z433" t="str">
        <f>TEXT(EV_Sales[[#This Row],[Order_Date]],"mmm-yyyy")</f>
        <v>Sep-2025</v>
      </c>
      <c r="AA433">
        <f>MONTH(EV_Sales[[#This Row],[Order_Date]])</f>
        <v>9</v>
      </c>
      <c r="AB433" s="12" t="str">
        <f>"Q"&amp;ROUNDUP(MONTH(EV_Sales[[#This Row],[Order_Date]])/3,0)</f>
        <v>Q3</v>
      </c>
    </row>
    <row r="434" spans="1:28" x14ac:dyDescent="0.3">
      <c r="A434" t="s">
        <v>539</v>
      </c>
      <c r="B434" s="2">
        <v>45954</v>
      </c>
      <c r="C434" t="s">
        <v>99</v>
      </c>
      <c r="D434" t="s">
        <v>121</v>
      </c>
      <c r="E434" t="s">
        <v>46</v>
      </c>
      <c r="F434" t="s">
        <v>101</v>
      </c>
      <c r="G434" t="s">
        <v>26</v>
      </c>
      <c r="H434" t="s">
        <v>27</v>
      </c>
      <c r="I434" t="str">
        <f>IF('Cleaned Data'!H434="Emi","EMI",'Cleaned Data'!H434)</f>
        <v>Finance</v>
      </c>
      <c r="J434" t="s">
        <v>63</v>
      </c>
      <c r="K434" t="s">
        <v>92</v>
      </c>
      <c r="L434">
        <v>3</v>
      </c>
      <c r="M434" s="9">
        <v>112079</v>
      </c>
      <c r="N434" s="4">
        <v>5.8000000000000003E-2</v>
      </c>
      <c r="O434" s="4">
        <f t="shared" si="6"/>
        <v>5.8000000000000003E-2</v>
      </c>
      <c r="P434" s="11">
        <v>336237</v>
      </c>
      <c r="Q434" s="9">
        <v>19501.75</v>
      </c>
      <c r="R434" s="9">
        <v>316735.25</v>
      </c>
      <c r="S434">
        <v>4</v>
      </c>
      <c r="T434">
        <v>161</v>
      </c>
      <c r="U434">
        <v>3.2</v>
      </c>
      <c r="V434">
        <v>4</v>
      </c>
      <c r="W434">
        <f>IF('Cleaned Data'!V434&lt;0,"Review",'Cleaned Data'!V434)</f>
        <v>4</v>
      </c>
      <c r="X434">
        <v>2</v>
      </c>
      <c r="Y434" s="7">
        <f>IFERROR('Cleaned Data'!R434/'Cleaned Data'!L434,0)</f>
        <v>105578.41666666667</v>
      </c>
      <c r="Z434" t="str">
        <f>TEXT(EV_Sales[[#This Row],[Order_Date]],"mmm-yyyy")</f>
        <v>Oct-2025</v>
      </c>
      <c r="AA434">
        <f>MONTH(EV_Sales[[#This Row],[Order_Date]])</f>
        <v>10</v>
      </c>
      <c r="AB434" s="12" t="str">
        <f>"Q"&amp;ROUNDUP(MONTH(EV_Sales[[#This Row],[Order_Date]])/3,0)</f>
        <v>Q4</v>
      </c>
    </row>
    <row r="435" spans="1:28" x14ac:dyDescent="0.3">
      <c r="A435" t="s">
        <v>540</v>
      </c>
      <c r="B435" s="2">
        <v>46019</v>
      </c>
      <c r="C435" t="s">
        <v>60</v>
      </c>
      <c r="D435" t="s">
        <v>69</v>
      </c>
      <c r="E435" t="s">
        <v>24</v>
      </c>
      <c r="F435" t="s">
        <v>52</v>
      </c>
      <c r="G435" t="s">
        <v>26</v>
      </c>
      <c r="H435" t="s">
        <v>53</v>
      </c>
      <c r="I435" t="str">
        <f>IF('Cleaned Data'!H435="Emi","EMI",'Cleaned Data'!H435)</f>
        <v>Cash</v>
      </c>
      <c r="J435" t="s">
        <v>94</v>
      </c>
      <c r="K435" t="s">
        <v>203</v>
      </c>
      <c r="L435">
        <v>2</v>
      </c>
      <c r="M435" s="9">
        <v>102416</v>
      </c>
      <c r="N435" s="4">
        <v>2.7E-2</v>
      </c>
      <c r="O435" s="4">
        <f t="shared" si="6"/>
        <v>2.7E-2</v>
      </c>
      <c r="P435" s="11">
        <v>204832</v>
      </c>
      <c r="Q435" s="9">
        <v>5530.46</v>
      </c>
      <c r="R435" s="9">
        <v>199301.54</v>
      </c>
      <c r="S435">
        <v>3</v>
      </c>
      <c r="T435">
        <v>166</v>
      </c>
      <c r="U435">
        <v>4.4000000000000004</v>
      </c>
      <c r="V435">
        <v>10</v>
      </c>
      <c r="W435">
        <f>IF('Cleaned Data'!V435&lt;0,"Review",'Cleaned Data'!V435)</f>
        <v>10</v>
      </c>
      <c r="X435">
        <v>5</v>
      </c>
      <c r="Y435" s="7">
        <f>IFERROR('Cleaned Data'!R435/'Cleaned Data'!L435,0)</f>
        <v>99650.77</v>
      </c>
      <c r="Z435" t="str">
        <f>TEXT(EV_Sales[[#This Row],[Order_Date]],"mmm-yyyy")</f>
        <v>Dec-2025</v>
      </c>
      <c r="AA435">
        <f>MONTH(EV_Sales[[#This Row],[Order_Date]])</f>
        <v>12</v>
      </c>
      <c r="AB435" s="12" t="str">
        <f>"Q"&amp;ROUNDUP(MONTH(EV_Sales[[#This Row],[Order_Date]])/3,0)</f>
        <v>Q4</v>
      </c>
    </row>
    <row r="436" spans="1:28" x14ac:dyDescent="0.3">
      <c r="A436" t="s">
        <v>541</v>
      </c>
      <c r="B436" s="2">
        <v>45829</v>
      </c>
      <c r="C436" t="s">
        <v>99</v>
      </c>
      <c r="D436" t="s">
        <v>100</v>
      </c>
      <c r="E436" t="s">
        <v>46</v>
      </c>
      <c r="F436" t="s">
        <v>70</v>
      </c>
      <c r="G436" t="s">
        <v>26</v>
      </c>
      <c r="H436" t="s">
        <v>53</v>
      </c>
      <c r="I436" t="str">
        <f>IF('Cleaned Data'!H436="Emi","EMI",'Cleaned Data'!H436)</f>
        <v>Cash</v>
      </c>
      <c r="J436" t="s">
        <v>36</v>
      </c>
      <c r="K436" t="s">
        <v>78</v>
      </c>
      <c r="L436">
        <v>4</v>
      </c>
      <c r="M436" s="9">
        <v>123160</v>
      </c>
      <c r="N436" s="4">
        <v>0.11799999999999999</v>
      </c>
      <c r="O436" s="4">
        <f t="shared" si="6"/>
        <v>0.11799999999999999</v>
      </c>
      <c r="P436" s="11">
        <v>492640</v>
      </c>
      <c r="Q436" s="9">
        <v>58131.519999999997</v>
      </c>
      <c r="R436" s="9">
        <v>434508.48</v>
      </c>
      <c r="S436">
        <v>5</v>
      </c>
      <c r="T436">
        <v>209</v>
      </c>
      <c r="U436">
        <v>4.2</v>
      </c>
      <c r="V436">
        <v>5</v>
      </c>
      <c r="W436">
        <f>IF('Cleaned Data'!V436&lt;0,"Review",'Cleaned Data'!V436)</f>
        <v>5</v>
      </c>
      <c r="X436">
        <v>3</v>
      </c>
      <c r="Y436" s="7">
        <f>IFERROR('Cleaned Data'!R436/'Cleaned Data'!L436,0)</f>
        <v>108627.12</v>
      </c>
      <c r="Z436" t="str">
        <f>TEXT(EV_Sales[[#This Row],[Order_Date]],"mmm-yyyy")</f>
        <v>Jun-2025</v>
      </c>
      <c r="AA436">
        <f>MONTH(EV_Sales[[#This Row],[Order_Date]])</f>
        <v>6</v>
      </c>
      <c r="AB436" s="12" t="str">
        <f>"Q"&amp;ROUNDUP(MONTH(EV_Sales[[#This Row],[Order_Date]])/3,0)</f>
        <v>Q2</v>
      </c>
    </row>
    <row r="437" spans="1:28" x14ac:dyDescent="0.3">
      <c r="A437" t="s">
        <v>542</v>
      </c>
      <c r="B437" s="2">
        <v>45749</v>
      </c>
      <c r="C437" t="s">
        <v>87</v>
      </c>
      <c r="D437" t="s">
        <v>130</v>
      </c>
      <c r="E437" t="s">
        <v>24</v>
      </c>
      <c r="F437" t="s">
        <v>33</v>
      </c>
      <c r="G437" t="s">
        <v>26</v>
      </c>
      <c r="H437" t="s">
        <v>53</v>
      </c>
      <c r="I437" t="str">
        <f>IF('Cleaned Data'!H437="Emi","EMI",'Cleaned Data'!H437)</f>
        <v>Cash</v>
      </c>
      <c r="J437" t="s">
        <v>94</v>
      </c>
      <c r="K437" t="s">
        <v>49</v>
      </c>
      <c r="L437">
        <v>1</v>
      </c>
      <c r="M437" s="9">
        <v>104693</v>
      </c>
      <c r="N437" s="4">
        <v>9.7000000000000003E-2</v>
      </c>
      <c r="O437" s="4">
        <f t="shared" si="6"/>
        <v>9.7000000000000003E-2</v>
      </c>
      <c r="P437" s="11">
        <v>104693</v>
      </c>
      <c r="Q437" s="9">
        <v>10155.219999999999</v>
      </c>
      <c r="R437" s="9">
        <v>94537.78</v>
      </c>
      <c r="S437">
        <v>4</v>
      </c>
      <c r="T437">
        <v>182</v>
      </c>
      <c r="U437">
        <v>4</v>
      </c>
      <c r="V437">
        <v>4</v>
      </c>
      <c r="W437">
        <f>IF('Cleaned Data'!V437&lt;0,"Review",'Cleaned Data'!V437)</f>
        <v>4</v>
      </c>
      <c r="X437">
        <v>3</v>
      </c>
      <c r="Y437" s="7">
        <f>IFERROR('Cleaned Data'!R437/'Cleaned Data'!L437,0)</f>
        <v>94537.78</v>
      </c>
      <c r="Z437" t="str">
        <f>TEXT(EV_Sales[[#This Row],[Order_Date]],"mmm-yyyy")</f>
        <v>Apr-2025</v>
      </c>
      <c r="AA437">
        <f>MONTH(EV_Sales[[#This Row],[Order_Date]])</f>
        <v>4</v>
      </c>
      <c r="AB437" s="12" t="str">
        <f>"Q"&amp;ROUNDUP(MONTH(EV_Sales[[#This Row],[Order_Date]])/3,0)</f>
        <v>Q2</v>
      </c>
    </row>
    <row r="438" spans="1:28" x14ac:dyDescent="0.3">
      <c r="A438" t="s">
        <v>543</v>
      </c>
      <c r="B438" s="2">
        <v>45719</v>
      </c>
      <c r="C438" t="s">
        <v>76</v>
      </c>
      <c r="D438" t="s">
        <v>115</v>
      </c>
      <c r="E438" t="s">
        <v>46</v>
      </c>
      <c r="F438" t="s">
        <v>25</v>
      </c>
      <c r="G438" t="s">
        <v>26</v>
      </c>
      <c r="H438" t="s">
        <v>27</v>
      </c>
      <c r="I438" t="str">
        <f>IF('Cleaned Data'!H438="Emi","EMI",'Cleaned Data'!H438)</f>
        <v>Finance</v>
      </c>
      <c r="J438" t="s">
        <v>36</v>
      </c>
      <c r="K438" t="s">
        <v>83</v>
      </c>
      <c r="L438">
        <v>1</v>
      </c>
      <c r="M438" s="9">
        <v>131565</v>
      </c>
      <c r="N438" s="4">
        <v>9.0999999999999998E-2</v>
      </c>
      <c r="O438" s="4">
        <f t="shared" si="6"/>
        <v>9.0999999999999998E-2</v>
      </c>
      <c r="P438" s="11">
        <v>131565</v>
      </c>
      <c r="Q438" s="9">
        <v>11972.41</v>
      </c>
      <c r="R438" s="9">
        <v>119592.59</v>
      </c>
      <c r="S438">
        <v>5</v>
      </c>
      <c r="T438">
        <v>215</v>
      </c>
      <c r="U438">
        <v>4.5</v>
      </c>
      <c r="V438">
        <v>3</v>
      </c>
      <c r="W438">
        <f>IF('Cleaned Data'!V438&lt;0,"Review",'Cleaned Data'!V438)</f>
        <v>3</v>
      </c>
      <c r="X438">
        <v>3</v>
      </c>
      <c r="Y438" s="7">
        <f>IFERROR('Cleaned Data'!R438/'Cleaned Data'!L438,0)</f>
        <v>119592.59</v>
      </c>
      <c r="Z438" t="str">
        <f>TEXT(EV_Sales[[#This Row],[Order_Date]],"mmm-yyyy")</f>
        <v>Mar-2025</v>
      </c>
      <c r="AA438">
        <f>MONTH(EV_Sales[[#This Row],[Order_Date]])</f>
        <v>3</v>
      </c>
      <c r="AB438" s="12" t="str">
        <f>"Q"&amp;ROUNDUP(MONTH(EV_Sales[[#This Row],[Order_Date]])/3,0)</f>
        <v>Q1</v>
      </c>
    </row>
    <row r="439" spans="1:28" x14ac:dyDescent="0.3">
      <c r="A439" t="s">
        <v>544</v>
      </c>
      <c r="B439" s="2">
        <v>45828</v>
      </c>
      <c r="C439" t="s">
        <v>31</v>
      </c>
      <c r="D439" t="s">
        <v>32</v>
      </c>
      <c r="E439" t="s">
        <v>46</v>
      </c>
      <c r="F439" t="s">
        <v>52</v>
      </c>
      <c r="G439" t="s">
        <v>67</v>
      </c>
      <c r="H439" t="s">
        <v>27</v>
      </c>
      <c r="I439" t="str">
        <f>IF('Cleaned Data'!H439="Emi","EMI",'Cleaned Data'!H439)</f>
        <v>Finance</v>
      </c>
      <c r="J439" t="s">
        <v>63</v>
      </c>
      <c r="K439" t="s">
        <v>54</v>
      </c>
      <c r="L439">
        <v>1</v>
      </c>
      <c r="M439" s="9">
        <v>114993</v>
      </c>
      <c r="N439" s="4">
        <v>7.0000000000000007E-2</v>
      </c>
      <c r="O439" s="4">
        <f t="shared" si="6"/>
        <v>7.0000000000000007E-2</v>
      </c>
      <c r="P439" s="11">
        <v>114993</v>
      </c>
      <c r="Q439" s="9">
        <v>8049.51</v>
      </c>
      <c r="R439" s="9">
        <v>106943.49</v>
      </c>
      <c r="S439">
        <v>3</v>
      </c>
      <c r="T439">
        <v>143</v>
      </c>
      <c r="U439">
        <v>4.4000000000000004</v>
      </c>
      <c r="V439">
        <v>4</v>
      </c>
      <c r="W439">
        <f>IF('Cleaned Data'!V439&lt;0,"Review",'Cleaned Data'!V439)</f>
        <v>4</v>
      </c>
      <c r="X439">
        <v>3</v>
      </c>
      <c r="Y439" s="7">
        <f>IFERROR('Cleaned Data'!R439/'Cleaned Data'!L439,0)</f>
        <v>106943.49</v>
      </c>
      <c r="Z439" t="str">
        <f>TEXT(EV_Sales[[#This Row],[Order_Date]],"mmm-yyyy")</f>
        <v>Jun-2025</v>
      </c>
      <c r="AA439">
        <f>MONTH(EV_Sales[[#This Row],[Order_Date]])</f>
        <v>6</v>
      </c>
      <c r="AB439" s="12" t="str">
        <f>"Q"&amp;ROUNDUP(MONTH(EV_Sales[[#This Row],[Order_Date]])/3,0)</f>
        <v>Q2</v>
      </c>
    </row>
    <row r="440" spans="1:28" x14ac:dyDescent="0.3">
      <c r="A440" t="s">
        <v>545</v>
      </c>
      <c r="B440" s="2">
        <v>45955</v>
      </c>
      <c r="C440" t="s">
        <v>99</v>
      </c>
      <c r="D440" t="s">
        <v>141</v>
      </c>
      <c r="E440" t="s">
        <v>24</v>
      </c>
      <c r="F440" t="s">
        <v>25</v>
      </c>
      <c r="G440" t="s">
        <v>56</v>
      </c>
      <c r="H440" t="s">
        <v>27</v>
      </c>
      <c r="I440" t="str">
        <f>IF('Cleaned Data'!H440="Emi","EMI",'Cleaned Data'!H440)</f>
        <v>Finance</v>
      </c>
      <c r="J440" t="s">
        <v>48</v>
      </c>
      <c r="K440" t="s">
        <v>138</v>
      </c>
      <c r="L440">
        <v>3</v>
      </c>
      <c r="M440" s="9">
        <v>145613</v>
      </c>
      <c r="N440" s="4">
        <v>4.4999999999999998E-2</v>
      </c>
      <c r="O440" s="4">
        <f t="shared" si="6"/>
        <v>4.4999999999999998E-2</v>
      </c>
      <c r="P440" s="11">
        <v>436839</v>
      </c>
      <c r="Q440" s="9">
        <v>19657.759999999998</v>
      </c>
      <c r="R440" s="9">
        <v>417181.24</v>
      </c>
      <c r="S440">
        <v>5</v>
      </c>
      <c r="T440">
        <v>204</v>
      </c>
      <c r="U440">
        <v>3.6</v>
      </c>
      <c r="V440">
        <v>5</v>
      </c>
      <c r="W440">
        <f>IF('Cleaned Data'!V440&lt;0,"Review",'Cleaned Data'!V440)</f>
        <v>5</v>
      </c>
      <c r="X440">
        <v>3</v>
      </c>
      <c r="Y440" s="7">
        <f>IFERROR('Cleaned Data'!R440/'Cleaned Data'!L440,0)</f>
        <v>139060.41333333333</v>
      </c>
      <c r="Z440" t="str">
        <f>TEXT(EV_Sales[[#This Row],[Order_Date]],"mmm-yyyy")</f>
        <v>Oct-2025</v>
      </c>
      <c r="AA440">
        <f>MONTH(EV_Sales[[#This Row],[Order_Date]])</f>
        <v>10</v>
      </c>
      <c r="AB440" s="12" t="str">
        <f>"Q"&amp;ROUNDUP(MONTH(EV_Sales[[#This Row],[Order_Date]])/3,0)</f>
        <v>Q4</v>
      </c>
    </row>
    <row r="441" spans="1:28" x14ac:dyDescent="0.3">
      <c r="A441" t="s">
        <v>546</v>
      </c>
      <c r="B441" s="2">
        <v>45687</v>
      </c>
      <c r="C441" t="s">
        <v>22</v>
      </c>
      <c r="D441" t="s">
        <v>107</v>
      </c>
      <c r="E441" t="s">
        <v>62</v>
      </c>
      <c r="F441" t="s">
        <v>52</v>
      </c>
      <c r="G441" t="s">
        <v>34</v>
      </c>
      <c r="H441" t="s">
        <v>27</v>
      </c>
      <c r="I441" t="str">
        <f>IF('Cleaned Data'!H441="Emi","EMI",'Cleaned Data'!H441)</f>
        <v>Finance</v>
      </c>
      <c r="J441" t="s">
        <v>63</v>
      </c>
      <c r="K441" t="s">
        <v>49</v>
      </c>
      <c r="L441">
        <v>1</v>
      </c>
      <c r="M441" s="9">
        <v>134785</v>
      </c>
      <c r="N441" s="4">
        <v>0.11600000000000001</v>
      </c>
      <c r="O441" s="4">
        <f t="shared" si="6"/>
        <v>0.11600000000000001</v>
      </c>
      <c r="P441" s="11">
        <v>134785</v>
      </c>
      <c r="Q441" s="9">
        <v>15635.06</v>
      </c>
      <c r="R441" s="9">
        <v>119149.94</v>
      </c>
      <c r="S441">
        <v>5</v>
      </c>
      <c r="T441">
        <v>196</v>
      </c>
      <c r="U441">
        <v>4.5999999999999996</v>
      </c>
      <c r="V441">
        <v>9</v>
      </c>
      <c r="W441">
        <f>IF('Cleaned Data'!V441&lt;0,"Review",'Cleaned Data'!V441)</f>
        <v>9</v>
      </c>
      <c r="X441">
        <v>5</v>
      </c>
      <c r="Y441" s="7">
        <f>IFERROR('Cleaned Data'!R441/'Cleaned Data'!L441,0)</f>
        <v>119149.94</v>
      </c>
      <c r="Z441" t="str">
        <f>TEXT(EV_Sales[[#This Row],[Order_Date]],"mmm-yyyy")</f>
        <v>Jan-2025</v>
      </c>
      <c r="AA441">
        <f>MONTH(EV_Sales[[#This Row],[Order_Date]])</f>
        <v>1</v>
      </c>
      <c r="AB441" s="12" t="str">
        <f>"Q"&amp;ROUNDUP(MONTH(EV_Sales[[#This Row],[Order_Date]])/3,0)</f>
        <v>Q1</v>
      </c>
    </row>
    <row r="442" spans="1:28" x14ac:dyDescent="0.3">
      <c r="A442" t="s">
        <v>547</v>
      </c>
      <c r="B442" s="2">
        <v>45827</v>
      </c>
      <c r="C442" t="s">
        <v>39</v>
      </c>
      <c r="D442" t="s">
        <v>154</v>
      </c>
      <c r="E442" t="s">
        <v>24</v>
      </c>
      <c r="F442" t="s">
        <v>25</v>
      </c>
      <c r="G442" t="s">
        <v>67</v>
      </c>
      <c r="H442" t="s">
        <v>53</v>
      </c>
      <c r="I442" t="str">
        <f>IF('Cleaned Data'!H442="Emi","EMI",'Cleaned Data'!H442)</f>
        <v>Cash</v>
      </c>
      <c r="J442" t="s">
        <v>48</v>
      </c>
      <c r="K442" t="s">
        <v>131</v>
      </c>
      <c r="L442">
        <v>3</v>
      </c>
      <c r="M442" s="9">
        <v>188009</v>
      </c>
      <c r="N442" s="4">
        <v>3.5000000000000003E-2</v>
      </c>
      <c r="O442" s="4">
        <f t="shared" si="6"/>
        <v>3.5000000000000003E-2</v>
      </c>
      <c r="P442" s="11">
        <v>564027</v>
      </c>
      <c r="Q442" s="9">
        <v>19740.95</v>
      </c>
      <c r="R442" s="9">
        <v>544286.05000000005</v>
      </c>
      <c r="S442">
        <v>5</v>
      </c>
      <c r="T442">
        <v>186</v>
      </c>
      <c r="U442">
        <v>3.9</v>
      </c>
      <c r="V442">
        <v>9</v>
      </c>
      <c r="W442">
        <f>IF('Cleaned Data'!V442&lt;0,"Review",'Cleaned Data'!V442)</f>
        <v>9</v>
      </c>
      <c r="X442">
        <v>2</v>
      </c>
      <c r="Y442" s="7">
        <f>IFERROR('Cleaned Data'!R442/'Cleaned Data'!L442,0)</f>
        <v>181428.68333333335</v>
      </c>
      <c r="Z442" t="str">
        <f>TEXT(EV_Sales[[#This Row],[Order_Date]],"mmm-yyyy")</f>
        <v>Jun-2025</v>
      </c>
      <c r="AA442">
        <f>MONTH(EV_Sales[[#This Row],[Order_Date]])</f>
        <v>6</v>
      </c>
      <c r="AB442" s="12" t="str">
        <f>"Q"&amp;ROUNDUP(MONTH(EV_Sales[[#This Row],[Order_Date]])/3,0)</f>
        <v>Q2</v>
      </c>
    </row>
    <row r="443" spans="1:28" x14ac:dyDescent="0.3">
      <c r="A443" t="s">
        <v>548</v>
      </c>
      <c r="B443" s="2">
        <v>45926</v>
      </c>
      <c r="C443" t="s">
        <v>87</v>
      </c>
      <c r="D443" t="s">
        <v>130</v>
      </c>
      <c r="E443" t="s">
        <v>24</v>
      </c>
      <c r="F443" t="s">
        <v>811</v>
      </c>
      <c r="G443" t="s">
        <v>67</v>
      </c>
      <c r="H443" t="s">
        <v>27</v>
      </c>
      <c r="I443" t="str">
        <f>IF('Cleaned Data'!H443="Emi","EMI",'Cleaned Data'!H443)</f>
        <v>Finance</v>
      </c>
      <c r="J443" t="s">
        <v>28</v>
      </c>
      <c r="K443" t="s">
        <v>212</v>
      </c>
      <c r="L443">
        <v>1</v>
      </c>
      <c r="M443" s="9">
        <v>111735</v>
      </c>
      <c r="N443" s="4">
        <v>2.5000000000000001E-2</v>
      </c>
      <c r="O443" s="4">
        <f t="shared" si="6"/>
        <v>2.5000000000000001E-2</v>
      </c>
      <c r="P443" s="11">
        <v>111735</v>
      </c>
      <c r="Q443" s="9">
        <v>2793.38</v>
      </c>
      <c r="R443" s="9">
        <v>108941.62</v>
      </c>
      <c r="S443">
        <v>4</v>
      </c>
      <c r="T443">
        <v>182</v>
      </c>
      <c r="U443">
        <v>5</v>
      </c>
      <c r="V443">
        <v>2</v>
      </c>
      <c r="W443">
        <f>IF('Cleaned Data'!V443&lt;0,"Review",'Cleaned Data'!V443)</f>
        <v>2</v>
      </c>
      <c r="X443">
        <v>2</v>
      </c>
      <c r="Y443" s="7">
        <f>IFERROR('Cleaned Data'!R443/'Cleaned Data'!L443,0)</f>
        <v>108941.62</v>
      </c>
      <c r="Z443" t="str">
        <f>TEXT(EV_Sales[[#This Row],[Order_Date]],"mmm-yyyy")</f>
        <v>Sep-2025</v>
      </c>
      <c r="AA443">
        <f>MONTH(EV_Sales[[#This Row],[Order_Date]])</f>
        <v>9</v>
      </c>
      <c r="AB443" s="12" t="str">
        <f>"Q"&amp;ROUNDUP(MONTH(EV_Sales[[#This Row],[Order_Date]])/3,0)</f>
        <v>Q3</v>
      </c>
    </row>
    <row r="444" spans="1:28" x14ac:dyDescent="0.3">
      <c r="A444" t="s">
        <v>549</v>
      </c>
      <c r="B444" s="2">
        <v>45873</v>
      </c>
      <c r="C444" t="s">
        <v>87</v>
      </c>
      <c r="D444" t="s">
        <v>88</v>
      </c>
      <c r="E444" t="s">
        <v>24</v>
      </c>
      <c r="F444" t="s">
        <v>101</v>
      </c>
      <c r="G444" t="s">
        <v>56</v>
      </c>
      <c r="H444" t="s">
        <v>809</v>
      </c>
      <c r="I444" t="str">
        <f>IF('Cleaned Data'!H444="Emi","EMI",'Cleaned Data'!H444)</f>
        <v>EMI</v>
      </c>
      <c r="J444" t="s">
        <v>28</v>
      </c>
      <c r="K444" t="s">
        <v>109</v>
      </c>
      <c r="L444">
        <v>2</v>
      </c>
      <c r="M444" s="9">
        <v>156105</v>
      </c>
      <c r="N444" s="4">
        <v>8.2000000000000003E-2</v>
      </c>
      <c r="O444" s="4">
        <f t="shared" si="6"/>
        <v>8.2000000000000003E-2</v>
      </c>
      <c r="P444" s="11">
        <v>312210</v>
      </c>
      <c r="Q444" s="9">
        <v>25601.22</v>
      </c>
      <c r="R444" s="9">
        <v>286608.78000000003</v>
      </c>
      <c r="S444">
        <v>2</v>
      </c>
      <c r="T444">
        <v>137</v>
      </c>
      <c r="U444">
        <v>3.7</v>
      </c>
      <c r="V444">
        <v>7</v>
      </c>
      <c r="W444">
        <f>IF('Cleaned Data'!V444&lt;0,"Review",'Cleaned Data'!V444)</f>
        <v>7</v>
      </c>
      <c r="X444">
        <v>3</v>
      </c>
      <c r="Y444" s="7">
        <f>IFERROR('Cleaned Data'!R444/'Cleaned Data'!L444,0)</f>
        <v>143304.39000000001</v>
      </c>
      <c r="Z444" t="str">
        <f>TEXT(EV_Sales[[#This Row],[Order_Date]],"mmm-yyyy")</f>
        <v>Aug-2025</v>
      </c>
      <c r="AA444">
        <f>MONTH(EV_Sales[[#This Row],[Order_Date]])</f>
        <v>8</v>
      </c>
      <c r="AB444" s="12" t="str">
        <f>"Q"&amp;ROUNDUP(MONTH(EV_Sales[[#This Row],[Order_Date]])/3,0)</f>
        <v>Q3</v>
      </c>
    </row>
    <row r="445" spans="1:28" x14ac:dyDescent="0.3">
      <c r="A445" t="s">
        <v>550</v>
      </c>
      <c r="B445" s="2">
        <v>45761</v>
      </c>
      <c r="C445" t="s">
        <v>39</v>
      </c>
      <c r="D445" t="s">
        <v>40</v>
      </c>
      <c r="E445" t="s">
        <v>46</v>
      </c>
      <c r="F445" t="s">
        <v>47</v>
      </c>
      <c r="G445" t="s">
        <v>56</v>
      </c>
      <c r="H445" t="s">
        <v>27</v>
      </c>
      <c r="I445" t="str">
        <f>IF('Cleaned Data'!H445="Emi","EMI",'Cleaned Data'!H445)</f>
        <v>Finance</v>
      </c>
      <c r="J445" t="s">
        <v>48</v>
      </c>
      <c r="K445" t="s">
        <v>72</v>
      </c>
      <c r="L445">
        <v>1</v>
      </c>
      <c r="M445" s="9">
        <v>128401</v>
      </c>
      <c r="N445" s="4">
        <v>6.5000000000000002E-2</v>
      </c>
      <c r="O445" s="4">
        <f t="shared" si="6"/>
        <v>6.5000000000000002E-2</v>
      </c>
      <c r="P445" s="11">
        <v>128401</v>
      </c>
      <c r="Q445" s="9">
        <v>8346.07</v>
      </c>
      <c r="R445" s="9">
        <v>120054.93</v>
      </c>
      <c r="S445">
        <v>4</v>
      </c>
      <c r="T445">
        <v>175</v>
      </c>
      <c r="U445">
        <v>3.9</v>
      </c>
      <c r="V445">
        <v>3</v>
      </c>
      <c r="W445">
        <f>IF('Cleaned Data'!V445&lt;0,"Review",'Cleaned Data'!V445)</f>
        <v>3</v>
      </c>
      <c r="X445">
        <v>2</v>
      </c>
      <c r="Y445" s="7">
        <f>IFERROR('Cleaned Data'!R445/'Cleaned Data'!L445,0)</f>
        <v>120054.93</v>
      </c>
      <c r="Z445" t="str">
        <f>TEXT(EV_Sales[[#This Row],[Order_Date]],"mmm-yyyy")</f>
        <v>Apr-2025</v>
      </c>
      <c r="AA445">
        <f>MONTH(EV_Sales[[#This Row],[Order_Date]])</f>
        <v>4</v>
      </c>
      <c r="AB445" s="12" t="str">
        <f>"Q"&amp;ROUNDUP(MONTH(EV_Sales[[#This Row],[Order_Date]])/3,0)</f>
        <v>Q2</v>
      </c>
    </row>
    <row r="446" spans="1:28" x14ac:dyDescent="0.3">
      <c r="A446" t="s">
        <v>551</v>
      </c>
      <c r="B446" s="2">
        <v>45777</v>
      </c>
      <c r="C446" t="s">
        <v>87</v>
      </c>
      <c r="D446" t="s">
        <v>130</v>
      </c>
      <c r="E446" t="s">
        <v>62</v>
      </c>
      <c r="F446" t="s">
        <v>70</v>
      </c>
      <c r="G446" t="s">
        <v>26</v>
      </c>
      <c r="H446" t="s">
        <v>53</v>
      </c>
      <c r="I446" t="str">
        <f>IF('Cleaned Data'!H446="Emi","EMI",'Cleaned Data'!H446)</f>
        <v>Cash</v>
      </c>
      <c r="J446" t="s">
        <v>57</v>
      </c>
      <c r="K446" t="s">
        <v>58</v>
      </c>
      <c r="L446">
        <v>4</v>
      </c>
      <c r="M446" s="9">
        <v>108924</v>
      </c>
      <c r="N446" s="4">
        <v>8.3000000000000004E-2</v>
      </c>
      <c r="O446" s="4">
        <f t="shared" si="6"/>
        <v>8.3000000000000004E-2</v>
      </c>
      <c r="P446" s="11">
        <v>435696</v>
      </c>
      <c r="Q446" s="9">
        <v>36162.769999999997</v>
      </c>
      <c r="R446" s="9">
        <v>399533.23</v>
      </c>
      <c r="S446">
        <v>4</v>
      </c>
      <c r="T446">
        <v>160</v>
      </c>
      <c r="U446">
        <v>3.8</v>
      </c>
      <c r="V446">
        <v>13</v>
      </c>
      <c r="W446">
        <f>IF('Cleaned Data'!V446&lt;0,"Review",'Cleaned Data'!V446)</f>
        <v>13</v>
      </c>
      <c r="X446">
        <v>2</v>
      </c>
      <c r="Y446" s="7">
        <f>IFERROR('Cleaned Data'!R446/'Cleaned Data'!L446,0)</f>
        <v>99883.307499999995</v>
      </c>
      <c r="Z446" t="str">
        <f>TEXT(EV_Sales[[#This Row],[Order_Date]],"mmm-yyyy")</f>
        <v>Apr-2025</v>
      </c>
      <c r="AA446">
        <f>MONTH(EV_Sales[[#This Row],[Order_Date]])</f>
        <v>4</v>
      </c>
      <c r="AB446" s="12" t="str">
        <f>"Q"&amp;ROUNDUP(MONTH(EV_Sales[[#This Row],[Order_Date]])/3,0)</f>
        <v>Q2</v>
      </c>
    </row>
    <row r="447" spans="1:28" x14ac:dyDescent="0.3">
      <c r="A447" t="s">
        <v>552</v>
      </c>
      <c r="B447" s="2">
        <v>45686</v>
      </c>
      <c r="C447" t="s">
        <v>44</v>
      </c>
      <c r="D447" t="s">
        <v>45</v>
      </c>
      <c r="E447" t="s">
        <v>24</v>
      </c>
      <c r="F447" t="s">
        <v>101</v>
      </c>
      <c r="G447" t="s">
        <v>67</v>
      </c>
      <c r="H447" t="s">
        <v>809</v>
      </c>
      <c r="I447" t="str">
        <f>IF('Cleaned Data'!H447="Emi","EMI",'Cleaned Data'!H447)</f>
        <v>EMI</v>
      </c>
      <c r="J447" t="s">
        <v>48</v>
      </c>
      <c r="K447" t="s">
        <v>92</v>
      </c>
      <c r="L447">
        <v>4</v>
      </c>
      <c r="M447" s="9">
        <v>142651</v>
      </c>
      <c r="N447" s="4">
        <v>5.2999999999999999E-2</v>
      </c>
      <c r="O447" s="4">
        <f t="shared" si="6"/>
        <v>5.2999999999999999E-2</v>
      </c>
      <c r="P447" s="11">
        <v>570604</v>
      </c>
      <c r="Q447" s="9">
        <v>30242.01</v>
      </c>
      <c r="R447" s="9">
        <v>540361.99</v>
      </c>
      <c r="S447">
        <v>3</v>
      </c>
      <c r="T447">
        <v>174</v>
      </c>
      <c r="U447">
        <v>4.5999999999999996</v>
      </c>
      <c r="V447">
        <v>14</v>
      </c>
      <c r="W447">
        <f>IF('Cleaned Data'!V447&lt;0,"Review",'Cleaned Data'!V447)</f>
        <v>14</v>
      </c>
      <c r="X447">
        <v>5</v>
      </c>
      <c r="Y447" s="7">
        <f>IFERROR('Cleaned Data'!R447/'Cleaned Data'!L447,0)</f>
        <v>135090.4975</v>
      </c>
      <c r="Z447" t="str">
        <f>TEXT(EV_Sales[[#This Row],[Order_Date]],"mmm-yyyy")</f>
        <v>Jan-2025</v>
      </c>
      <c r="AA447">
        <f>MONTH(EV_Sales[[#This Row],[Order_Date]])</f>
        <v>1</v>
      </c>
      <c r="AB447" s="12" t="str">
        <f>"Q"&amp;ROUNDUP(MONTH(EV_Sales[[#This Row],[Order_Date]])/3,0)</f>
        <v>Q1</v>
      </c>
    </row>
    <row r="448" spans="1:28" x14ac:dyDescent="0.3">
      <c r="A448" t="s">
        <v>553</v>
      </c>
      <c r="B448" s="2">
        <v>45721</v>
      </c>
      <c r="C448" t="s">
        <v>31</v>
      </c>
      <c r="D448" t="s">
        <v>32</v>
      </c>
      <c r="E448" t="s">
        <v>46</v>
      </c>
      <c r="F448" t="s">
        <v>74</v>
      </c>
      <c r="G448" t="s">
        <v>67</v>
      </c>
      <c r="H448" t="s">
        <v>809</v>
      </c>
      <c r="I448" t="str">
        <f>IF('Cleaned Data'!H448="Emi","EMI",'Cleaned Data'!H448)</f>
        <v>EMI</v>
      </c>
      <c r="J448" t="s">
        <v>28</v>
      </c>
      <c r="K448" t="s">
        <v>157</v>
      </c>
      <c r="L448">
        <v>1</v>
      </c>
      <c r="M448" s="9">
        <v>107540</v>
      </c>
      <c r="N448" s="4">
        <v>0.12</v>
      </c>
      <c r="O448" s="4">
        <f t="shared" si="6"/>
        <v>0.12</v>
      </c>
      <c r="P448" s="11">
        <v>107540</v>
      </c>
      <c r="Q448" s="9">
        <v>12904.8</v>
      </c>
      <c r="R448" s="9">
        <v>94635.199999999997</v>
      </c>
      <c r="S448">
        <v>5</v>
      </c>
      <c r="T448">
        <v>203</v>
      </c>
      <c r="U448">
        <v>4.0999999999999996</v>
      </c>
      <c r="V448">
        <v>11</v>
      </c>
      <c r="W448">
        <f>IF('Cleaned Data'!V448&lt;0,"Review",'Cleaned Data'!V448)</f>
        <v>11</v>
      </c>
      <c r="X448">
        <v>3</v>
      </c>
      <c r="Y448" s="7">
        <f>IFERROR('Cleaned Data'!R448/'Cleaned Data'!L448,0)</f>
        <v>94635.199999999997</v>
      </c>
      <c r="Z448" t="str">
        <f>TEXT(EV_Sales[[#This Row],[Order_Date]],"mmm-yyyy")</f>
        <v>Mar-2025</v>
      </c>
      <c r="AA448">
        <f>MONTH(EV_Sales[[#This Row],[Order_Date]])</f>
        <v>3</v>
      </c>
      <c r="AB448" s="12" t="str">
        <f>"Q"&amp;ROUNDUP(MONTH(EV_Sales[[#This Row],[Order_Date]])/3,0)</f>
        <v>Q1</v>
      </c>
    </row>
    <row r="449" spans="1:28" x14ac:dyDescent="0.3">
      <c r="A449" t="s">
        <v>554</v>
      </c>
      <c r="B449" s="2">
        <v>45951</v>
      </c>
      <c r="C449" t="s">
        <v>99</v>
      </c>
      <c r="D449" t="s">
        <v>141</v>
      </c>
      <c r="E449" t="s">
        <v>46</v>
      </c>
      <c r="F449" t="s">
        <v>52</v>
      </c>
      <c r="G449" t="s">
        <v>26</v>
      </c>
      <c r="H449" t="s">
        <v>809</v>
      </c>
      <c r="I449" t="str">
        <f>IF('Cleaned Data'!H449="Emi","EMI",'Cleaned Data'!H449)</f>
        <v>EMI</v>
      </c>
      <c r="J449" t="s">
        <v>36</v>
      </c>
      <c r="K449" t="s">
        <v>42</v>
      </c>
      <c r="L449">
        <v>3</v>
      </c>
      <c r="M449" s="9">
        <v>147494</v>
      </c>
      <c r="N449" s="4">
        <v>0.06</v>
      </c>
      <c r="O449" s="4">
        <f t="shared" si="6"/>
        <v>0.06</v>
      </c>
      <c r="P449" s="11">
        <v>442482</v>
      </c>
      <c r="Q449" s="9">
        <v>26548.92</v>
      </c>
      <c r="R449" s="9">
        <v>415933.08</v>
      </c>
      <c r="S449">
        <v>5</v>
      </c>
      <c r="T449">
        <v>216</v>
      </c>
      <c r="U449">
        <v>3.9</v>
      </c>
      <c r="V449">
        <v>5</v>
      </c>
      <c r="W449">
        <f>IF('Cleaned Data'!V449&lt;0,"Review",'Cleaned Data'!V449)</f>
        <v>5</v>
      </c>
      <c r="X449">
        <v>2</v>
      </c>
      <c r="Y449" s="7">
        <f>IFERROR('Cleaned Data'!R449/'Cleaned Data'!L449,0)</f>
        <v>138644.36000000002</v>
      </c>
      <c r="Z449" t="str">
        <f>TEXT(EV_Sales[[#This Row],[Order_Date]],"mmm-yyyy")</f>
        <v>Oct-2025</v>
      </c>
      <c r="AA449">
        <f>MONTH(EV_Sales[[#This Row],[Order_Date]])</f>
        <v>10</v>
      </c>
      <c r="AB449" s="12" t="str">
        <f>"Q"&amp;ROUNDUP(MONTH(EV_Sales[[#This Row],[Order_Date]])/3,0)</f>
        <v>Q4</v>
      </c>
    </row>
    <row r="450" spans="1:28" x14ac:dyDescent="0.3">
      <c r="A450" t="s">
        <v>555</v>
      </c>
      <c r="B450" s="2">
        <v>45905</v>
      </c>
      <c r="C450" t="s">
        <v>44</v>
      </c>
      <c r="D450" t="s">
        <v>51</v>
      </c>
      <c r="E450" t="s">
        <v>46</v>
      </c>
      <c r="F450" t="s">
        <v>66</v>
      </c>
      <c r="G450" t="s">
        <v>26</v>
      </c>
      <c r="H450" t="s">
        <v>27</v>
      </c>
      <c r="I450" t="str">
        <f>IF('Cleaned Data'!H450="Emi","EMI",'Cleaned Data'!H450)</f>
        <v>Finance</v>
      </c>
      <c r="J450" t="s">
        <v>94</v>
      </c>
      <c r="K450" t="s">
        <v>123</v>
      </c>
      <c r="L450">
        <v>2</v>
      </c>
      <c r="M450" s="9">
        <v>129065</v>
      </c>
      <c r="N450" s="4">
        <v>3.5000000000000003E-2</v>
      </c>
      <c r="O450" s="4">
        <f t="shared" ref="O450:O513" si="7">IF(TRIM(N450&amp;"")="","missing",N450)</f>
        <v>3.5000000000000003E-2</v>
      </c>
      <c r="P450" s="11">
        <v>258130</v>
      </c>
      <c r="Q450" s="9">
        <v>9034.5499999999993</v>
      </c>
      <c r="R450" s="9">
        <v>249095.45</v>
      </c>
      <c r="S450">
        <v>5</v>
      </c>
      <c r="T450">
        <v>203</v>
      </c>
      <c r="U450">
        <v>3.5</v>
      </c>
      <c r="V450">
        <v>3</v>
      </c>
      <c r="W450">
        <f>IF('Cleaned Data'!V450&lt;0,"Review",'Cleaned Data'!V450)</f>
        <v>3</v>
      </c>
      <c r="X450">
        <v>5</v>
      </c>
      <c r="Y450" s="7">
        <f>IFERROR('Cleaned Data'!R450/'Cleaned Data'!L450,0)</f>
        <v>124547.72500000001</v>
      </c>
      <c r="Z450" t="str">
        <f>TEXT(EV_Sales[[#This Row],[Order_Date]],"mmm-yyyy")</f>
        <v>Sep-2025</v>
      </c>
      <c r="AA450">
        <f>MONTH(EV_Sales[[#This Row],[Order_Date]])</f>
        <v>9</v>
      </c>
      <c r="AB450" s="12" t="str">
        <f>"Q"&amp;ROUNDUP(MONTH(EV_Sales[[#This Row],[Order_Date]])/3,0)</f>
        <v>Q3</v>
      </c>
    </row>
    <row r="451" spans="1:28" x14ac:dyDescent="0.3">
      <c r="A451" t="s">
        <v>556</v>
      </c>
      <c r="B451" s="2">
        <v>45688</v>
      </c>
      <c r="C451" t="s">
        <v>44</v>
      </c>
      <c r="D451" t="s">
        <v>51</v>
      </c>
      <c r="E451" t="s">
        <v>46</v>
      </c>
      <c r="F451" t="s">
        <v>25</v>
      </c>
      <c r="G451" t="s">
        <v>67</v>
      </c>
      <c r="H451" t="s">
        <v>809</v>
      </c>
      <c r="I451" t="str">
        <f>IF('Cleaned Data'!H451="Emi","EMI",'Cleaned Data'!H451)</f>
        <v>EMI</v>
      </c>
      <c r="J451" t="s">
        <v>94</v>
      </c>
      <c r="K451" t="s">
        <v>216</v>
      </c>
      <c r="L451">
        <v>1</v>
      </c>
      <c r="M451" s="9">
        <v>117130</v>
      </c>
      <c r="N451" s="4">
        <v>0.09</v>
      </c>
      <c r="O451" s="4">
        <f t="shared" si="7"/>
        <v>0.09</v>
      </c>
      <c r="P451" s="11">
        <v>117130</v>
      </c>
      <c r="Q451" s="9">
        <v>10541.7</v>
      </c>
      <c r="R451" s="9">
        <v>106588.3</v>
      </c>
      <c r="S451">
        <v>2</v>
      </c>
      <c r="T451">
        <v>147</v>
      </c>
      <c r="U451">
        <v>3.9</v>
      </c>
      <c r="V451">
        <v>11</v>
      </c>
      <c r="W451">
        <f>IF('Cleaned Data'!V451&lt;0,"Review",'Cleaned Data'!V451)</f>
        <v>11</v>
      </c>
      <c r="X451">
        <v>2</v>
      </c>
      <c r="Y451" s="7">
        <f>IFERROR('Cleaned Data'!R451/'Cleaned Data'!L451,0)</f>
        <v>106588.3</v>
      </c>
      <c r="Z451" t="str">
        <f>TEXT(EV_Sales[[#This Row],[Order_Date]],"mmm-yyyy")</f>
        <v>Jan-2025</v>
      </c>
      <c r="AA451">
        <f>MONTH(EV_Sales[[#This Row],[Order_Date]])</f>
        <v>1</v>
      </c>
      <c r="AB451" s="12" t="str">
        <f>"Q"&amp;ROUNDUP(MONTH(EV_Sales[[#This Row],[Order_Date]])/3,0)</f>
        <v>Q1</v>
      </c>
    </row>
    <row r="452" spans="1:28" x14ac:dyDescent="0.3">
      <c r="A452" t="s">
        <v>557</v>
      </c>
      <c r="B452" s="2">
        <v>45682</v>
      </c>
      <c r="C452" t="s">
        <v>44</v>
      </c>
      <c r="D452" t="s">
        <v>51</v>
      </c>
      <c r="E452" t="s">
        <v>46</v>
      </c>
      <c r="F452" t="s">
        <v>70</v>
      </c>
      <c r="G452" t="s">
        <v>56</v>
      </c>
      <c r="H452" t="s">
        <v>809</v>
      </c>
      <c r="I452" t="str">
        <f>IF('Cleaned Data'!H452="Emi","EMI",'Cleaned Data'!H452)</f>
        <v>EMI</v>
      </c>
      <c r="J452" t="s">
        <v>36</v>
      </c>
      <c r="K452" t="s">
        <v>49</v>
      </c>
      <c r="L452">
        <v>1</v>
      </c>
      <c r="M452" s="9">
        <v>125654</v>
      </c>
      <c r="N452" s="4">
        <v>6.9000000000000006E-2</v>
      </c>
      <c r="O452" s="4">
        <f t="shared" si="7"/>
        <v>6.9000000000000006E-2</v>
      </c>
      <c r="P452" s="11">
        <v>125654</v>
      </c>
      <c r="Q452" s="9">
        <v>8670.1299999999992</v>
      </c>
      <c r="R452" s="9">
        <v>116983.87</v>
      </c>
      <c r="S452">
        <v>3</v>
      </c>
      <c r="T452">
        <v>151</v>
      </c>
      <c r="U452">
        <v>4.3</v>
      </c>
      <c r="V452">
        <v>14</v>
      </c>
      <c r="W452">
        <f>IF('Cleaned Data'!V452&lt;0,"Review",'Cleaned Data'!V452)</f>
        <v>14</v>
      </c>
      <c r="X452">
        <v>5</v>
      </c>
      <c r="Y452" s="7">
        <f>IFERROR('Cleaned Data'!R452/'Cleaned Data'!L452,0)</f>
        <v>116983.87</v>
      </c>
      <c r="Z452" t="str">
        <f>TEXT(EV_Sales[[#This Row],[Order_Date]],"mmm-yyyy")</f>
        <v>Jan-2025</v>
      </c>
      <c r="AA452">
        <f>MONTH(EV_Sales[[#This Row],[Order_Date]])</f>
        <v>1</v>
      </c>
      <c r="AB452" s="12" t="str">
        <f>"Q"&amp;ROUNDUP(MONTH(EV_Sales[[#This Row],[Order_Date]])/3,0)</f>
        <v>Q1</v>
      </c>
    </row>
    <row r="453" spans="1:28" x14ac:dyDescent="0.3">
      <c r="A453" t="s">
        <v>558</v>
      </c>
      <c r="B453" s="2">
        <v>45935</v>
      </c>
      <c r="C453" t="s">
        <v>60</v>
      </c>
      <c r="D453" t="s">
        <v>61</v>
      </c>
      <c r="E453" t="s">
        <v>24</v>
      </c>
      <c r="F453" t="s">
        <v>41</v>
      </c>
      <c r="G453" t="s">
        <v>34</v>
      </c>
      <c r="H453" t="s">
        <v>53</v>
      </c>
      <c r="I453" t="str">
        <f>IF('Cleaned Data'!H453="Emi","EMI",'Cleaned Data'!H453)</f>
        <v>Cash</v>
      </c>
      <c r="J453" t="s">
        <v>94</v>
      </c>
      <c r="K453" t="s">
        <v>83</v>
      </c>
      <c r="L453">
        <v>1</v>
      </c>
      <c r="M453" s="9">
        <v>108604</v>
      </c>
      <c r="N453" s="4">
        <v>3.2000000000000001E-2</v>
      </c>
      <c r="O453" s="4">
        <f t="shared" si="7"/>
        <v>3.2000000000000001E-2</v>
      </c>
      <c r="P453" s="11">
        <v>108604</v>
      </c>
      <c r="Q453" s="9">
        <v>3475.33</v>
      </c>
      <c r="R453" s="9">
        <v>105128.67</v>
      </c>
      <c r="S453">
        <v>4</v>
      </c>
      <c r="T453">
        <v>189</v>
      </c>
      <c r="U453">
        <v>4.3</v>
      </c>
      <c r="V453">
        <v>9</v>
      </c>
      <c r="W453">
        <f>IF('Cleaned Data'!V453&lt;0,"Review",'Cleaned Data'!V453)</f>
        <v>9</v>
      </c>
      <c r="X453">
        <v>3</v>
      </c>
      <c r="Y453" s="7">
        <f>IFERROR('Cleaned Data'!R453/'Cleaned Data'!L453,0)</f>
        <v>105128.67</v>
      </c>
      <c r="Z453" t="str">
        <f>TEXT(EV_Sales[[#This Row],[Order_Date]],"mmm-yyyy")</f>
        <v>Oct-2025</v>
      </c>
      <c r="AA453">
        <f>MONTH(EV_Sales[[#This Row],[Order_Date]])</f>
        <v>10</v>
      </c>
      <c r="AB453" s="12" t="str">
        <f>"Q"&amp;ROUNDUP(MONTH(EV_Sales[[#This Row],[Order_Date]])/3,0)</f>
        <v>Q4</v>
      </c>
    </row>
    <row r="454" spans="1:28" x14ac:dyDescent="0.3">
      <c r="A454" t="s">
        <v>559</v>
      </c>
      <c r="B454" s="2">
        <v>45913</v>
      </c>
      <c r="C454" t="s">
        <v>22</v>
      </c>
      <c r="D454" t="s">
        <v>107</v>
      </c>
      <c r="E454" t="s">
        <v>24</v>
      </c>
      <c r="F454" t="s">
        <v>41</v>
      </c>
      <c r="G454" t="s">
        <v>67</v>
      </c>
      <c r="H454" t="s">
        <v>809</v>
      </c>
      <c r="I454" t="str">
        <f>IF('Cleaned Data'!H454="Emi","EMI",'Cleaned Data'!H454)</f>
        <v>EMI</v>
      </c>
      <c r="J454" t="s">
        <v>94</v>
      </c>
      <c r="K454" t="s">
        <v>109</v>
      </c>
      <c r="L454">
        <v>1</v>
      </c>
      <c r="M454" s="9">
        <v>136748</v>
      </c>
      <c r="N454" s="4">
        <v>0.107</v>
      </c>
      <c r="O454" s="4">
        <f t="shared" si="7"/>
        <v>0.107</v>
      </c>
      <c r="P454" s="11">
        <v>136748</v>
      </c>
      <c r="Q454" s="9">
        <v>14632.04</v>
      </c>
      <c r="R454" s="9">
        <v>122115.96</v>
      </c>
      <c r="S454">
        <v>3</v>
      </c>
      <c r="T454">
        <v>157</v>
      </c>
      <c r="U454">
        <v>4.2</v>
      </c>
      <c r="V454">
        <v>14</v>
      </c>
      <c r="W454">
        <f>IF('Cleaned Data'!V454&lt;0,"Review",'Cleaned Data'!V454)</f>
        <v>14</v>
      </c>
      <c r="X454">
        <v>5</v>
      </c>
      <c r="Y454" s="7">
        <f>IFERROR('Cleaned Data'!R454/'Cleaned Data'!L454,0)</f>
        <v>122115.96</v>
      </c>
      <c r="Z454" t="str">
        <f>TEXT(EV_Sales[[#This Row],[Order_Date]],"mmm-yyyy")</f>
        <v>Sep-2025</v>
      </c>
      <c r="AA454">
        <f>MONTH(EV_Sales[[#This Row],[Order_Date]])</f>
        <v>9</v>
      </c>
      <c r="AB454" s="12" t="str">
        <f>"Q"&amp;ROUNDUP(MONTH(EV_Sales[[#This Row],[Order_Date]])/3,0)</f>
        <v>Q3</v>
      </c>
    </row>
    <row r="455" spans="1:28" x14ac:dyDescent="0.3">
      <c r="A455" t="s">
        <v>560</v>
      </c>
      <c r="B455" s="2">
        <v>45987</v>
      </c>
      <c r="C455" t="s">
        <v>31</v>
      </c>
      <c r="D455" t="s">
        <v>97</v>
      </c>
      <c r="E455" t="s">
        <v>46</v>
      </c>
      <c r="F455" t="s">
        <v>66</v>
      </c>
      <c r="G455" t="s">
        <v>67</v>
      </c>
      <c r="H455" t="s">
        <v>27</v>
      </c>
      <c r="I455" t="str">
        <f>IF('Cleaned Data'!H455="Emi","EMI",'Cleaned Data'!H455)</f>
        <v>Finance</v>
      </c>
      <c r="J455" t="s">
        <v>57</v>
      </c>
      <c r="K455" t="s">
        <v>64</v>
      </c>
      <c r="L455">
        <v>4</v>
      </c>
      <c r="M455" s="9">
        <v>124507</v>
      </c>
      <c r="N455" s="4">
        <v>0.107</v>
      </c>
      <c r="O455" s="4">
        <f t="shared" si="7"/>
        <v>0.107</v>
      </c>
      <c r="P455" s="11">
        <v>498028</v>
      </c>
      <c r="Q455" s="9">
        <v>53289</v>
      </c>
      <c r="R455" s="9">
        <v>444739</v>
      </c>
      <c r="S455">
        <v>4</v>
      </c>
      <c r="T455">
        <v>179</v>
      </c>
      <c r="U455">
        <v>3.6</v>
      </c>
      <c r="V455">
        <v>11</v>
      </c>
      <c r="W455">
        <f>IF('Cleaned Data'!V455&lt;0,"Review",'Cleaned Data'!V455)</f>
        <v>11</v>
      </c>
      <c r="X455">
        <v>3</v>
      </c>
      <c r="Y455" s="7">
        <f>IFERROR('Cleaned Data'!R455/'Cleaned Data'!L455,0)</f>
        <v>111184.75</v>
      </c>
      <c r="Z455" t="str">
        <f>TEXT(EV_Sales[[#This Row],[Order_Date]],"mmm-yyyy")</f>
        <v>Nov-2025</v>
      </c>
      <c r="AA455">
        <f>MONTH(EV_Sales[[#This Row],[Order_Date]])</f>
        <v>11</v>
      </c>
      <c r="AB455" s="12" t="str">
        <f>"Q"&amp;ROUNDUP(MONTH(EV_Sales[[#This Row],[Order_Date]])/3,0)</f>
        <v>Q4</v>
      </c>
    </row>
    <row r="456" spans="1:28" x14ac:dyDescent="0.3">
      <c r="A456" t="s">
        <v>561</v>
      </c>
      <c r="B456" s="2">
        <v>45936</v>
      </c>
      <c r="C456" t="s">
        <v>76</v>
      </c>
      <c r="D456" t="s">
        <v>77</v>
      </c>
      <c r="E456" t="s">
        <v>62</v>
      </c>
      <c r="F456" t="s">
        <v>74</v>
      </c>
      <c r="G456" t="s">
        <v>56</v>
      </c>
      <c r="H456" t="s">
        <v>27</v>
      </c>
      <c r="I456" t="str">
        <f>IF('Cleaned Data'!H456="Emi","EMI",'Cleaned Data'!H456)</f>
        <v>Finance</v>
      </c>
      <c r="J456" t="s">
        <v>57</v>
      </c>
      <c r="K456" t="s">
        <v>64</v>
      </c>
      <c r="L456">
        <v>2</v>
      </c>
      <c r="M456" s="9">
        <v>155590</v>
      </c>
      <c r="N456" s="4">
        <v>7.3999999999999996E-2</v>
      </c>
      <c r="O456" s="4">
        <f t="shared" si="7"/>
        <v>7.3999999999999996E-2</v>
      </c>
      <c r="P456" s="11">
        <v>311180</v>
      </c>
      <c r="Q456" s="9">
        <v>23027.32</v>
      </c>
      <c r="R456" s="9">
        <v>288152.68</v>
      </c>
      <c r="S456">
        <v>3</v>
      </c>
      <c r="T456">
        <v>163</v>
      </c>
      <c r="U456">
        <v>4.5999999999999996</v>
      </c>
      <c r="V456">
        <v>14</v>
      </c>
      <c r="W456">
        <f>IF('Cleaned Data'!V456&lt;0,"Review",'Cleaned Data'!V456)</f>
        <v>14</v>
      </c>
      <c r="X456">
        <v>3</v>
      </c>
      <c r="Y456" s="7">
        <f>IFERROR('Cleaned Data'!R456/'Cleaned Data'!L456,0)</f>
        <v>144076.34</v>
      </c>
      <c r="Z456" t="str">
        <f>TEXT(EV_Sales[[#This Row],[Order_Date]],"mmm-yyyy")</f>
        <v>Oct-2025</v>
      </c>
      <c r="AA456">
        <f>MONTH(EV_Sales[[#This Row],[Order_Date]])</f>
        <v>10</v>
      </c>
      <c r="AB456" s="12" t="str">
        <f>"Q"&amp;ROUNDUP(MONTH(EV_Sales[[#This Row],[Order_Date]])/3,0)</f>
        <v>Q4</v>
      </c>
    </row>
    <row r="457" spans="1:28" x14ac:dyDescent="0.3">
      <c r="A457" t="s">
        <v>562</v>
      </c>
      <c r="B457" s="2">
        <v>45674</v>
      </c>
      <c r="C457" t="s">
        <v>563</v>
      </c>
      <c r="D457" t="s">
        <v>97</v>
      </c>
      <c r="E457" t="s">
        <v>62</v>
      </c>
      <c r="F457" t="s">
        <v>101</v>
      </c>
      <c r="G457" t="s">
        <v>67</v>
      </c>
      <c r="H457" t="s">
        <v>53</v>
      </c>
      <c r="I457" t="str">
        <f>IF('Cleaned Data'!H457="Emi","EMI",'Cleaned Data'!H457)</f>
        <v>Cash</v>
      </c>
      <c r="J457" t="s">
        <v>28</v>
      </c>
      <c r="K457" t="s">
        <v>92</v>
      </c>
      <c r="L457">
        <v>4</v>
      </c>
      <c r="M457" s="9">
        <v>138731</v>
      </c>
      <c r="N457" s="4">
        <v>0.08</v>
      </c>
      <c r="O457" s="4">
        <f t="shared" si="7"/>
        <v>0.08</v>
      </c>
      <c r="P457" s="11">
        <v>554924</v>
      </c>
      <c r="Q457" s="9">
        <v>44393.919999999998</v>
      </c>
      <c r="R457" s="9">
        <v>510530.08</v>
      </c>
      <c r="S457">
        <v>4</v>
      </c>
      <c r="T457">
        <v>186</v>
      </c>
      <c r="U457">
        <v>4.0999999999999996</v>
      </c>
      <c r="V457">
        <v>9</v>
      </c>
      <c r="W457">
        <f>IF('Cleaned Data'!V457&lt;0,"Review",'Cleaned Data'!V457)</f>
        <v>9</v>
      </c>
      <c r="X457">
        <v>2</v>
      </c>
      <c r="Y457" s="7">
        <f>IFERROR('Cleaned Data'!R457/'Cleaned Data'!L457,0)</f>
        <v>127632.52</v>
      </c>
      <c r="Z457" t="str">
        <f>TEXT(EV_Sales[[#This Row],[Order_Date]],"mmm-yyyy")</f>
        <v>Jan-2025</v>
      </c>
      <c r="AA457">
        <f>MONTH(EV_Sales[[#This Row],[Order_Date]])</f>
        <v>1</v>
      </c>
      <c r="AB457" s="12" t="str">
        <f>"Q"&amp;ROUNDUP(MONTH(EV_Sales[[#This Row],[Order_Date]])/3,0)</f>
        <v>Q1</v>
      </c>
    </row>
    <row r="458" spans="1:28" x14ac:dyDescent="0.3">
      <c r="A458" t="s">
        <v>564</v>
      </c>
      <c r="B458" s="2">
        <v>45929</v>
      </c>
      <c r="C458" t="s">
        <v>31</v>
      </c>
      <c r="D458" t="s">
        <v>97</v>
      </c>
      <c r="E458" t="s">
        <v>24</v>
      </c>
      <c r="F458" t="s">
        <v>52</v>
      </c>
      <c r="G458" t="s">
        <v>56</v>
      </c>
      <c r="H458" t="s">
        <v>53</v>
      </c>
      <c r="I458" t="str">
        <f>IF('Cleaned Data'!H458="Emi","EMI",'Cleaned Data'!H458)</f>
        <v>Cash</v>
      </c>
      <c r="J458" t="s">
        <v>48</v>
      </c>
      <c r="K458" t="s">
        <v>148</v>
      </c>
      <c r="L458">
        <v>4</v>
      </c>
      <c r="M458" s="9">
        <v>127484</v>
      </c>
      <c r="N458" s="4">
        <v>2.8000000000000001E-2</v>
      </c>
      <c r="O458" s="4">
        <f t="shared" si="7"/>
        <v>2.8000000000000001E-2</v>
      </c>
      <c r="P458" s="11">
        <v>509936</v>
      </c>
      <c r="Q458" s="9">
        <v>14278.21</v>
      </c>
      <c r="R458" s="9">
        <v>495657.79</v>
      </c>
      <c r="S458">
        <v>3</v>
      </c>
      <c r="T458">
        <v>149</v>
      </c>
      <c r="U458">
        <v>4.5999999999999996</v>
      </c>
      <c r="V458">
        <v>2</v>
      </c>
      <c r="W458">
        <f>IF('Cleaned Data'!V458&lt;0,"Review",'Cleaned Data'!V458)</f>
        <v>2</v>
      </c>
      <c r="X458">
        <v>2</v>
      </c>
      <c r="Y458" s="7">
        <f>IFERROR('Cleaned Data'!R458/'Cleaned Data'!L458,0)</f>
        <v>123914.44749999999</v>
      </c>
      <c r="Z458" t="str">
        <f>TEXT(EV_Sales[[#This Row],[Order_Date]],"mmm-yyyy")</f>
        <v>Sep-2025</v>
      </c>
      <c r="AA458">
        <f>MONTH(EV_Sales[[#This Row],[Order_Date]])</f>
        <v>9</v>
      </c>
      <c r="AB458" s="12" t="str">
        <f>"Q"&amp;ROUNDUP(MONTH(EV_Sales[[#This Row],[Order_Date]])/3,0)</f>
        <v>Q3</v>
      </c>
    </row>
    <row r="459" spans="1:28" x14ac:dyDescent="0.3">
      <c r="A459" t="s">
        <v>565</v>
      </c>
      <c r="B459" s="2">
        <v>45974</v>
      </c>
      <c r="C459" t="s">
        <v>44</v>
      </c>
      <c r="D459" t="s">
        <v>45</v>
      </c>
      <c r="E459" t="s">
        <v>24</v>
      </c>
      <c r="F459" t="s">
        <v>80</v>
      </c>
      <c r="G459" t="s">
        <v>56</v>
      </c>
      <c r="H459" t="s">
        <v>27</v>
      </c>
      <c r="I459" t="str">
        <f>IF('Cleaned Data'!H459="Emi","EMI",'Cleaned Data'!H459)</f>
        <v>Finance</v>
      </c>
      <c r="J459" t="s">
        <v>48</v>
      </c>
      <c r="K459" t="s">
        <v>85</v>
      </c>
      <c r="L459">
        <v>1</v>
      </c>
      <c r="M459" s="9">
        <v>151274</v>
      </c>
      <c r="N459" s="4">
        <v>4.9000000000000002E-2</v>
      </c>
      <c r="O459" s="4">
        <f t="shared" si="7"/>
        <v>4.9000000000000002E-2</v>
      </c>
      <c r="P459" s="11">
        <v>151274</v>
      </c>
      <c r="Q459" s="9">
        <v>7412.43</v>
      </c>
      <c r="R459" s="9">
        <v>143861.57</v>
      </c>
      <c r="S459">
        <v>4</v>
      </c>
      <c r="T459">
        <v>169</v>
      </c>
      <c r="U459">
        <v>5</v>
      </c>
      <c r="V459">
        <v>10</v>
      </c>
      <c r="W459">
        <f>IF('Cleaned Data'!V459&lt;0,"Review",'Cleaned Data'!V459)</f>
        <v>10</v>
      </c>
      <c r="X459">
        <v>3</v>
      </c>
      <c r="Y459" s="7">
        <f>IFERROR('Cleaned Data'!R459/'Cleaned Data'!L459,0)</f>
        <v>143861.57</v>
      </c>
      <c r="Z459" t="str">
        <f>TEXT(EV_Sales[[#This Row],[Order_Date]],"mmm-yyyy")</f>
        <v>Nov-2025</v>
      </c>
      <c r="AA459">
        <f>MONTH(EV_Sales[[#This Row],[Order_Date]])</f>
        <v>11</v>
      </c>
      <c r="AB459" s="12" t="str">
        <f>"Q"&amp;ROUNDUP(MONTH(EV_Sales[[#This Row],[Order_Date]])/3,0)</f>
        <v>Q4</v>
      </c>
    </row>
    <row r="460" spans="1:28" x14ac:dyDescent="0.3">
      <c r="A460" t="s">
        <v>566</v>
      </c>
      <c r="B460" s="2">
        <v>45942</v>
      </c>
      <c r="C460" t="s">
        <v>39</v>
      </c>
      <c r="D460" t="s">
        <v>40</v>
      </c>
      <c r="E460" t="s">
        <v>24</v>
      </c>
      <c r="F460" t="s">
        <v>47</v>
      </c>
      <c r="G460" t="s">
        <v>67</v>
      </c>
      <c r="H460" t="s">
        <v>27</v>
      </c>
      <c r="I460" t="str">
        <f>IF('Cleaned Data'!H460="Emi","EMI",'Cleaned Data'!H460)</f>
        <v>Finance</v>
      </c>
      <c r="J460" t="s">
        <v>57</v>
      </c>
      <c r="K460" t="s">
        <v>54</v>
      </c>
      <c r="L460">
        <v>1</v>
      </c>
      <c r="M460" s="9">
        <v>120624</v>
      </c>
      <c r="N460" s="4">
        <v>6.9000000000000006E-2</v>
      </c>
      <c r="O460" s="4">
        <f t="shared" si="7"/>
        <v>6.9000000000000006E-2</v>
      </c>
      <c r="P460" s="11">
        <v>120624</v>
      </c>
      <c r="Q460" s="9">
        <v>8323.06</v>
      </c>
      <c r="R460" s="9">
        <v>112300.94</v>
      </c>
      <c r="S460">
        <v>2</v>
      </c>
      <c r="T460">
        <v>145</v>
      </c>
      <c r="U460">
        <v>4.2</v>
      </c>
      <c r="V460">
        <v>5</v>
      </c>
      <c r="W460">
        <f>IF('Cleaned Data'!V460&lt;0,"Review",'Cleaned Data'!V460)</f>
        <v>5</v>
      </c>
      <c r="X460">
        <v>3</v>
      </c>
      <c r="Y460" s="7">
        <f>IFERROR('Cleaned Data'!R460/'Cleaned Data'!L460,0)</f>
        <v>112300.94</v>
      </c>
      <c r="Z460" t="str">
        <f>TEXT(EV_Sales[[#This Row],[Order_Date]],"mmm-yyyy")</f>
        <v>Oct-2025</v>
      </c>
      <c r="AA460">
        <f>MONTH(EV_Sales[[#This Row],[Order_Date]])</f>
        <v>10</v>
      </c>
      <c r="AB460" s="12" t="str">
        <f>"Q"&amp;ROUNDUP(MONTH(EV_Sales[[#This Row],[Order_Date]])/3,0)</f>
        <v>Q4</v>
      </c>
    </row>
    <row r="461" spans="1:28" x14ac:dyDescent="0.3">
      <c r="A461" t="s">
        <v>567</v>
      </c>
      <c r="B461" s="2">
        <v>45985</v>
      </c>
      <c r="C461" t="s">
        <v>39</v>
      </c>
      <c r="D461" t="s">
        <v>154</v>
      </c>
      <c r="E461" t="s">
        <v>62</v>
      </c>
      <c r="F461" t="s">
        <v>33</v>
      </c>
      <c r="G461" t="s">
        <v>34</v>
      </c>
      <c r="H461" t="s">
        <v>809</v>
      </c>
      <c r="I461" t="str">
        <f>IF('Cleaned Data'!H461="Emi","EMI",'Cleaned Data'!H461)</f>
        <v>EMI</v>
      </c>
      <c r="J461" t="s">
        <v>63</v>
      </c>
      <c r="K461" t="s">
        <v>131</v>
      </c>
      <c r="L461">
        <v>1</v>
      </c>
      <c r="M461" s="9">
        <v>186135</v>
      </c>
      <c r="N461" s="4">
        <v>2.5000000000000001E-2</v>
      </c>
      <c r="O461" s="4">
        <f t="shared" si="7"/>
        <v>2.5000000000000001E-2</v>
      </c>
      <c r="P461" s="11">
        <v>186135</v>
      </c>
      <c r="Q461" s="9">
        <v>4653.38</v>
      </c>
      <c r="R461" s="9">
        <v>181481.62</v>
      </c>
      <c r="S461">
        <v>2</v>
      </c>
      <c r="T461">
        <v>153</v>
      </c>
      <c r="U461">
        <v>4.4000000000000004</v>
      </c>
      <c r="V461">
        <v>5</v>
      </c>
      <c r="W461">
        <f>IF('Cleaned Data'!V461&lt;0,"Review",'Cleaned Data'!V461)</f>
        <v>5</v>
      </c>
      <c r="X461">
        <v>3</v>
      </c>
      <c r="Y461" s="7">
        <f>IFERROR('Cleaned Data'!R461/'Cleaned Data'!L461,0)</f>
        <v>181481.62</v>
      </c>
      <c r="Z461" t="str">
        <f>TEXT(EV_Sales[[#This Row],[Order_Date]],"mmm-yyyy")</f>
        <v>Nov-2025</v>
      </c>
      <c r="AA461">
        <f>MONTH(EV_Sales[[#This Row],[Order_Date]])</f>
        <v>11</v>
      </c>
      <c r="AB461" s="12" t="str">
        <f>"Q"&amp;ROUNDUP(MONTH(EV_Sales[[#This Row],[Order_Date]])/3,0)</f>
        <v>Q4</v>
      </c>
    </row>
    <row r="462" spans="1:28" x14ac:dyDescent="0.3">
      <c r="A462" t="s">
        <v>568</v>
      </c>
      <c r="B462" s="2">
        <v>45686</v>
      </c>
      <c r="C462" t="s">
        <v>60</v>
      </c>
      <c r="D462" t="s">
        <v>69</v>
      </c>
      <c r="E462" t="s">
        <v>24</v>
      </c>
      <c r="F462" t="s">
        <v>33</v>
      </c>
      <c r="G462" t="s">
        <v>56</v>
      </c>
      <c r="H462" t="s">
        <v>27</v>
      </c>
      <c r="I462" t="str">
        <f>IF('Cleaned Data'!H462="Emi","EMI",'Cleaned Data'!H462)</f>
        <v>Finance</v>
      </c>
      <c r="J462" t="s">
        <v>63</v>
      </c>
      <c r="K462" t="s">
        <v>197</v>
      </c>
      <c r="L462">
        <v>2</v>
      </c>
      <c r="M462" s="9">
        <v>99839</v>
      </c>
      <c r="N462" s="4">
        <v>2.1999999999999999E-2</v>
      </c>
      <c r="O462" s="4">
        <f t="shared" si="7"/>
        <v>2.1999999999999999E-2</v>
      </c>
      <c r="P462" s="11">
        <v>199678</v>
      </c>
      <c r="Q462" s="9">
        <v>4392.92</v>
      </c>
      <c r="R462" s="9">
        <v>195285.08</v>
      </c>
      <c r="S462">
        <v>2</v>
      </c>
      <c r="T462">
        <v>154</v>
      </c>
      <c r="U462">
        <v>4</v>
      </c>
      <c r="V462">
        <v>8</v>
      </c>
      <c r="W462">
        <f>IF('Cleaned Data'!V462&lt;0,"Review",'Cleaned Data'!V462)</f>
        <v>8</v>
      </c>
      <c r="X462">
        <v>5</v>
      </c>
      <c r="Y462" s="7">
        <f>IFERROR('Cleaned Data'!R462/'Cleaned Data'!L462,0)</f>
        <v>97642.54</v>
      </c>
      <c r="Z462" t="str">
        <f>TEXT(EV_Sales[[#This Row],[Order_Date]],"mmm-yyyy")</f>
        <v>Jan-2025</v>
      </c>
      <c r="AA462">
        <f>MONTH(EV_Sales[[#This Row],[Order_Date]])</f>
        <v>1</v>
      </c>
      <c r="AB462" s="12" t="str">
        <f>"Q"&amp;ROUNDUP(MONTH(EV_Sales[[#This Row],[Order_Date]])/3,0)</f>
        <v>Q1</v>
      </c>
    </row>
    <row r="463" spans="1:28" x14ac:dyDescent="0.3">
      <c r="A463" t="s">
        <v>569</v>
      </c>
      <c r="B463" s="2">
        <v>45886</v>
      </c>
      <c r="C463" t="s">
        <v>60</v>
      </c>
      <c r="D463" t="s">
        <v>69</v>
      </c>
      <c r="E463" t="s">
        <v>62</v>
      </c>
      <c r="F463" t="s">
        <v>66</v>
      </c>
      <c r="G463" t="s">
        <v>67</v>
      </c>
      <c r="H463" t="s">
        <v>53</v>
      </c>
      <c r="I463" t="str">
        <f>IF('Cleaned Data'!H463="Emi","EMI",'Cleaned Data'!H463)</f>
        <v>Cash</v>
      </c>
      <c r="J463" t="s">
        <v>48</v>
      </c>
      <c r="K463" t="s">
        <v>138</v>
      </c>
      <c r="L463">
        <v>3</v>
      </c>
      <c r="M463" s="9">
        <v>100100</v>
      </c>
      <c r="N463" s="4">
        <v>2.3E-2</v>
      </c>
      <c r="O463" s="4">
        <f t="shared" si="7"/>
        <v>2.3E-2</v>
      </c>
      <c r="P463" s="11">
        <v>300300</v>
      </c>
      <c r="Q463" s="9">
        <v>6906.9</v>
      </c>
      <c r="R463" s="9">
        <v>293393.09999999998</v>
      </c>
      <c r="S463">
        <v>3</v>
      </c>
      <c r="T463">
        <v>152</v>
      </c>
      <c r="U463">
        <v>4.3</v>
      </c>
      <c r="V463">
        <v>8</v>
      </c>
      <c r="W463">
        <f>IF('Cleaned Data'!V463&lt;0,"Review",'Cleaned Data'!V463)</f>
        <v>8</v>
      </c>
      <c r="X463">
        <v>3</v>
      </c>
      <c r="Y463" s="7">
        <f>IFERROR('Cleaned Data'!R463/'Cleaned Data'!L463,0)</f>
        <v>97797.7</v>
      </c>
      <c r="Z463" t="str">
        <f>TEXT(EV_Sales[[#This Row],[Order_Date]],"mmm-yyyy")</f>
        <v>Aug-2025</v>
      </c>
      <c r="AA463">
        <f>MONTH(EV_Sales[[#This Row],[Order_Date]])</f>
        <v>8</v>
      </c>
      <c r="AB463" s="12" t="str">
        <f>"Q"&amp;ROUNDUP(MONTH(EV_Sales[[#This Row],[Order_Date]])/3,0)</f>
        <v>Q3</v>
      </c>
    </row>
    <row r="464" spans="1:28" x14ac:dyDescent="0.3">
      <c r="A464" t="s">
        <v>570</v>
      </c>
      <c r="B464" s="2">
        <v>45705</v>
      </c>
      <c r="C464" t="s">
        <v>22</v>
      </c>
      <c r="D464" t="s">
        <v>107</v>
      </c>
      <c r="E464" t="s">
        <v>46</v>
      </c>
      <c r="F464" t="s">
        <v>33</v>
      </c>
      <c r="G464" t="s">
        <v>56</v>
      </c>
      <c r="H464" t="s">
        <v>53</v>
      </c>
      <c r="I464" t="str">
        <f>IF('Cleaned Data'!H464="Emi","EMI",'Cleaned Data'!H464)</f>
        <v>Cash</v>
      </c>
      <c r="J464" t="s">
        <v>94</v>
      </c>
      <c r="K464" t="s">
        <v>157</v>
      </c>
      <c r="L464">
        <v>3</v>
      </c>
      <c r="M464" s="9">
        <v>134633</v>
      </c>
      <c r="N464" s="4">
        <v>0.05</v>
      </c>
      <c r="O464" s="4">
        <f t="shared" si="7"/>
        <v>0.05</v>
      </c>
      <c r="P464" s="11">
        <v>403899</v>
      </c>
      <c r="Q464" s="9">
        <v>20194.95</v>
      </c>
      <c r="R464" s="9">
        <v>383704.05</v>
      </c>
      <c r="S464">
        <v>3</v>
      </c>
      <c r="T464">
        <v>147</v>
      </c>
      <c r="U464">
        <v>3.8</v>
      </c>
      <c r="V464">
        <v>9</v>
      </c>
      <c r="W464">
        <f>IF('Cleaned Data'!V464&lt;0,"Review",'Cleaned Data'!V464)</f>
        <v>9</v>
      </c>
      <c r="X464">
        <v>2</v>
      </c>
      <c r="Y464" s="7">
        <f>IFERROR('Cleaned Data'!R464/'Cleaned Data'!L464,0)</f>
        <v>127901.34999999999</v>
      </c>
      <c r="Z464" t="str">
        <f>TEXT(EV_Sales[[#This Row],[Order_Date]],"mmm-yyyy")</f>
        <v>Feb-2025</v>
      </c>
      <c r="AA464">
        <f>MONTH(EV_Sales[[#This Row],[Order_Date]])</f>
        <v>2</v>
      </c>
      <c r="AB464" s="12" t="str">
        <f>"Q"&amp;ROUNDUP(MONTH(EV_Sales[[#This Row],[Order_Date]])/3,0)</f>
        <v>Q1</v>
      </c>
    </row>
    <row r="465" spans="1:28" x14ac:dyDescent="0.3">
      <c r="A465" t="s">
        <v>571</v>
      </c>
      <c r="B465" s="2">
        <v>45900</v>
      </c>
      <c r="C465" t="s">
        <v>99</v>
      </c>
      <c r="D465" t="s">
        <v>141</v>
      </c>
      <c r="E465" t="s">
        <v>46</v>
      </c>
      <c r="F465" t="s">
        <v>66</v>
      </c>
      <c r="G465" t="s">
        <v>26</v>
      </c>
      <c r="H465" t="s">
        <v>27</v>
      </c>
      <c r="I465" t="str">
        <f>IF('Cleaned Data'!H465="Emi","EMI",'Cleaned Data'!H465)</f>
        <v>Finance</v>
      </c>
      <c r="J465" t="s">
        <v>36</v>
      </c>
      <c r="K465" t="s">
        <v>49</v>
      </c>
      <c r="L465">
        <v>1</v>
      </c>
      <c r="M465" s="9">
        <v>138840</v>
      </c>
      <c r="N465" s="4">
        <v>3.5999999999999997E-2</v>
      </c>
      <c r="O465" s="4">
        <f t="shared" si="7"/>
        <v>3.5999999999999997E-2</v>
      </c>
      <c r="P465" s="11">
        <v>138840</v>
      </c>
      <c r="Q465" s="9">
        <v>4998.24</v>
      </c>
      <c r="R465" s="9">
        <v>133841.76</v>
      </c>
      <c r="S465">
        <v>5</v>
      </c>
      <c r="T465">
        <v>177</v>
      </c>
      <c r="U465">
        <v>4.5</v>
      </c>
      <c r="V465">
        <v>8</v>
      </c>
      <c r="W465">
        <f>IF('Cleaned Data'!V465&lt;0,"Review",'Cleaned Data'!V465)</f>
        <v>8</v>
      </c>
      <c r="X465">
        <v>2</v>
      </c>
      <c r="Y465" s="7">
        <f>IFERROR('Cleaned Data'!R465/'Cleaned Data'!L465,0)</f>
        <v>133841.76</v>
      </c>
      <c r="Z465" t="str">
        <f>TEXT(EV_Sales[[#This Row],[Order_Date]],"mmm-yyyy")</f>
        <v>Aug-2025</v>
      </c>
      <c r="AA465">
        <f>MONTH(EV_Sales[[#This Row],[Order_Date]])</f>
        <v>8</v>
      </c>
      <c r="AB465" s="12" t="str">
        <f>"Q"&amp;ROUNDUP(MONTH(EV_Sales[[#This Row],[Order_Date]])/3,0)</f>
        <v>Q3</v>
      </c>
    </row>
    <row r="466" spans="1:28" x14ac:dyDescent="0.3">
      <c r="A466" t="s">
        <v>572</v>
      </c>
      <c r="B466" s="2">
        <v>45983</v>
      </c>
      <c r="C466" t="s">
        <v>76</v>
      </c>
      <c r="D466" t="s">
        <v>115</v>
      </c>
      <c r="E466" t="s">
        <v>24</v>
      </c>
      <c r="F466" t="s">
        <v>52</v>
      </c>
      <c r="G466" t="s">
        <v>67</v>
      </c>
      <c r="H466" t="s">
        <v>27</v>
      </c>
      <c r="I466" t="str">
        <f>IF('Cleaned Data'!H466="Emi","EMI",'Cleaned Data'!H466)</f>
        <v>Finance</v>
      </c>
      <c r="J466" t="s">
        <v>36</v>
      </c>
      <c r="K466" t="s">
        <v>175</v>
      </c>
      <c r="L466">
        <v>1</v>
      </c>
      <c r="M466" s="9">
        <v>124668</v>
      </c>
      <c r="N466" s="4">
        <v>3.5000000000000003E-2</v>
      </c>
      <c r="O466" s="4">
        <f t="shared" si="7"/>
        <v>3.5000000000000003E-2</v>
      </c>
      <c r="P466" s="11">
        <v>124668</v>
      </c>
      <c r="Q466" s="9">
        <v>4363.38</v>
      </c>
      <c r="R466" s="9">
        <v>120304.62</v>
      </c>
      <c r="S466">
        <v>4</v>
      </c>
      <c r="T466">
        <v>196</v>
      </c>
      <c r="U466">
        <v>4.4000000000000004</v>
      </c>
      <c r="V466">
        <v>12</v>
      </c>
      <c r="W466">
        <f>IF('Cleaned Data'!V466&lt;0,"Review",'Cleaned Data'!V466)</f>
        <v>12</v>
      </c>
      <c r="X466">
        <v>3</v>
      </c>
      <c r="Y466" s="7">
        <f>IFERROR('Cleaned Data'!R466/'Cleaned Data'!L466,0)</f>
        <v>120304.62</v>
      </c>
      <c r="Z466" t="str">
        <f>TEXT(EV_Sales[[#This Row],[Order_Date]],"mmm-yyyy")</f>
        <v>Nov-2025</v>
      </c>
      <c r="AA466">
        <f>MONTH(EV_Sales[[#This Row],[Order_Date]])</f>
        <v>11</v>
      </c>
      <c r="AB466" s="12" t="str">
        <f>"Q"&amp;ROUNDUP(MONTH(EV_Sales[[#This Row],[Order_Date]])/3,0)</f>
        <v>Q4</v>
      </c>
    </row>
    <row r="467" spans="1:28" x14ac:dyDescent="0.3">
      <c r="A467" t="s">
        <v>573</v>
      </c>
      <c r="B467" s="2">
        <v>45813</v>
      </c>
      <c r="C467" t="s">
        <v>76</v>
      </c>
      <c r="D467" t="s">
        <v>117</v>
      </c>
      <c r="E467" t="s">
        <v>24</v>
      </c>
      <c r="F467" t="s">
        <v>47</v>
      </c>
      <c r="G467" t="s">
        <v>34</v>
      </c>
      <c r="H467" t="s">
        <v>27</v>
      </c>
      <c r="I467" t="str">
        <f>IF('Cleaned Data'!H467="Emi","EMI",'Cleaned Data'!H467)</f>
        <v>Finance</v>
      </c>
      <c r="J467" t="s">
        <v>28</v>
      </c>
      <c r="K467" t="s">
        <v>102</v>
      </c>
      <c r="L467">
        <v>2</v>
      </c>
      <c r="M467" s="9">
        <v>126923</v>
      </c>
      <c r="N467" s="4">
        <v>0.109</v>
      </c>
      <c r="O467" s="4">
        <f t="shared" si="7"/>
        <v>0.109</v>
      </c>
      <c r="P467" s="11">
        <v>253846</v>
      </c>
      <c r="Q467" s="9">
        <v>27669.21</v>
      </c>
      <c r="R467" s="9">
        <v>226176.79</v>
      </c>
      <c r="S467">
        <v>4</v>
      </c>
      <c r="T467">
        <v>192</v>
      </c>
      <c r="U467">
        <v>3.8</v>
      </c>
      <c r="V467">
        <v>-11</v>
      </c>
      <c r="W467" t="str">
        <f>IF('Cleaned Data'!V467&lt;0,"Review",'Cleaned Data'!V467)</f>
        <v>Review</v>
      </c>
      <c r="X467">
        <v>5</v>
      </c>
      <c r="Y467" s="7">
        <f>IFERROR('Cleaned Data'!R467/'Cleaned Data'!L467,0)</f>
        <v>113088.395</v>
      </c>
      <c r="Z467" t="str">
        <f>TEXT(EV_Sales[[#This Row],[Order_Date]],"mmm-yyyy")</f>
        <v>Jun-2025</v>
      </c>
      <c r="AA467">
        <f>MONTH(EV_Sales[[#This Row],[Order_Date]])</f>
        <v>6</v>
      </c>
      <c r="AB467" s="12" t="str">
        <f>"Q"&amp;ROUNDUP(MONTH(EV_Sales[[#This Row],[Order_Date]])/3,0)</f>
        <v>Q2</v>
      </c>
    </row>
    <row r="468" spans="1:28" x14ac:dyDescent="0.3">
      <c r="A468" t="s">
        <v>574</v>
      </c>
      <c r="B468" s="2">
        <v>45757</v>
      </c>
      <c r="C468" t="s">
        <v>60</v>
      </c>
      <c r="D468" t="s">
        <v>61</v>
      </c>
      <c r="E468" t="s">
        <v>62</v>
      </c>
      <c r="F468" t="s">
        <v>52</v>
      </c>
      <c r="G468" t="s">
        <v>34</v>
      </c>
      <c r="H468" t="s">
        <v>809</v>
      </c>
      <c r="I468" t="str">
        <f>IF('Cleaned Data'!H468="Emi","EMI",'Cleaned Data'!H468)</f>
        <v>EMI</v>
      </c>
      <c r="J468" t="s">
        <v>28</v>
      </c>
      <c r="K468" t="s">
        <v>42</v>
      </c>
      <c r="L468">
        <v>3</v>
      </c>
      <c r="M468" s="9">
        <v>121031</v>
      </c>
      <c r="N468" s="4">
        <v>3.5000000000000003E-2</v>
      </c>
      <c r="O468" s="4">
        <f t="shared" si="7"/>
        <v>3.5000000000000003E-2</v>
      </c>
      <c r="P468" s="11">
        <v>363093</v>
      </c>
      <c r="Q468" s="9">
        <v>12708.26</v>
      </c>
      <c r="R468" s="9">
        <v>350384.74</v>
      </c>
      <c r="S468">
        <v>3</v>
      </c>
      <c r="T468">
        <v>151</v>
      </c>
      <c r="U468">
        <v>3.9</v>
      </c>
      <c r="V468">
        <v>3</v>
      </c>
      <c r="W468">
        <f>IF('Cleaned Data'!V468&lt;0,"Review",'Cleaned Data'!V468)</f>
        <v>3</v>
      </c>
      <c r="X468">
        <v>5</v>
      </c>
      <c r="Y468" s="7">
        <f>IFERROR('Cleaned Data'!R468/'Cleaned Data'!L468,0)</f>
        <v>116794.91333333333</v>
      </c>
      <c r="Z468" t="str">
        <f>TEXT(EV_Sales[[#This Row],[Order_Date]],"mmm-yyyy")</f>
        <v>Apr-2025</v>
      </c>
      <c r="AA468">
        <f>MONTH(EV_Sales[[#This Row],[Order_Date]])</f>
        <v>4</v>
      </c>
      <c r="AB468" s="12" t="str">
        <f>"Q"&amp;ROUNDUP(MONTH(EV_Sales[[#This Row],[Order_Date]])/3,0)</f>
        <v>Q2</v>
      </c>
    </row>
    <row r="469" spans="1:28" x14ac:dyDescent="0.3">
      <c r="A469" t="s">
        <v>575</v>
      </c>
      <c r="B469" s="2">
        <v>45710</v>
      </c>
      <c r="C469" t="s">
        <v>44</v>
      </c>
      <c r="D469" t="s">
        <v>45</v>
      </c>
      <c r="E469" t="s">
        <v>62</v>
      </c>
      <c r="F469" t="s">
        <v>101</v>
      </c>
      <c r="G469" t="s">
        <v>26</v>
      </c>
      <c r="H469" t="s">
        <v>809</v>
      </c>
      <c r="I469" t="str">
        <f>IF('Cleaned Data'!H469="Emi","EMI",'Cleaned Data'!H469)</f>
        <v>EMI</v>
      </c>
      <c r="J469" t="s">
        <v>36</v>
      </c>
      <c r="K469" t="s">
        <v>138</v>
      </c>
      <c r="L469">
        <v>1</v>
      </c>
      <c r="M469" s="9">
        <v>161704</v>
      </c>
      <c r="N469" s="4">
        <v>9.8000000000000004E-2</v>
      </c>
      <c r="O469" s="4">
        <f t="shared" si="7"/>
        <v>9.8000000000000004E-2</v>
      </c>
      <c r="P469" s="11">
        <v>161704</v>
      </c>
      <c r="Q469" s="9">
        <v>15846.99</v>
      </c>
      <c r="R469" s="9">
        <v>145857.01</v>
      </c>
      <c r="S469">
        <v>3</v>
      </c>
      <c r="T469">
        <v>173</v>
      </c>
      <c r="U469">
        <v>4.2</v>
      </c>
      <c r="V469">
        <v>4</v>
      </c>
      <c r="W469">
        <f>IF('Cleaned Data'!V469&lt;0,"Review",'Cleaned Data'!V469)</f>
        <v>4</v>
      </c>
      <c r="X469">
        <v>5</v>
      </c>
      <c r="Y469" s="7">
        <f>IFERROR('Cleaned Data'!R469/'Cleaned Data'!L469,0)</f>
        <v>145857.01</v>
      </c>
      <c r="Z469" t="str">
        <f>TEXT(EV_Sales[[#This Row],[Order_Date]],"mmm-yyyy")</f>
        <v>Feb-2025</v>
      </c>
      <c r="AA469">
        <f>MONTH(EV_Sales[[#This Row],[Order_Date]])</f>
        <v>2</v>
      </c>
      <c r="AB469" s="12" t="str">
        <f>"Q"&amp;ROUNDUP(MONTH(EV_Sales[[#This Row],[Order_Date]])/3,0)</f>
        <v>Q1</v>
      </c>
    </row>
    <row r="470" spans="1:28" x14ac:dyDescent="0.3">
      <c r="A470" t="s">
        <v>576</v>
      </c>
      <c r="B470" s="2">
        <v>45920</v>
      </c>
      <c r="C470" t="s">
        <v>31</v>
      </c>
      <c r="D470" t="s">
        <v>97</v>
      </c>
      <c r="E470" t="s">
        <v>24</v>
      </c>
      <c r="F470" t="s">
        <v>70</v>
      </c>
      <c r="G470" t="s">
        <v>34</v>
      </c>
      <c r="H470" t="s">
        <v>27</v>
      </c>
      <c r="I470" t="str">
        <f>IF('Cleaned Data'!H470="Emi","EMI",'Cleaned Data'!H470)</f>
        <v>Finance</v>
      </c>
      <c r="J470" t="s">
        <v>36</v>
      </c>
      <c r="K470" t="s">
        <v>37</v>
      </c>
      <c r="L470">
        <v>2</v>
      </c>
      <c r="M470" s="9">
        <v>126122</v>
      </c>
      <c r="N470" s="4">
        <v>4.2000000000000003E-2</v>
      </c>
      <c r="O470" s="4">
        <f t="shared" si="7"/>
        <v>4.2000000000000003E-2</v>
      </c>
      <c r="P470" s="11">
        <v>252244</v>
      </c>
      <c r="Q470" s="9">
        <v>10594.25</v>
      </c>
      <c r="R470" s="9">
        <v>241649.75</v>
      </c>
      <c r="S470">
        <v>4</v>
      </c>
      <c r="T470">
        <v>150</v>
      </c>
      <c r="U470">
        <v>4.0999999999999996</v>
      </c>
      <c r="V470">
        <v>10</v>
      </c>
      <c r="W470">
        <f>IF('Cleaned Data'!V470&lt;0,"Review",'Cleaned Data'!V470)</f>
        <v>10</v>
      </c>
      <c r="X470">
        <v>2</v>
      </c>
      <c r="Y470" s="7">
        <f>IFERROR('Cleaned Data'!R470/'Cleaned Data'!L470,0)</f>
        <v>120824.875</v>
      </c>
      <c r="Z470" t="str">
        <f>TEXT(EV_Sales[[#This Row],[Order_Date]],"mmm-yyyy")</f>
        <v>Sep-2025</v>
      </c>
      <c r="AA470">
        <f>MONTH(EV_Sales[[#This Row],[Order_Date]])</f>
        <v>9</v>
      </c>
      <c r="AB470" s="12" t="str">
        <f>"Q"&amp;ROUNDUP(MONTH(EV_Sales[[#This Row],[Order_Date]])/3,0)</f>
        <v>Q3</v>
      </c>
    </row>
    <row r="471" spans="1:28" x14ac:dyDescent="0.3">
      <c r="A471" t="s">
        <v>577</v>
      </c>
      <c r="B471" s="2">
        <v>45776</v>
      </c>
      <c r="C471" t="s">
        <v>39</v>
      </c>
      <c r="D471" t="s">
        <v>40</v>
      </c>
      <c r="E471" t="s">
        <v>46</v>
      </c>
      <c r="F471" t="s">
        <v>70</v>
      </c>
      <c r="G471" t="s">
        <v>26</v>
      </c>
      <c r="H471" t="s">
        <v>809</v>
      </c>
      <c r="I471" t="str">
        <f>IF('Cleaned Data'!H471="Emi","EMI",'Cleaned Data'!H471)</f>
        <v>EMI</v>
      </c>
      <c r="J471" t="s">
        <v>48</v>
      </c>
      <c r="K471" t="s">
        <v>175</v>
      </c>
      <c r="L471">
        <v>1</v>
      </c>
      <c r="M471" s="9">
        <v>123235</v>
      </c>
      <c r="N471" s="4">
        <v>3.2000000000000001E-2</v>
      </c>
      <c r="O471" s="4">
        <f t="shared" si="7"/>
        <v>3.2000000000000001E-2</v>
      </c>
      <c r="P471" s="11">
        <v>123235</v>
      </c>
      <c r="Q471" s="9">
        <v>3943.52</v>
      </c>
      <c r="R471" s="9">
        <v>119291.48</v>
      </c>
      <c r="S471">
        <v>3</v>
      </c>
      <c r="T471">
        <v>163</v>
      </c>
      <c r="U471">
        <v>4.5999999999999996</v>
      </c>
      <c r="V471">
        <v>7</v>
      </c>
      <c r="W471">
        <f>IF('Cleaned Data'!V471&lt;0,"Review",'Cleaned Data'!V471)</f>
        <v>7</v>
      </c>
      <c r="X471">
        <v>5</v>
      </c>
      <c r="Y471" s="7">
        <f>IFERROR('Cleaned Data'!R471/'Cleaned Data'!L471,0)</f>
        <v>119291.48</v>
      </c>
      <c r="Z471" t="str">
        <f>TEXT(EV_Sales[[#This Row],[Order_Date]],"mmm-yyyy")</f>
        <v>Apr-2025</v>
      </c>
      <c r="AA471">
        <f>MONTH(EV_Sales[[#This Row],[Order_Date]])</f>
        <v>4</v>
      </c>
      <c r="AB471" s="12" t="str">
        <f>"Q"&amp;ROUNDUP(MONTH(EV_Sales[[#This Row],[Order_Date]])/3,0)</f>
        <v>Q2</v>
      </c>
    </row>
    <row r="472" spans="1:28" x14ac:dyDescent="0.3">
      <c r="A472" t="s">
        <v>578</v>
      </c>
      <c r="B472" s="2">
        <v>45764</v>
      </c>
      <c r="C472" t="s">
        <v>87</v>
      </c>
      <c r="D472" t="s">
        <v>88</v>
      </c>
      <c r="E472" t="s">
        <v>62</v>
      </c>
      <c r="F472" t="s">
        <v>52</v>
      </c>
      <c r="G472" t="s">
        <v>67</v>
      </c>
      <c r="H472" t="s">
        <v>27</v>
      </c>
      <c r="I472" t="str">
        <f>IF('Cleaned Data'!H472="Emi","EMI",'Cleaned Data'!H472)</f>
        <v>Finance</v>
      </c>
      <c r="J472" t="s">
        <v>36</v>
      </c>
      <c r="K472" t="s">
        <v>64</v>
      </c>
      <c r="L472">
        <v>1</v>
      </c>
      <c r="M472" s="9">
        <v>159889</v>
      </c>
      <c r="N472" s="4">
        <v>0.114</v>
      </c>
      <c r="O472" s="4">
        <f t="shared" si="7"/>
        <v>0.114</v>
      </c>
      <c r="P472" s="11">
        <v>159889</v>
      </c>
      <c r="Q472" s="9">
        <v>18227.349999999999</v>
      </c>
      <c r="R472" s="9">
        <v>141661.65</v>
      </c>
      <c r="S472">
        <v>4</v>
      </c>
      <c r="T472">
        <v>175</v>
      </c>
      <c r="U472">
        <v>5</v>
      </c>
      <c r="V472">
        <v>11</v>
      </c>
      <c r="W472">
        <f>IF('Cleaned Data'!V472&lt;0,"Review",'Cleaned Data'!V472)</f>
        <v>11</v>
      </c>
      <c r="X472">
        <v>3</v>
      </c>
      <c r="Y472" s="7">
        <f>IFERROR('Cleaned Data'!R472/'Cleaned Data'!L472,0)</f>
        <v>141661.65</v>
      </c>
      <c r="Z472" t="str">
        <f>TEXT(EV_Sales[[#This Row],[Order_Date]],"mmm-yyyy")</f>
        <v>Apr-2025</v>
      </c>
      <c r="AA472">
        <f>MONTH(EV_Sales[[#This Row],[Order_Date]])</f>
        <v>4</v>
      </c>
      <c r="AB472" s="12" t="str">
        <f>"Q"&amp;ROUNDUP(MONTH(EV_Sales[[#This Row],[Order_Date]])/3,0)</f>
        <v>Q2</v>
      </c>
    </row>
    <row r="473" spans="1:28" x14ac:dyDescent="0.3">
      <c r="A473" t="s">
        <v>579</v>
      </c>
      <c r="B473" s="2">
        <v>45893</v>
      </c>
      <c r="C473" t="s">
        <v>22</v>
      </c>
      <c r="D473" t="s">
        <v>23</v>
      </c>
      <c r="E473" t="s">
        <v>24</v>
      </c>
      <c r="F473" t="s">
        <v>52</v>
      </c>
      <c r="G473" t="s">
        <v>67</v>
      </c>
      <c r="H473" t="s">
        <v>27</v>
      </c>
      <c r="I473" t="str">
        <f>IF('Cleaned Data'!H473="Emi","EMI",'Cleaned Data'!H473)</f>
        <v>Finance</v>
      </c>
      <c r="J473" t="s">
        <v>48</v>
      </c>
      <c r="K473" t="s">
        <v>148</v>
      </c>
      <c r="L473">
        <v>2</v>
      </c>
      <c r="M473" s="9">
        <v>126304</v>
      </c>
      <c r="N473" s="4">
        <v>7.0999999999999994E-2</v>
      </c>
      <c r="O473" s="4">
        <f t="shared" si="7"/>
        <v>7.0999999999999994E-2</v>
      </c>
      <c r="P473" s="11">
        <v>252608</v>
      </c>
      <c r="Q473" s="9">
        <v>17935.169999999998</v>
      </c>
      <c r="R473" s="9">
        <v>234672.83</v>
      </c>
      <c r="S473">
        <v>2</v>
      </c>
      <c r="T473">
        <v>133</v>
      </c>
      <c r="U473">
        <v>3.2</v>
      </c>
      <c r="V473">
        <v>6</v>
      </c>
      <c r="W473">
        <f>IF('Cleaned Data'!V473&lt;0,"Review",'Cleaned Data'!V473)</f>
        <v>6</v>
      </c>
      <c r="X473">
        <v>2</v>
      </c>
      <c r="Y473" s="7">
        <f>IFERROR('Cleaned Data'!R473/'Cleaned Data'!L473,0)</f>
        <v>117336.41499999999</v>
      </c>
      <c r="Z473" t="str">
        <f>TEXT(EV_Sales[[#This Row],[Order_Date]],"mmm-yyyy")</f>
        <v>Aug-2025</v>
      </c>
      <c r="AA473">
        <f>MONTH(EV_Sales[[#This Row],[Order_Date]])</f>
        <v>8</v>
      </c>
      <c r="AB473" s="12" t="str">
        <f>"Q"&amp;ROUNDUP(MONTH(EV_Sales[[#This Row],[Order_Date]])/3,0)</f>
        <v>Q3</v>
      </c>
    </row>
    <row r="474" spans="1:28" x14ac:dyDescent="0.3">
      <c r="A474" t="s">
        <v>580</v>
      </c>
      <c r="B474" s="2">
        <v>45899</v>
      </c>
      <c r="C474" t="s">
        <v>31</v>
      </c>
      <c r="D474" t="s">
        <v>97</v>
      </c>
      <c r="E474" t="s">
        <v>24</v>
      </c>
      <c r="F474" t="s">
        <v>80</v>
      </c>
      <c r="G474" t="s">
        <v>56</v>
      </c>
      <c r="H474" t="s">
        <v>809</v>
      </c>
      <c r="I474" t="str">
        <f>IF('Cleaned Data'!H474="Emi","EMI",'Cleaned Data'!H474)</f>
        <v>EMI</v>
      </c>
      <c r="J474" t="s">
        <v>63</v>
      </c>
      <c r="K474" t="s">
        <v>72</v>
      </c>
      <c r="L474">
        <v>5</v>
      </c>
      <c r="M474" s="9">
        <v>128018</v>
      </c>
      <c r="N474" s="4">
        <v>0.107</v>
      </c>
      <c r="O474" s="4">
        <f t="shared" si="7"/>
        <v>0.107</v>
      </c>
      <c r="P474" s="11">
        <v>640090</v>
      </c>
      <c r="Q474" s="9">
        <v>68489.63</v>
      </c>
      <c r="R474" s="9">
        <v>571600.37</v>
      </c>
      <c r="S474">
        <v>5</v>
      </c>
      <c r="T474">
        <v>192</v>
      </c>
      <c r="U474">
        <v>4</v>
      </c>
      <c r="V474">
        <v>9</v>
      </c>
      <c r="W474">
        <f>IF('Cleaned Data'!V474&lt;0,"Review",'Cleaned Data'!V474)</f>
        <v>9</v>
      </c>
      <c r="X474">
        <v>3</v>
      </c>
      <c r="Y474" s="7">
        <f>IFERROR('Cleaned Data'!R474/'Cleaned Data'!L474,0)</f>
        <v>114320.07399999999</v>
      </c>
      <c r="Z474" t="str">
        <f>TEXT(EV_Sales[[#This Row],[Order_Date]],"mmm-yyyy")</f>
        <v>Aug-2025</v>
      </c>
      <c r="AA474">
        <f>MONTH(EV_Sales[[#This Row],[Order_Date]])</f>
        <v>8</v>
      </c>
      <c r="AB474" s="12" t="str">
        <f>"Q"&amp;ROUNDUP(MONTH(EV_Sales[[#This Row],[Order_Date]])/3,0)</f>
        <v>Q3</v>
      </c>
    </row>
    <row r="475" spans="1:28" x14ac:dyDescent="0.3">
      <c r="A475" t="s">
        <v>581</v>
      </c>
      <c r="B475" s="2">
        <v>45695</v>
      </c>
      <c r="C475" t="s">
        <v>76</v>
      </c>
      <c r="D475" t="s">
        <v>115</v>
      </c>
      <c r="E475" t="s">
        <v>24</v>
      </c>
      <c r="F475" t="s">
        <v>41</v>
      </c>
      <c r="G475" t="s">
        <v>26</v>
      </c>
      <c r="H475" t="s">
        <v>53</v>
      </c>
      <c r="I475" t="str">
        <f>IF('Cleaned Data'!H475="Emi","EMI",'Cleaned Data'!H475)</f>
        <v>Cash</v>
      </c>
      <c r="J475" t="s">
        <v>57</v>
      </c>
      <c r="K475" t="s">
        <v>64</v>
      </c>
      <c r="L475">
        <v>2</v>
      </c>
      <c r="M475" s="9">
        <v>131371</v>
      </c>
      <c r="N475" s="4">
        <v>2.1000000000000001E-2</v>
      </c>
      <c r="O475" s="4">
        <f t="shared" si="7"/>
        <v>2.1000000000000001E-2</v>
      </c>
      <c r="P475" s="11">
        <v>262742</v>
      </c>
      <c r="Q475" s="9">
        <v>5517.58</v>
      </c>
      <c r="R475" s="9">
        <v>257224.42</v>
      </c>
      <c r="S475">
        <v>3</v>
      </c>
      <c r="T475">
        <v>177</v>
      </c>
      <c r="U475">
        <v>4.2</v>
      </c>
      <c r="V475">
        <v>2</v>
      </c>
      <c r="W475">
        <f>IF('Cleaned Data'!V475&lt;0,"Review",'Cleaned Data'!V475)</f>
        <v>2</v>
      </c>
      <c r="X475">
        <v>5</v>
      </c>
      <c r="Y475" s="7">
        <f>IFERROR('Cleaned Data'!R475/'Cleaned Data'!L475,0)</f>
        <v>128612.21</v>
      </c>
      <c r="Z475" t="str">
        <f>TEXT(EV_Sales[[#This Row],[Order_Date]],"mmm-yyyy")</f>
        <v>Feb-2025</v>
      </c>
      <c r="AA475">
        <f>MONTH(EV_Sales[[#This Row],[Order_Date]])</f>
        <v>2</v>
      </c>
      <c r="AB475" s="12" t="str">
        <f>"Q"&amp;ROUNDUP(MONTH(EV_Sales[[#This Row],[Order_Date]])/3,0)</f>
        <v>Q1</v>
      </c>
    </row>
    <row r="476" spans="1:28" x14ac:dyDescent="0.3">
      <c r="A476" t="s">
        <v>582</v>
      </c>
      <c r="B476" s="2">
        <v>45862</v>
      </c>
      <c r="C476" t="s">
        <v>44</v>
      </c>
      <c r="D476" t="s">
        <v>45</v>
      </c>
      <c r="E476" t="s">
        <v>24</v>
      </c>
      <c r="F476" t="s">
        <v>52</v>
      </c>
      <c r="G476" t="s">
        <v>26</v>
      </c>
      <c r="H476" t="s">
        <v>53</v>
      </c>
      <c r="I476" t="str">
        <f>IF('Cleaned Data'!H476="Emi","EMI",'Cleaned Data'!H476)</f>
        <v>Cash</v>
      </c>
      <c r="J476" t="s">
        <v>57</v>
      </c>
      <c r="K476" t="s">
        <v>148</v>
      </c>
      <c r="L476">
        <v>2</v>
      </c>
      <c r="M476" s="9">
        <v>154602</v>
      </c>
      <c r="N476" s="4">
        <v>2.3E-2</v>
      </c>
      <c r="O476" s="4">
        <f t="shared" si="7"/>
        <v>2.3E-2</v>
      </c>
      <c r="P476" s="11">
        <v>309204</v>
      </c>
      <c r="Q476" s="9">
        <v>7111.69</v>
      </c>
      <c r="R476" s="9">
        <v>302092.31</v>
      </c>
      <c r="S476">
        <v>4</v>
      </c>
      <c r="T476">
        <v>218</v>
      </c>
      <c r="U476">
        <v>4.4000000000000004</v>
      </c>
      <c r="V476">
        <v>10</v>
      </c>
      <c r="W476">
        <f>IF('Cleaned Data'!V476&lt;0,"Review",'Cleaned Data'!V476)</f>
        <v>10</v>
      </c>
      <c r="X476">
        <v>5</v>
      </c>
      <c r="Y476" s="7">
        <f>IFERROR('Cleaned Data'!R476/'Cleaned Data'!L476,0)</f>
        <v>151046.155</v>
      </c>
      <c r="Z476" t="str">
        <f>TEXT(EV_Sales[[#This Row],[Order_Date]],"mmm-yyyy")</f>
        <v>Jul-2025</v>
      </c>
      <c r="AA476">
        <f>MONTH(EV_Sales[[#This Row],[Order_Date]])</f>
        <v>7</v>
      </c>
      <c r="AB476" s="12" t="str">
        <f>"Q"&amp;ROUNDUP(MONTH(EV_Sales[[#This Row],[Order_Date]])/3,0)</f>
        <v>Q3</v>
      </c>
    </row>
    <row r="477" spans="1:28" x14ac:dyDescent="0.3">
      <c r="A477" t="s">
        <v>583</v>
      </c>
      <c r="B477" s="2">
        <v>45669</v>
      </c>
      <c r="C477" t="s">
        <v>39</v>
      </c>
      <c r="D477" t="s">
        <v>40</v>
      </c>
      <c r="E477" t="s">
        <v>24</v>
      </c>
      <c r="F477" t="s">
        <v>41</v>
      </c>
      <c r="G477" t="s">
        <v>67</v>
      </c>
      <c r="H477" t="s">
        <v>27</v>
      </c>
      <c r="I477" t="str">
        <f>IF('Cleaned Data'!H477="Emi","EMI",'Cleaned Data'!H477)</f>
        <v>Finance</v>
      </c>
      <c r="J477" t="s">
        <v>36</v>
      </c>
      <c r="K477" t="s">
        <v>85</v>
      </c>
      <c r="L477">
        <v>4</v>
      </c>
      <c r="M477" s="9">
        <v>121656</v>
      </c>
      <c r="N477" s="4">
        <v>0.11799999999999999</v>
      </c>
      <c r="O477" s="4">
        <f t="shared" si="7"/>
        <v>0.11799999999999999</v>
      </c>
      <c r="P477" s="11">
        <v>486624</v>
      </c>
      <c r="Q477" s="9">
        <v>57421.63</v>
      </c>
      <c r="R477" s="9">
        <v>429202.37</v>
      </c>
      <c r="S477">
        <v>3</v>
      </c>
      <c r="T477">
        <v>157</v>
      </c>
      <c r="U477">
        <v>3.4</v>
      </c>
      <c r="V477">
        <v>8</v>
      </c>
      <c r="W477">
        <f>IF('Cleaned Data'!V477&lt;0,"Review",'Cleaned Data'!V477)</f>
        <v>8</v>
      </c>
      <c r="X477">
        <v>2</v>
      </c>
      <c r="Y477" s="7">
        <f>IFERROR('Cleaned Data'!R477/'Cleaned Data'!L477,0)</f>
        <v>107300.5925</v>
      </c>
      <c r="Z477" t="str">
        <f>TEXT(EV_Sales[[#This Row],[Order_Date]],"mmm-yyyy")</f>
        <v>Jan-2025</v>
      </c>
      <c r="AA477">
        <f>MONTH(EV_Sales[[#This Row],[Order_Date]])</f>
        <v>1</v>
      </c>
      <c r="AB477" s="12" t="str">
        <f>"Q"&amp;ROUNDUP(MONTH(EV_Sales[[#This Row],[Order_Date]])/3,0)</f>
        <v>Q1</v>
      </c>
    </row>
    <row r="478" spans="1:28" x14ac:dyDescent="0.3">
      <c r="A478" t="s">
        <v>584</v>
      </c>
      <c r="B478" s="2">
        <v>45837</v>
      </c>
      <c r="C478" t="s">
        <v>39</v>
      </c>
      <c r="D478" t="s">
        <v>40</v>
      </c>
      <c r="E478" t="s">
        <v>62</v>
      </c>
      <c r="F478" t="s">
        <v>66</v>
      </c>
      <c r="G478" t="s">
        <v>56</v>
      </c>
      <c r="H478" t="s">
        <v>27</v>
      </c>
      <c r="I478" t="str">
        <f>IF('Cleaned Data'!H478="Emi","EMI",'Cleaned Data'!H478)</f>
        <v>Finance</v>
      </c>
      <c r="J478" t="s">
        <v>28</v>
      </c>
      <c r="K478" t="s">
        <v>89</v>
      </c>
      <c r="L478">
        <v>2</v>
      </c>
      <c r="M478" s="9">
        <v>131929</v>
      </c>
      <c r="N478" s="4">
        <v>6.2E-2</v>
      </c>
      <c r="O478" s="4">
        <f t="shared" si="7"/>
        <v>6.2E-2</v>
      </c>
      <c r="P478" s="11">
        <v>263858</v>
      </c>
      <c r="Q478" s="9">
        <v>16359.2</v>
      </c>
      <c r="R478" s="9">
        <v>247498.8</v>
      </c>
      <c r="S478">
        <v>2</v>
      </c>
      <c r="T478">
        <v>165</v>
      </c>
      <c r="U478">
        <v>4.4000000000000004</v>
      </c>
      <c r="V478">
        <v>12</v>
      </c>
      <c r="W478">
        <f>IF('Cleaned Data'!V478&lt;0,"Review",'Cleaned Data'!V478)</f>
        <v>12</v>
      </c>
      <c r="X478">
        <v>5</v>
      </c>
      <c r="Y478" s="7">
        <f>IFERROR('Cleaned Data'!R478/'Cleaned Data'!L478,0)</f>
        <v>123749.4</v>
      </c>
      <c r="Z478" t="str">
        <f>TEXT(EV_Sales[[#This Row],[Order_Date]],"mmm-yyyy")</f>
        <v>Jun-2025</v>
      </c>
      <c r="AA478">
        <f>MONTH(EV_Sales[[#This Row],[Order_Date]])</f>
        <v>6</v>
      </c>
      <c r="AB478" s="12" t="str">
        <f>"Q"&amp;ROUNDUP(MONTH(EV_Sales[[#This Row],[Order_Date]])/3,0)</f>
        <v>Q2</v>
      </c>
    </row>
    <row r="479" spans="1:28" x14ac:dyDescent="0.3">
      <c r="A479" t="s">
        <v>585</v>
      </c>
      <c r="B479" s="2">
        <v>45890</v>
      </c>
      <c r="C479" t="s">
        <v>99</v>
      </c>
      <c r="D479" t="s">
        <v>141</v>
      </c>
      <c r="E479" t="s">
        <v>62</v>
      </c>
      <c r="F479" t="s">
        <v>52</v>
      </c>
      <c r="G479" t="s">
        <v>56</v>
      </c>
      <c r="H479" t="s">
        <v>53</v>
      </c>
      <c r="I479" t="str">
        <f>IF('Cleaned Data'!H479="Emi","EMI",'Cleaned Data'!H479)</f>
        <v>Cash</v>
      </c>
      <c r="J479" t="s">
        <v>36</v>
      </c>
      <c r="K479" t="s">
        <v>83</v>
      </c>
      <c r="L479">
        <v>4</v>
      </c>
      <c r="M479" s="9">
        <v>137699</v>
      </c>
      <c r="N479" s="4">
        <v>4.1000000000000002E-2</v>
      </c>
      <c r="O479" s="4">
        <f t="shared" si="7"/>
        <v>4.1000000000000002E-2</v>
      </c>
      <c r="P479" s="11">
        <v>550796</v>
      </c>
      <c r="Q479" s="9">
        <v>22582.639999999999</v>
      </c>
      <c r="R479" s="9">
        <v>528213.36</v>
      </c>
      <c r="S479">
        <v>5</v>
      </c>
      <c r="T479">
        <v>201</v>
      </c>
      <c r="U479">
        <v>4.5</v>
      </c>
      <c r="V479">
        <v>14</v>
      </c>
      <c r="W479">
        <f>IF('Cleaned Data'!V479&lt;0,"Review",'Cleaned Data'!V479)</f>
        <v>14</v>
      </c>
      <c r="X479">
        <v>3</v>
      </c>
      <c r="Y479" s="7">
        <f>IFERROR('Cleaned Data'!R479/'Cleaned Data'!L479,0)</f>
        <v>132053.34</v>
      </c>
      <c r="Z479" t="str">
        <f>TEXT(EV_Sales[[#This Row],[Order_Date]],"mmm-yyyy")</f>
        <v>Aug-2025</v>
      </c>
      <c r="AA479">
        <f>MONTH(EV_Sales[[#This Row],[Order_Date]])</f>
        <v>8</v>
      </c>
      <c r="AB479" s="12" t="str">
        <f>"Q"&amp;ROUNDUP(MONTH(EV_Sales[[#This Row],[Order_Date]])/3,0)</f>
        <v>Q3</v>
      </c>
    </row>
    <row r="480" spans="1:28" x14ac:dyDescent="0.3">
      <c r="A480" t="s">
        <v>586</v>
      </c>
      <c r="B480" s="2">
        <v>45858</v>
      </c>
      <c r="C480" t="s">
        <v>44</v>
      </c>
      <c r="D480" t="s">
        <v>45</v>
      </c>
      <c r="E480" t="s">
        <v>62</v>
      </c>
      <c r="F480" t="s">
        <v>80</v>
      </c>
      <c r="G480" t="s">
        <v>67</v>
      </c>
      <c r="H480" t="s">
        <v>53</v>
      </c>
      <c r="I480" t="str">
        <f>IF('Cleaned Data'!H480="Emi","EMI",'Cleaned Data'!H480)</f>
        <v>Cash</v>
      </c>
      <c r="J480" t="s">
        <v>36</v>
      </c>
      <c r="K480" t="s">
        <v>138</v>
      </c>
      <c r="L480">
        <v>1</v>
      </c>
      <c r="M480" s="9">
        <v>153734</v>
      </c>
      <c r="N480" s="4">
        <v>8.7999999999999995E-2</v>
      </c>
      <c r="O480" s="4">
        <f t="shared" si="7"/>
        <v>8.7999999999999995E-2</v>
      </c>
      <c r="P480" s="11">
        <v>153734</v>
      </c>
      <c r="Q480" s="9">
        <v>13528.59</v>
      </c>
      <c r="R480" s="9">
        <v>140205.41</v>
      </c>
      <c r="S480">
        <v>4</v>
      </c>
      <c r="T480">
        <v>189</v>
      </c>
      <c r="U480">
        <v>4.8</v>
      </c>
      <c r="V480">
        <v>6</v>
      </c>
      <c r="W480">
        <f>IF('Cleaned Data'!V480&lt;0,"Review",'Cleaned Data'!V480)</f>
        <v>6</v>
      </c>
      <c r="X480">
        <v>3</v>
      </c>
      <c r="Y480" s="7">
        <f>IFERROR('Cleaned Data'!R480/'Cleaned Data'!L480,0)</f>
        <v>140205.41</v>
      </c>
      <c r="Z480" t="str">
        <f>TEXT(EV_Sales[[#This Row],[Order_Date]],"mmm-yyyy")</f>
        <v>Jul-2025</v>
      </c>
      <c r="AA480">
        <f>MONTH(EV_Sales[[#This Row],[Order_Date]])</f>
        <v>7</v>
      </c>
      <c r="AB480" s="12" t="str">
        <f>"Q"&amp;ROUNDUP(MONTH(EV_Sales[[#This Row],[Order_Date]])/3,0)</f>
        <v>Q3</v>
      </c>
    </row>
    <row r="481" spans="1:28" x14ac:dyDescent="0.3">
      <c r="A481" t="s">
        <v>587</v>
      </c>
      <c r="B481" s="2">
        <v>45756</v>
      </c>
      <c r="C481" t="s">
        <v>76</v>
      </c>
      <c r="D481" t="s">
        <v>117</v>
      </c>
      <c r="E481" t="s">
        <v>46</v>
      </c>
      <c r="F481" t="s">
        <v>41</v>
      </c>
      <c r="G481" t="s">
        <v>56</v>
      </c>
      <c r="H481" t="s">
        <v>53</v>
      </c>
      <c r="I481" t="str">
        <f>IF('Cleaned Data'!H481="Emi","EMI",'Cleaned Data'!H481)</f>
        <v>Cash</v>
      </c>
      <c r="J481" t="s">
        <v>28</v>
      </c>
      <c r="K481" t="s">
        <v>92</v>
      </c>
      <c r="L481">
        <v>4</v>
      </c>
      <c r="M481" s="9">
        <v>140751</v>
      </c>
      <c r="N481" s="4">
        <v>7.0999999999999994E-2</v>
      </c>
      <c r="O481" s="4">
        <f t="shared" si="7"/>
        <v>7.0999999999999994E-2</v>
      </c>
      <c r="P481" s="11">
        <v>563004</v>
      </c>
      <c r="Q481" s="9">
        <v>39973.279999999999</v>
      </c>
      <c r="R481" s="9">
        <v>523030.72</v>
      </c>
      <c r="S481">
        <v>5</v>
      </c>
      <c r="T481">
        <v>208</v>
      </c>
      <c r="U481">
        <v>3.9</v>
      </c>
      <c r="V481">
        <v>7</v>
      </c>
      <c r="W481">
        <f>IF('Cleaned Data'!V481&lt;0,"Review",'Cleaned Data'!V481)</f>
        <v>7</v>
      </c>
      <c r="X481">
        <v>3</v>
      </c>
      <c r="Y481" s="7">
        <f>IFERROR('Cleaned Data'!R481/'Cleaned Data'!L481,0)</f>
        <v>130757.68</v>
      </c>
      <c r="Z481" t="str">
        <f>TEXT(EV_Sales[[#This Row],[Order_Date]],"mmm-yyyy")</f>
        <v>Apr-2025</v>
      </c>
      <c r="AA481">
        <f>MONTH(EV_Sales[[#This Row],[Order_Date]])</f>
        <v>4</v>
      </c>
      <c r="AB481" s="12" t="str">
        <f>"Q"&amp;ROUNDUP(MONTH(EV_Sales[[#This Row],[Order_Date]])/3,0)</f>
        <v>Q2</v>
      </c>
    </row>
    <row r="482" spans="1:28" x14ac:dyDescent="0.3">
      <c r="A482" t="s">
        <v>588</v>
      </c>
      <c r="B482" s="2">
        <v>45812</v>
      </c>
      <c r="C482" t="s">
        <v>99</v>
      </c>
      <c r="D482" t="s">
        <v>100</v>
      </c>
      <c r="E482" t="s">
        <v>62</v>
      </c>
      <c r="F482" t="s">
        <v>52</v>
      </c>
      <c r="G482" t="s">
        <v>34</v>
      </c>
      <c r="H482" t="s">
        <v>27</v>
      </c>
      <c r="I482" t="str">
        <f>IF('Cleaned Data'!H482="Emi","EMI",'Cleaned Data'!H482)</f>
        <v>Finance</v>
      </c>
      <c r="J482" t="s">
        <v>28</v>
      </c>
      <c r="K482" t="s">
        <v>95</v>
      </c>
      <c r="L482">
        <v>1</v>
      </c>
      <c r="M482" s="9">
        <v>115193</v>
      </c>
      <c r="N482" s="4">
        <v>0.106</v>
      </c>
      <c r="O482" s="4">
        <f t="shared" si="7"/>
        <v>0.106</v>
      </c>
      <c r="P482" s="11">
        <v>115193</v>
      </c>
      <c r="Q482" s="9">
        <v>12210.46</v>
      </c>
      <c r="R482" s="9">
        <v>102982.54</v>
      </c>
      <c r="S482">
        <v>4</v>
      </c>
      <c r="T482">
        <v>179</v>
      </c>
      <c r="U482">
        <v>4.2</v>
      </c>
      <c r="V482">
        <v>5</v>
      </c>
      <c r="W482">
        <f>IF('Cleaned Data'!V482&lt;0,"Review",'Cleaned Data'!V482)</f>
        <v>5</v>
      </c>
      <c r="X482">
        <v>2</v>
      </c>
      <c r="Y482" s="7">
        <f>IFERROR('Cleaned Data'!R482/'Cleaned Data'!L482,0)</f>
        <v>102982.54</v>
      </c>
      <c r="Z482" t="str">
        <f>TEXT(EV_Sales[[#This Row],[Order_Date]],"mmm-yyyy")</f>
        <v>Jun-2025</v>
      </c>
      <c r="AA482">
        <f>MONTH(EV_Sales[[#This Row],[Order_Date]])</f>
        <v>6</v>
      </c>
      <c r="AB482" s="12" t="str">
        <f>"Q"&amp;ROUNDUP(MONTH(EV_Sales[[#This Row],[Order_Date]])/3,0)</f>
        <v>Q2</v>
      </c>
    </row>
    <row r="483" spans="1:28" x14ac:dyDescent="0.3">
      <c r="A483" t="s">
        <v>589</v>
      </c>
      <c r="B483" s="2">
        <v>45757</v>
      </c>
      <c r="C483" t="s">
        <v>60</v>
      </c>
      <c r="D483" t="s">
        <v>69</v>
      </c>
      <c r="E483" t="s">
        <v>62</v>
      </c>
      <c r="F483" t="s">
        <v>47</v>
      </c>
      <c r="G483" t="s">
        <v>56</v>
      </c>
      <c r="H483" t="s">
        <v>27</v>
      </c>
      <c r="I483" t="str">
        <f>IF('Cleaned Data'!H483="Emi","EMI",'Cleaned Data'!H483)</f>
        <v>Finance</v>
      </c>
      <c r="J483" t="s">
        <v>48</v>
      </c>
      <c r="K483" t="s">
        <v>175</v>
      </c>
      <c r="L483">
        <v>1</v>
      </c>
      <c r="M483" s="9">
        <v>103877</v>
      </c>
      <c r="N483" s="4">
        <v>0.106</v>
      </c>
      <c r="O483" s="4">
        <f t="shared" si="7"/>
        <v>0.106</v>
      </c>
      <c r="P483" s="11">
        <v>103877</v>
      </c>
      <c r="Q483" s="9">
        <v>11010.96</v>
      </c>
      <c r="R483" s="9">
        <v>92866.04</v>
      </c>
      <c r="S483">
        <v>3</v>
      </c>
      <c r="T483">
        <v>159</v>
      </c>
      <c r="U483">
        <v>3.5</v>
      </c>
      <c r="V483">
        <v>13</v>
      </c>
      <c r="W483">
        <f>IF('Cleaned Data'!V483&lt;0,"Review",'Cleaned Data'!V483)</f>
        <v>13</v>
      </c>
      <c r="X483">
        <v>2</v>
      </c>
      <c r="Y483" s="7">
        <f>IFERROR('Cleaned Data'!R483/'Cleaned Data'!L483,0)</f>
        <v>92866.04</v>
      </c>
      <c r="Z483" t="str">
        <f>TEXT(EV_Sales[[#This Row],[Order_Date]],"mmm-yyyy")</f>
        <v>Apr-2025</v>
      </c>
      <c r="AA483">
        <f>MONTH(EV_Sales[[#This Row],[Order_Date]])</f>
        <v>4</v>
      </c>
      <c r="AB483" s="12" t="str">
        <f>"Q"&amp;ROUNDUP(MONTH(EV_Sales[[#This Row],[Order_Date]])/3,0)</f>
        <v>Q2</v>
      </c>
    </row>
    <row r="484" spans="1:28" x14ac:dyDescent="0.3">
      <c r="A484" t="s">
        <v>590</v>
      </c>
      <c r="B484" s="2">
        <v>45820</v>
      </c>
      <c r="C484" t="s">
        <v>39</v>
      </c>
      <c r="D484" t="s">
        <v>154</v>
      </c>
      <c r="E484" t="s">
        <v>62</v>
      </c>
      <c r="F484" t="s">
        <v>101</v>
      </c>
      <c r="G484" t="s">
        <v>34</v>
      </c>
      <c r="H484" t="s">
        <v>53</v>
      </c>
      <c r="I484" t="str">
        <f>IF('Cleaned Data'!H484="Emi","EMI",'Cleaned Data'!H484)</f>
        <v>Cash</v>
      </c>
      <c r="J484" t="s">
        <v>36</v>
      </c>
      <c r="K484" t="s">
        <v>95</v>
      </c>
      <c r="L484">
        <v>1</v>
      </c>
      <c r="M484" s="9">
        <v>183986</v>
      </c>
      <c r="N484" s="4">
        <v>0.03</v>
      </c>
      <c r="O484" s="4">
        <f t="shared" si="7"/>
        <v>0.03</v>
      </c>
      <c r="P484" s="11">
        <v>183986</v>
      </c>
      <c r="Q484" s="9">
        <v>5519.58</v>
      </c>
      <c r="R484" s="9">
        <v>178466.42</v>
      </c>
      <c r="S484">
        <v>4</v>
      </c>
      <c r="T484">
        <v>197</v>
      </c>
      <c r="U484">
        <v>3.9</v>
      </c>
      <c r="V484">
        <v>11</v>
      </c>
      <c r="W484">
        <f>IF('Cleaned Data'!V484&lt;0,"Review",'Cleaned Data'!V484)</f>
        <v>11</v>
      </c>
      <c r="X484">
        <v>3</v>
      </c>
      <c r="Y484" s="7">
        <f>IFERROR('Cleaned Data'!R484/'Cleaned Data'!L484,0)</f>
        <v>178466.42</v>
      </c>
      <c r="Z484" t="str">
        <f>TEXT(EV_Sales[[#This Row],[Order_Date]],"mmm-yyyy")</f>
        <v>Jun-2025</v>
      </c>
      <c r="AA484">
        <f>MONTH(EV_Sales[[#This Row],[Order_Date]])</f>
        <v>6</v>
      </c>
      <c r="AB484" s="12" t="str">
        <f>"Q"&amp;ROUNDUP(MONTH(EV_Sales[[#This Row],[Order_Date]])/3,0)</f>
        <v>Q2</v>
      </c>
    </row>
    <row r="485" spans="1:28" x14ac:dyDescent="0.3">
      <c r="A485" t="s">
        <v>591</v>
      </c>
      <c r="B485" s="2">
        <v>45790</v>
      </c>
      <c r="C485" t="s">
        <v>44</v>
      </c>
      <c r="D485" t="s">
        <v>51</v>
      </c>
      <c r="E485" t="s">
        <v>24</v>
      </c>
      <c r="F485" t="s">
        <v>66</v>
      </c>
      <c r="G485" t="s">
        <v>67</v>
      </c>
      <c r="H485" t="s">
        <v>27</v>
      </c>
      <c r="I485" t="str">
        <f>IF('Cleaned Data'!H485="Emi","EMI",'Cleaned Data'!H485)</f>
        <v>Finance</v>
      </c>
      <c r="J485" t="s">
        <v>48</v>
      </c>
      <c r="K485" t="s">
        <v>138</v>
      </c>
      <c r="L485">
        <v>1</v>
      </c>
      <c r="M485" s="9">
        <v>128834</v>
      </c>
      <c r="N485" s="4">
        <v>0.107</v>
      </c>
      <c r="O485" s="4">
        <f t="shared" si="7"/>
        <v>0.107</v>
      </c>
      <c r="P485" s="11">
        <v>128834</v>
      </c>
      <c r="Q485" s="9">
        <v>13785.24</v>
      </c>
      <c r="R485" s="9">
        <v>115048.76</v>
      </c>
      <c r="S485">
        <v>4</v>
      </c>
      <c r="T485">
        <v>170</v>
      </c>
      <c r="U485">
        <v>4.5</v>
      </c>
      <c r="V485">
        <v>5</v>
      </c>
      <c r="W485">
        <f>IF('Cleaned Data'!V485&lt;0,"Review",'Cleaned Data'!V485)</f>
        <v>5</v>
      </c>
      <c r="X485">
        <v>5</v>
      </c>
      <c r="Y485" s="7">
        <f>IFERROR('Cleaned Data'!R485/'Cleaned Data'!L485,0)</f>
        <v>115048.76</v>
      </c>
      <c r="Z485" t="str">
        <f>TEXT(EV_Sales[[#This Row],[Order_Date]],"mmm-yyyy")</f>
        <v>May-2025</v>
      </c>
      <c r="AA485">
        <f>MONTH(EV_Sales[[#This Row],[Order_Date]])</f>
        <v>5</v>
      </c>
      <c r="AB485" s="12" t="str">
        <f>"Q"&amp;ROUNDUP(MONTH(EV_Sales[[#This Row],[Order_Date]])/3,0)</f>
        <v>Q2</v>
      </c>
    </row>
    <row r="486" spans="1:28" x14ac:dyDescent="0.3">
      <c r="A486" t="s">
        <v>592</v>
      </c>
      <c r="B486" s="2">
        <v>45818</v>
      </c>
      <c r="C486" t="s">
        <v>87</v>
      </c>
      <c r="D486" t="s">
        <v>88</v>
      </c>
      <c r="E486" t="s">
        <v>24</v>
      </c>
      <c r="F486" t="s">
        <v>70</v>
      </c>
      <c r="G486" t="s">
        <v>67</v>
      </c>
      <c r="H486" t="s">
        <v>809</v>
      </c>
      <c r="I486" t="str">
        <f>IF('Cleaned Data'!H486="Emi","EMI",'Cleaned Data'!H486)</f>
        <v>EMI</v>
      </c>
      <c r="J486" t="s">
        <v>63</v>
      </c>
      <c r="K486" t="s">
        <v>216</v>
      </c>
      <c r="L486">
        <v>1</v>
      </c>
      <c r="M486" s="9">
        <v>152585</v>
      </c>
      <c r="N486" s="4">
        <v>0.104</v>
      </c>
      <c r="O486" s="4">
        <f t="shared" si="7"/>
        <v>0.104</v>
      </c>
      <c r="P486" s="11">
        <v>152585</v>
      </c>
      <c r="Q486" s="9">
        <v>15868.84</v>
      </c>
      <c r="R486" s="9">
        <v>136716.16</v>
      </c>
      <c r="S486">
        <v>5</v>
      </c>
      <c r="T486">
        <v>178</v>
      </c>
      <c r="U486">
        <v>3.8</v>
      </c>
      <c r="V486">
        <v>9</v>
      </c>
      <c r="W486">
        <f>IF('Cleaned Data'!V486&lt;0,"Review",'Cleaned Data'!V486)</f>
        <v>9</v>
      </c>
      <c r="X486">
        <v>5</v>
      </c>
      <c r="Y486" s="7">
        <f>IFERROR('Cleaned Data'!R486/'Cleaned Data'!L486,0)</f>
        <v>136716.16</v>
      </c>
      <c r="Z486" t="str">
        <f>TEXT(EV_Sales[[#This Row],[Order_Date]],"mmm-yyyy")</f>
        <v>Jun-2025</v>
      </c>
      <c r="AA486">
        <f>MONTH(EV_Sales[[#This Row],[Order_Date]])</f>
        <v>6</v>
      </c>
      <c r="AB486" s="12" t="str">
        <f>"Q"&amp;ROUNDUP(MONTH(EV_Sales[[#This Row],[Order_Date]])/3,0)</f>
        <v>Q2</v>
      </c>
    </row>
    <row r="487" spans="1:28" x14ac:dyDescent="0.3">
      <c r="A487" t="s">
        <v>593</v>
      </c>
      <c r="B487" s="2">
        <v>45770</v>
      </c>
      <c r="C487" t="s">
        <v>44</v>
      </c>
      <c r="D487" t="s">
        <v>51</v>
      </c>
      <c r="E487" t="s">
        <v>62</v>
      </c>
      <c r="F487" t="s">
        <v>66</v>
      </c>
      <c r="G487" t="s">
        <v>34</v>
      </c>
      <c r="H487" t="s">
        <v>27</v>
      </c>
      <c r="I487" t="str">
        <f>IF('Cleaned Data'!H487="Emi","EMI",'Cleaned Data'!H487)</f>
        <v>Finance</v>
      </c>
      <c r="J487" t="s">
        <v>63</v>
      </c>
      <c r="K487" t="s">
        <v>216</v>
      </c>
      <c r="L487">
        <v>1</v>
      </c>
      <c r="M487" s="9">
        <v>124326</v>
      </c>
      <c r="N487" s="4">
        <v>0.115</v>
      </c>
      <c r="O487" s="4">
        <f t="shared" si="7"/>
        <v>0.115</v>
      </c>
      <c r="P487" s="11">
        <v>124326</v>
      </c>
      <c r="Q487" s="9">
        <v>14297.49</v>
      </c>
      <c r="R487" s="9">
        <v>110028.51</v>
      </c>
      <c r="S487">
        <v>3</v>
      </c>
      <c r="T487">
        <v>154</v>
      </c>
      <c r="U487">
        <v>4.0999999999999996</v>
      </c>
      <c r="V487">
        <v>12</v>
      </c>
      <c r="W487">
        <f>IF('Cleaned Data'!V487&lt;0,"Review",'Cleaned Data'!V487)</f>
        <v>12</v>
      </c>
      <c r="X487">
        <v>2</v>
      </c>
      <c r="Y487" s="7">
        <f>IFERROR('Cleaned Data'!R487/'Cleaned Data'!L487,0)</f>
        <v>110028.51</v>
      </c>
      <c r="Z487" t="str">
        <f>TEXT(EV_Sales[[#This Row],[Order_Date]],"mmm-yyyy")</f>
        <v>Apr-2025</v>
      </c>
      <c r="AA487">
        <f>MONTH(EV_Sales[[#This Row],[Order_Date]])</f>
        <v>4</v>
      </c>
      <c r="AB487" s="12" t="str">
        <f>"Q"&amp;ROUNDUP(MONTH(EV_Sales[[#This Row],[Order_Date]])/3,0)</f>
        <v>Q2</v>
      </c>
    </row>
    <row r="488" spans="1:28" x14ac:dyDescent="0.3">
      <c r="A488" t="s">
        <v>594</v>
      </c>
      <c r="B488" s="2">
        <v>45847</v>
      </c>
      <c r="C488" t="s">
        <v>87</v>
      </c>
      <c r="D488" t="s">
        <v>130</v>
      </c>
      <c r="E488" t="s">
        <v>46</v>
      </c>
      <c r="F488" t="s">
        <v>33</v>
      </c>
      <c r="G488" t="s">
        <v>34</v>
      </c>
      <c r="H488" t="s">
        <v>809</v>
      </c>
      <c r="I488" t="str">
        <f>IF('Cleaned Data'!H488="Emi","EMI",'Cleaned Data'!H488)</f>
        <v>EMI</v>
      </c>
      <c r="J488" t="s">
        <v>28</v>
      </c>
      <c r="K488" t="s">
        <v>89</v>
      </c>
      <c r="L488">
        <v>2</v>
      </c>
      <c r="M488" s="9">
        <v>115008</v>
      </c>
      <c r="N488" s="4">
        <v>8.2000000000000003E-2</v>
      </c>
      <c r="O488" s="4">
        <f t="shared" si="7"/>
        <v>8.2000000000000003E-2</v>
      </c>
      <c r="P488" s="11">
        <v>230016</v>
      </c>
      <c r="Q488" s="9">
        <v>18861.310000000001</v>
      </c>
      <c r="R488" s="9">
        <v>211154.69</v>
      </c>
      <c r="S488">
        <v>4</v>
      </c>
      <c r="T488">
        <v>192</v>
      </c>
      <c r="U488">
        <v>4.5</v>
      </c>
      <c r="V488">
        <v>4</v>
      </c>
      <c r="W488">
        <f>IF('Cleaned Data'!V488&lt;0,"Review",'Cleaned Data'!V488)</f>
        <v>4</v>
      </c>
      <c r="X488">
        <v>3</v>
      </c>
      <c r="Y488" s="7">
        <f>IFERROR('Cleaned Data'!R488/'Cleaned Data'!L488,0)</f>
        <v>105577.345</v>
      </c>
      <c r="Z488" t="str">
        <f>TEXT(EV_Sales[[#This Row],[Order_Date]],"mmm-yyyy")</f>
        <v>Jul-2025</v>
      </c>
      <c r="AA488">
        <f>MONTH(EV_Sales[[#This Row],[Order_Date]])</f>
        <v>7</v>
      </c>
      <c r="AB488" s="12" t="str">
        <f>"Q"&amp;ROUNDUP(MONTH(EV_Sales[[#This Row],[Order_Date]])/3,0)</f>
        <v>Q3</v>
      </c>
    </row>
    <row r="489" spans="1:28" x14ac:dyDescent="0.3">
      <c r="A489" t="s">
        <v>595</v>
      </c>
      <c r="B489" s="2">
        <v>45837</v>
      </c>
      <c r="C489" t="s">
        <v>31</v>
      </c>
      <c r="D489" t="s">
        <v>32</v>
      </c>
      <c r="E489" t="s">
        <v>46</v>
      </c>
      <c r="F489" t="s">
        <v>25</v>
      </c>
      <c r="G489" t="s">
        <v>34</v>
      </c>
      <c r="H489" t="s">
        <v>809</v>
      </c>
      <c r="I489" t="str">
        <f>IF('Cleaned Data'!H489="Emi","EMI",'Cleaned Data'!H489)</f>
        <v>EMI</v>
      </c>
      <c r="J489" t="s">
        <v>57</v>
      </c>
      <c r="K489" t="s">
        <v>42</v>
      </c>
      <c r="L489">
        <v>1</v>
      </c>
      <c r="M489" s="9">
        <v>109935</v>
      </c>
      <c r="N489" s="4">
        <v>9.0999999999999998E-2</v>
      </c>
      <c r="O489" s="4">
        <f t="shared" si="7"/>
        <v>9.0999999999999998E-2</v>
      </c>
      <c r="P489" s="11">
        <v>109935</v>
      </c>
      <c r="Q489" s="9">
        <v>10004.08</v>
      </c>
      <c r="R489" s="9">
        <v>99930.92</v>
      </c>
      <c r="S489">
        <v>4</v>
      </c>
      <c r="T489">
        <v>173</v>
      </c>
      <c r="U489">
        <v>3.4</v>
      </c>
      <c r="V489">
        <v>2</v>
      </c>
      <c r="W489">
        <f>IF('Cleaned Data'!V489&lt;0,"Review",'Cleaned Data'!V489)</f>
        <v>2</v>
      </c>
      <c r="X489">
        <v>2</v>
      </c>
      <c r="Y489" s="7">
        <f>IFERROR('Cleaned Data'!R489/'Cleaned Data'!L489,0)</f>
        <v>99930.92</v>
      </c>
      <c r="Z489" t="str">
        <f>TEXT(EV_Sales[[#This Row],[Order_Date]],"mmm-yyyy")</f>
        <v>Jun-2025</v>
      </c>
      <c r="AA489">
        <f>MONTH(EV_Sales[[#This Row],[Order_Date]])</f>
        <v>6</v>
      </c>
      <c r="AB489" s="12" t="str">
        <f>"Q"&amp;ROUNDUP(MONTH(EV_Sales[[#This Row],[Order_Date]])/3,0)</f>
        <v>Q2</v>
      </c>
    </row>
    <row r="490" spans="1:28" x14ac:dyDescent="0.3">
      <c r="A490" t="s">
        <v>596</v>
      </c>
      <c r="B490" s="2">
        <v>45866</v>
      </c>
      <c r="C490" t="s">
        <v>22</v>
      </c>
      <c r="D490" t="s">
        <v>23</v>
      </c>
      <c r="E490" t="s">
        <v>46</v>
      </c>
      <c r="F490" t="s">
        <v>66</v>
      </c>
      <c r="G490" t="s">
        <v>56</v>
      </c>
      <c r="H490" t="s">
        <v>27</v>
      </c>
      <c r="I490" t="str">
        <f>IF('Cleaned Data'!H490="Emi","EMI",'Cleaned Data'!H490)</f>
        <v>Finance</v>
      </c>
      <c r="J490" t="s">
        <v>94</v>
      </c>
      <c r="K490" t="s">
        <v>42</v>
      </c>
      <c r="L490">
        <v>5</v>
      </c>
      <c r="M490" s="9">
        <v>123009</v>
      </c>
      <c r="N490" s="4">
        <v>0.11799999999999999</v>
      </c>
      <c r="O490" s="4">
        <f t="shared" si="7"/>
        <v>0.11799999999999999</v>
      </c>
      <c r="P490" s="11">
        <v>615045</v>
      </c>
      <c r="Q490" s="9">
        <v>72575.31</v>
      </c>
      <c r="R490" s="9">
        <v>542469.68999999994</v>
      </c>
      <c r="S490">
        <v>5</v>
      </c>
      <c r="T490">
        <v>201</v>
      </c>
      <c r="U490">
        <v>4</v>
      </c>
      <c r="V490">
        <v>5</v>
      </c>
      <c r="W490">
        <f>IF('Cleaned Data'!V490&lt;0,"Review",'Cleaned Data'!V490)</f>
        <v>5</v>
      </c>
      <c r="X490">
        <v>2</v>
      </c>
      <c r="Y490" s="7">
        <f>IFERROR('Cleaned Data'!R490/'Cleaned Data'!L490,0)</f>
        <v>108493.93799999999</v>
      </c>
      <c r="Z490" t="str">
        <f>TEXT(EV_Sales[[#This Row],[Order_Date]],"mmm-yyyy")</f>
        <v>Jul-2025</v>
      </c>
      <c r="AA490">
        <f>MONTH(EV_Sales[[#This Row],[Order_Date]])</f>
        <v>7</v>
      </c>
      <c r="AB490" s="12" t="str">
        <f>"Q"&amp;ROUNDUP(MONTH(EV_Sales[[#This Row],[Order_Date]])/3,0)</f>
        <v>Q3</v>
      </c>
    </row>
    <row r="491" spans="1:28" x14ac:dyDescent="0.3">
      <c r="A491" t="s">
        <v>597</v>
      </c>
      <c r="B491" s="2">
        <v>46010</v>
      </c>
      <c r="C491" t="s">
        <v>31</v>
      </c>
      <c r="D491" t="s">
        <v>32</v>
      </c>
      <c r="E491" t="s">
        <v>24</v>
      </c>
      <c r="F491" t="s">
        <v>66</v>
      </c>
      <c r="G491" t="s">
        <v>34</v>
      </c>
      <c r="H491" t="s">
        <v>809</v>
      </c>
      <c r="I491" t="str">
        <f>IF('Cleaned Data'!H491="Emi","EMI",'Cleaned Data'!H491)</f>
        <v>EMI</v>
      </c>
      <c r="J491" t="s">
        <v>94</v>
      </c>
      <c r="K491" t="s">
        <v>29</v>
      </c>
      <c r="L491">
        <v>3</v>
      </c>
      <c r="M491" s="9">
        <v>115705</v>
      </c>
      <c r="N491" s="4">
        <v>7.0999999999999994E-2</v>
      </c>
      <c r="O491" s="4">
        <f t="shared" si="7"/>
        <v>7.0999999999999994E-2</v>
      </c>
      <c r="P491" s="11">
        <v>347115</v>
      </c>
      <c r="Q491" s="9">
        <v>24645.16</v>
      </c>
      <c r="R491" s="9">
        <v>322469.84000000003</v>
      </c>
      <c r="S491">
        <v>3</v>
      </c>
      <c r="T491">
        <v>169</v>
      </c>
      <c r="U491">
        <v>4.4000000000000004</v>
      </c>
      <c r="V491">
        <v>10</v>
      </c>
      <c r="W491">
        <f>IF('Cleaned Data'!V491&lt;0,"Review",'Cleaned Data'!V491)</f>
        <v>10</v>
      </c>
      <c r="X491">
        <v>5</v>
      </c>
      <c r="Y491" s="7">
        <f>IFERROR('Cleaned Data'!R491/'Cleaned Data'!L491,0)</f>
        <v>107489.94666666667</v>
      </c>
      <c r="Z491" t="str">
        <f>TEXT(EV_Sales[[#This Row],[Order_Date]],"mmm-yyyy")</f>
        <v>Dec-2025</v>
      </c>
      <c r="AA491">
        <f>MONTH(EV_Sales[[#This Row],[Order_Date]])</f>
        <v>12</v>
      </c>
      <c r="AB491" s="12" t="str">
        <f>"Q"&amp;ROUNDUP(MONTH(EV_Sales[[#This Row],[Order_Date]])/3,0)</f>
        <v>Q4</v>
      </c>
    </row>
    <row r="492" spans="1:28" x14ac:dyDescent="0.3">
      <c r="A492" t="s">
        <v>598</v>
      </c>
      <c r="B492" s="2">
        <v>45734</v>
      </c>
      <c r="C492" t="s">
        <v>60</v>
      </c>
      <c r="D492" t="s">
        <v>61</v>
      </c>
      <c r="E492" t="s">
        <v>62</v>
      </c>
      <c r="F492" t="s">
        <v>52</v>
      </c>
      <c r="G492" t="s">
        <v>26</v>
      </c>
      <c r="H492" t="s">
        <v>53</v>
      </c>
      <c r="I492" t="str">
        <f>IF('Cleaned Data'!H492="Emi","EMI",'Cleaned Data'!H492)</f>
        <v>Cash</v>
      </c>
      <c r="J492" t="s">
        <v>48</v>
      </c>
      <c r="K492" t="s">
        <v>42</v>
      </c>
      <c r="L492">
        <v>4</v>
      </c>
      <c r="M492" s="9">
        <v>119849</v>
      </c>
      <c r="N492" s="4">
        <v>9.4E-2</v>
      </c>
      <c r="O492" s="4">
        <f t="shared" si="7"/>
        <v>9.4E-2</v>
      </c>
      <c r="P492" s="11">
        <v>479396</v>
      </c>
      <c r="Q492" s="9">
        <v>45063.22</v>
      </c>
      <c r="R492" s="9">
        <v>434332.78</v>
      </c>
      <c r="S492">
        <v>2</v>
      </c>
      <c r="T492">
        <v>157</v>
      </c>
      <c r="U492">
        <v>3.9</v>
      </c>
      <c r="V492">
        <v>10</v>
      </c>
      <c r="W492">
        <f>IF('Cleaned Data'!V492&lt;0,"Review",'Cleaned Data'!V492)</f>
        <v>10</v>
      </c>
      <c r="X492">
        <v>3</v>
      </c>
      <c r="Y492" s="7">
        <f>IFERROR('Cleaned Data'!R492/'Cleaned Data'!L492,0)</f>
        <v>108583.19500000001</v>
      </c>
      <c r="Z492" t="str">
        <f>TEXT(EV_Sales[[#This Row],[Order_Date]],"mmm-yyyy")</f>
        <v>Mar-2025</v>
      </c>
      <c r="AA492">
        <f>MONTH(EV_Sales[[#This Row],[Order_Date]])</f>
        <v>3</v>
      </c>
      <c r="AB492" s="12" t="str">
        <f>"Q"&amp;ROUNDUP(MONTH(EV_Sales[[#This Row],[Order_Date]])/3,0)</f>
        <v>Q1</v>
      </c>
    </row>
    <row r="493" spans="1:28" x14ac:dyDescent="0.3">
      <c r="A493" t="s">
        <v>599</v>
      </c>
      <c r="B493" s="2">
        <v>45983</v>
      </c>
      <c r="C493" t="s">
        <v>76</v>
      </c>
      <c r="D493" t="s">
        <v>117</v>
      </c>
      <c r="E493" t="s">
        <v>62</v>
      </c>
      <c r="F493" t="s">
        <v>70</v>
      </c>
      <c r="G493" t="s">
        <v>67</v>
      </c>
      <c r="H493" t="s">
        <v>53</v>
      </c>
      <c r="I493" t="str">
        <f>IF('Cleaned Data'!H493="Emi","EMI",'Cleaned Data'!H493)</f>
        <v>Cash</v>
      </c>
      <c r="J493" t="s">
        <v>57</v>
      </c>
      <c r="K493" t="s">
        <v>123</v>
      </c>
      <c r="L493">
        <v>1</v>
      </c>
      <c r="M493" s="9">
        <v>128059</v>
      </c>
      <c r="N493" s="4">
        <v>9.0999999999999998E-2</v>
      </c>
      <c r="O493" s="4">
        <f t="shared" si="7"/>
        <v>9.0999999999999998E-2</v>
      </c>
      <c r="P493" s="11">
        <v>128059</v>
      </c>
      <c r="Q493" s="9">
        <v>11653.37</v>
      </c>
      <c r="R493" s="9">
        <v>116405.63</v>
      </c>
      <c r="S493">
        <v>4</v>
      </c>
      <c r="T493">
        <v>182</v>
      </c>
      <c r="U493">
        <v>4.3</v>
      </c>
      <c r="V493">
        <v>14</v>
      </c>
      <c r="W493">
        <f>IF('Cleaned Data'!V493&lt;0,"Review",'Cleaned Data'!V493)</f>
        <v>14</v>
      </c>
      <c r="X493">
        <v>3</v>
      </c>
      <c r="Y493" s="7">
        <f>IFERROR('Cleaned Data'!R493/'Cleaned Data'!L493,0)</f>
        <v>116405.63</v>
      </c>
      <c r="Z493" t="str">
        <f>TEXT(EV_Sales[[#This Row],[Order_Date]],"mmm-yyyy")</f>
        <v>Nov-2025</v>
      </c>
      <c r="AA493">
        <f>MONTH(EV_Sales[[#This Row],[Order_Date]])</f>
        <v>11</v>
      </c>
      <c r="AB493" s="12" t="str">
        <f>"Q"&amp;ROUNDUP(MONTH(EV_Sales[[#This Row],[Order_Date]])/3,0)</f>
        <v>Q4</v>
      </c>
    </row>
    <row r="494" spans="1:28" x14ac:dyDescent="0.3">
      <c r="A494" t="s">
        <v>600</v>
      </c>
      <c r="B494" s="2">
        <v>45667</v>
      </c>
      <c r="C494" t="s">
        <v>87</v>
      </c>
      <c r="D494" t="s">
        <v>88</v>
      </c>
      <c r="E494" t="s">
        <v>46</v>
      </c>
      <c r="F494" t="s">
        <v>41</v>
      </c>
      <c r="G494" t="s">
        <v>67</v>
      </c>
      <c r="H494" t="s">
        <v>27</v>
      </c>
      <c r="I494" t="str">
        <f>IF('Cleaned Data'!H494="Emi","EMI",'Cleaned Data'!H494)</f>
        <v>Finance</v>
      </c>
      <c r="J494" t="s">
        <v>94</v>
      </c>
      <c r="K494" t="s">
        <v>92</v>
      </c>
      <c r="L494">
        <v>1</v>
      </c>
      <c r="M494" s="9">
        <v>148016</v>
      </c>
      <c r="N494" s="4">
        <v>7.1999999999999995E-2</v>
      </c>
      <c r="O494" s="4">
        <f t="shared" si="7"/>
        <v>7.1999999999999995E-2</v>
      </c>
      <c r="P494" s="11">
        <v>148016</v>
      </c>
      <c r="Q494" s="9">
        <v>10657.15</v>
      </c>
      <c r="R494" s="9">
        <v>137358.85</v>
      </c>
      <c r="S494">
        <v>4</v>
      </c>
      <c r="T494">
        <v>171</v>
      </c>
      <c r="U494">
        <v>4.7</v>
      </c>
      <c r="V494">
        <v>8</v>
      </c>
      <c r="W494">
        <f>IF('Cleaned Data'!V494&lt;0,"Review",'Cleaned Data'!V494)</f>
        <v>8</v>
      </c>
      <c r="X494">
        <v>3</v>
      </c>
      <c r="Y494" s="7">
        <f>IFERROR('Cleaned Data'!R494/'Cleaned Data'!L494,0)</f>
        <v>137358.85</v>
      </c>
      <c r="Z494" t="str">
        <f>TEXT(EV_Sales[[#This Row],[Order_Date]],"mmm-yyyy")</f>
        <v>Jan-2025</v>
      </c>
      <c r="AA494">
        <f>MONTH(EV_Sales[[#This Row],[Order_Date]])</f>
        <v>1</v>
      </c>
      <c r="AB494" s="12" t="str">
        <f>"Q"&amp;ROUNDUP(MONTH(EV_Sales[[#This Row],[Order_Date]])/3,0)</f>
        <v>Q1</v>
      </c>
    </row>
    <row r="495" spans="1:28" x14ac:dyDescent="0.3">
      <c r="A495" t="s">
        <v>601</v>
      </c>
      <c r="B495" s="2">
        <v>45810</v>
      </c>
      <c r="C495" t="s">
        <v>87</v>
      </c>
      <c r="D495" t="s">
        <v>130</v>
      </c>
      <c r="E495" t="s">
        <v>24</v>
      </c>
      <c r="F495" t="s">
        <v>66</v>
      </c>
      <c r="G495" t="s">
        <v>56</v>
      </c>
      <c r="H495" t="s">
        <v>53</v>
      </c>
      <c r="I495" t="str">
        <f>IF('Cleaned Data'!H495="Emi","EMI",'Cleaned Data'!H495)</f>
        <v>Cash</v>
      </c>
      <c r="J495" t="s">
        <v>28</v>
      </c>
      <c r="K495" t="s">
        <v>85</v>
      </c>
      <c r="L495">
        <v>1</v>
      </c>
      <c r="M495" s="9">
        <v>113817</v>
      </c>
      <c r="N495" s="4">
        <v>3.9E-2</v>
      </c>
      <c r="O495" s="4">
        <f t="shared" si="7"/>
        <v>3.9E-2</v>
      </c>
      <c r="P495" s="11">
        <v>113817</v>
      </c>
      <c r="Q495" s="9">
        <v>4438.8599999999997</v>
      </c>
      <c r="R495" s="9">
        <v>109378.14</v>
      </c>
      <c r="S495">
        <v>4</v>
      </c>
      <c r="T495">
        <v>185</v>
      </c>
      <c r="U495">
        <v>3.7</v>
      </c>
      <c r="V495">
        <v>8</v>
      </c>
      <c r="W495">
        <f>IF('Cleaned Data'!V495&lt;0,"Review",'Cleaned Data'!V495)</f>
        <v>8</v>
      </c>
      <c r="X495">
        <v>2</v>
      </c>
      <c r="Y495" s="7">
        <f>IFERROR('Cleaned Data'!R495/'Cleaned Data'!L495,0)</f>
        <v>109378.14</v>
      </c>
      <c r="Z495" t="str">
        <f>TEXT(EV_Sales[[#This Row],[Order_Date]],"mmm-yyyy")</f>
        <v>Jun-2025</v>
      </c>
      <c r="AA495">
        <f>MONTH(EV_Sales[[#This Row],[Order_Date]])</f>
        <v>6</v>
      </c>
      <c r="AB495" s="12" t="str">
        <f>"Q"&amp;ROUNDUP(MONTH(EV_Sales[[#This Row],[Order_Date]])/3,0)</f>
        <v>Q2</v>
      </c>
    </row>
    <row r="496" spans="1:28" x14ac:dyDescent="0.3">
      <c r="A496" t="s">
        <v>602</v>
      </c>
      <c r="B496" s="2">
        <v>45806</v>
      </c>
      <c r="C496" t="s">
        <v>44</v>
      </c>
      <c r="D496" t="s">
        <v>45</v>
      </c>
      <c r="E496" t="s">
        <v>24</v>
      </c>
      <c r="F496" t="s">
        <v>80</v>
      </c>
      <c r="G496" t="s">
        <v>34</v>
      </c>
      <c r="H496" t="s">
        <v>27</v>
      </c>
      <c r="I496" t="str">
        <f>IF('Cleaned Data'!H496="Emi","EMI",'Cleaned Data'!H496)</f>
        <v>Finance</v>
      </c>
      <c r="J496" t="s">
        <v>48</v>
      </c>
      <c r="K496" t="s">
        <v>109</v>
      </c>
      <c r="L496">
        <v>5</v>
      </c>
      <c r="M496" s="9">
        <v>158337</v>
      </c>
      <c r="N496" s="4">
        <v>2.5999999999999999E-2</v>
      </c>
      <c r="O496" s="4">
        <f t="shared" si="7"/>
        <v>2.5999999999999999E-2</v>
      </c>
      <c r="P496" s="11">
        <v>791685</v>
      </c>
      <c r="Q496" s="9">
        <v>20583.810000000001</v>
      </c>
      <c r="R496" s="9">
        <v>771101.19</v>
      </c>
      <c r="S496">
        <v>3</v>
      </c>
      <c r="T496">
        <v>164</v>
      </c>
      <c r="U496">
        <v>4.5</v>
      </c>
      <c r="V496">
        <v>4</v>
      </c>
      <c r="W496">
        <f>IF('Cleaned Data'!V496&lt;0,"Review",'Cleaned Data'!V496)</f>
        <v>4</v>
      </c>
      <c r="X496">
        <v>2</v>
      </c>
      <c r="Y496" s="7">
        <f>IFERROR('Cleaned Data'!R496/'Cleaned Data'!L496,0)</f>
        <v>154220.23799999998</v>
      </c>
      <c r="Z496" t="str">
        <f>TEXT(EV_Sales[[#This Row],[Order_Date]],"mmm-yyyy")</f>
        <v>May-2025</v>
      </c>
      <c r="AA496">
        <f>MONTH(EV_Sales[[#This Row],[Order_Date]])</f>
        <v>5</v>
      </c>
      <c r="AB496" s="12" t="str">
        <f>"Q"&amp;ROUNDUP(MONTH(EV_Sales[[#This Row],[Order_Date]])/3,0)</f>
        <v>Q2</v>
      </c>
    </row>
    <row r="497" spans="1:28" x14ac:dyDescent="0.3">
      <c r="A497" t="s">
        <v>603</v>
      </c>
      <c r="B497" s="2">
        <v>45748</v>
      </c>
      <c r="C497" t="s">
        <v>87</v>
      </c>
      <c r="D497" t="s">
        <v>130</v>
      </c>
      <c r="E497" t="s">
        <v>46</v>
      </c>
      <c r="F497" t="s">
        <v>33</v>
      </c>
      <c r="G497" t="s">
        <v>34</v>
      </c>
      <c r="H497" t="s">
        <v>809</v>
      </c>
      <c r="I497" t="str">
        <f>IF('Cleaned Data'!H497="Emi","EMI",'Cleaned Data'!H497)</f>
        <v>EMI</v>
      </c>
      <c r="J497" t="s">
        <v>28</v>
      </c>
      <c r="K497" t="s">
        <v>175</v>
      </c>
      <c r="L497">
        <v>2</v>
      </c>
      <c r="M497" s="9">
        <v>107819</v>
      </c>
      <c r="N497" s="4">
        <v>4.4999999999999998E-2</v>
      </c>
      <c r="O497" s="4">
        <f t="shared" si="7"/>
        <v>4.4999999999999998E-2</v>
      </c>
      <c r="P497" s="11">
        <v>215638</v>
      </c>
      <c r="Q497" s="9">
        <v>9703.7099999999991</v>
      </c>
      <c r="R497" s="9">
        <v>205934.29</v>
      </c>
      <c r="S497">
        <v>3</v>
      </c>
      <c r="T497">
        <v>170</v>
      </c>
      <c r="U497">
        <v>3.7</v>
      </c>
      <c r="V497">
        <v>4</v>
      </c>
      <c r="W497">
        <f>IF('Cleaned Data'!V497&lt;0,"Review",'Cleaned Data'!V497)</f>
        <v>4</v>
      </c>
      <c r="X497">
        <v>5</v>
      </c>
      <c r="Y497" s="7">
        <f>IFERROR('Cleaned Data'!R497/'Cleaned Data'!L497,0)</f>
        <v>102967.145</v>
      </c>
      <c r="Z497" t="str">
        <f>TEXT(EV_Sales[[#This Row],[Order_Date]],"mmm-yyyy")</f>
        <v>Apr-2025</v>
      </c>
      <c r="AA497">
        <f>MONTH(EV_Sales[[#This Row],[Order_Date]])</f>
        <v>4</v>
      </c>
      <c r="AB497" s="12" t="str">
        <f>"Q"&amp;ROUNDUP(MONTH(EV_Sales[[#This Row],[Order_Date]])/3,0)</f>
        <v>Q2</v>
      </c>
    </row>
    <row r="498" spans="1:28" x14ac:dyDescent="0.3">
      <c r="A498" t="s">
        <v>604</v>
      </c>
      <c r="B498" s="2">
        <v>45953</v>
      </c>
      <c r="C498" t="s">
        <v>44</v>
      </c>
      <c r="D498" t="s">
        <v>51</v>
      </c>
      <c r="E498" t="s">
        <v>62</v>
      </c>
      <c r="F498" t="s">
        <v>66</v>
      </c>
      <c r="G498" t="s">
        <v>56</v>
      </c>
      <c r="H498" t="s">
        <v>809</v>
      </c>
      <c r="I498" t="str">
        <f>IF('Cleaned Data'!H498="Emi","EMI",'Cleaned Data'!H498)</f>
        <v>EMI</v>
      </c>
      <c r="J498" t="s">
        <v>48</v>
      </c>
      <c r="K498" t="s">
        <v>37</v>
      </c>
      <c r="L498">
        <v>2</v>
      </c>
      <c r="M498" s="9">
        <v>122819</v>
      </c>
      <c r="N498" s="4">
        <v>5.7000000000000002E-2</v>
      </c>
      <c r="O498" s="4">
        <f t="shared" si="7"/>
        <v>5.7000000000000002E-2</v>
      </c>
      <c r="P498" s="11">
        <v>245638</v>
      </c>
      <c r="Q498" s="9">
        <v>14001.37</v>
      </c>
      <c r="R498" s="9">
        <v>231636.63</v>
      </c>
      <c r="S498">
        <v>4</v>
      </c>
      <c r="T498">
        <v>169</v>
      </c>
      <c r="U498">
        <v>4.0999999999999996</v>
      </c>
      <c r="V498">
        <v>12</v>
      </c>
      <c r="W498">
        <f>IF('Cleaned Data'!V498&lt;0,"Review",'Cleaned Data'!V498)</f>
        <v>12</v>
      </c>
      <c r="X498">
        <v>3</v>
      </c>
      <c r="Y498" s="7">
        <f>IFERROR('Cleaned Data'!R498/'Cleaned Data'!L498,0)</f>
        <v>115818.315</v>
      </c>
      <c r="Z498" t="str">
        <f>TEXT(EV_Sales[[#This Row],[Order_Date]],"mmm-yyyy")</f>
        <v>Oct-2025</v>
      </c>
      <c r="AA498">
        <f>MONTH(EV_Sales[[#This Row],[Order_Date]])</f>
        <v>10</v>
      </c>
      <c r="AB498" s="12" t="str">
        <f>"Q"&amp;ROUNDUP(MONTH(EV_Sales[[#This Row],[Order_Date]])/3,0)</f>
        <v>Q4</v>
      </c>
    </row>
    <row r="499" spans="1:28" x14ac:dyDescent="0.3">
      <c r="A499" t="s">
        <v>605</v>
      </c>
      <c r="B499" s="2">
        <v>45791</v>
      </c>
      <c r="C499" t="s">
        <v>60</v>
      </c>
      <c r="D499" t="s">
        <v>69</v>
      </c>
      <c r="E499" t="s">
        <v>46</v>
      </c>
      <c r="F499" t="s">
        <v>80</v>
      </c>
      <c r="G499" t="s">
        <v>26</v>
      </c>
      <c r="H499" t="s">
        <v>809</v>
      </c>
      <c r="I499" t="str">
        <f>IF('Cleaned Data'!H499="Emi","EMI",'Cleaned Data'!H499)</f>
        <v>EMI</v>
      </c>
      <c r="J499" t="s">
        <v>48</v>
      </c>
      <c r="K499" t="s">
        <v>64</v>
      </c>
      <c r="L499">
        <v>2</v>
      </c>
      <c r="M499" s="9">
        <v>106497</v>
      </c>
      <c r="N499" s="4">
        <v>8.5999999999999993E-2</v>
      </c>
      <c r="O499" s="4">
        <f t="shared" si="7"/>
        <v>8.5999999999999993E-2</v>
      </c>
      <c r="P499" s="11">
        <v>212994</v>
      </c>
      <c r="Q499" s="9">
        <v>18317.48</v>
      </c>
      <c r="R499" s="9">
        <v>194676.52</v>
      </c>
      <c r="S499">
        <v>4</v>
      </c>
      <c r="T499">
        <v>165</v>
      </c>
      <c r="U499">
        <v>3.9</v>
      </c>
      <c r="V499">
        <v>9</v>
      </c>
      <c r="W499">
        <f>IF('Cleaned Data'!V499&lt;0,"Review",'Cleaned Data'!V499)</f>
        <v>9</v>
      </c>
      <c r="X499">
        <v>3</v>
      </c>
      <c r="Y499" s="7">
        <f>IFERROR('Cleaned Data'!R499/'Cleaned Data'!L499,0)</f>
        <v>97338.26</v>
      </c>
      <c r="Z499" t="str">
        <f>TEXT(EV_Sales[[#This Row],[Order_Date]],"mmm-yyyy")</f>
        <v>May-2025</v>
      </c>
      <c r="AA499">
        <f>MONTH(EV_Sales[[#This Row],[Order_Date]])</f>
        <v>5</v>
      </c>
      <c r="AB499" s="12" t="str">
        <f>"Q"&amp;ROUNDUP(MONTH(EV_Sales[[#This Row],[Order_Date]])/3,0)</f>
        <v>Q2</v>
      </c>
    </row>
    <row r="500" spans="1:28" x14ac:dyDescent="0.3">
      <c r="A500" t="s">
        <v>606</v>
      </c>
      <c r="B500" s="2">
        <v>45693</v>
      </c>
      <c r="C500" t="s">
        <v>44</v>
      </c>
      <c r="D500" t="s">
        <v>51</v>
      </c>
      <c r="E500" t="s">
        <v>24</v>
      </c>
      <c r="F500" t="s">
        <v>70</v>
      </c>
      <c r="G500" t="s">
        <v>26</v>
      </c>
      <c r="H500" t="s">
        <v>53</v>
      </c>
      <c r="I500" t="str">
        <f>IF('Cleaned Data'!H500="Emi","EMI",'Cleaned Data'!H500)</f>
        <v>Cash</v>
      </c>
      <c r="J500" t="s">
        <v>94</v>
      </c>
      <c r="K500" t="s">
        <v>148</v>
      </c>
      <c r="L500">
        <v>1</v>
      </c>
      <c r="M500" s="9">
        <v>113994</v>
      </c>
      <c r="N500" s="4">
        <v>5.5E-2</v>
      </c>
      <c r="O500" s="4">
        <f t="shared" si="7"/>
        <v>5.5E-2</v>
      </c>
      <c r="P500" s="11">
        <v>113994</v>
      </c>
      <c r="Q500" s="9">
        <v>6269.67</v>
      </c>
      <c r="R500" s="9">
        <v>107724.33</v>
      </c>
      <c r="S500">
        <v>4</v>
      </c>
      <c r="T500">
        <v>197</v>
      </c>
      <c r="U500">
        <v>4</v>
      </c>
      <c r="V500">
        <v>2</v>
      </c>
      <c r="W500">
        <f>IF('Cleaned Data'!V500&lt;0,"Review",'Cleaned Data'!V500)</f>
        <v>2</v>
      </c>
      <c r="X500">
        <v>2</v>
      </c>
      <c r="Y500" s="7">
        <f>IFERROR('Cleaned Data'!R500/'Cleaned Data'!L500,0)</f>
        <v>107724.33</v>
      </c>
      <c r="Z500" t="str">
        <f>TEXT(EV_Sales[[#This Row],[Order_Date]],"mmm-yyyy")</f>
        <v>Feb-2025</v>
      </c>
      <c r="AA500">
        <f>MONTH(EV_Sales[[#This Row],[Order_Date]])</f>
        <v>2</v>
      </c>
      <c r="AB500" s="12" t="str">
        <f>"Q"&amp;ROUNDUP(MONTH(EV_Sales[[#This Row],[Order_Date]])/3,0)</f>
        <v>Q1</v>
      </c>
    </row>
    <row r="501" spans="1:28" x14ac:dyDescent="0.3">
      <c r="A501" t="s">
        <v>607</v>
      </c>
      <c r="B501" s="2">
        <v>45887</v>
      </c>
      <c r="C501" t="s">
        <v>99</v>
      </c>
      <c r="D501" t="s">
        <v>100</v>
      </c>
      <c r="E501" t="s">
        <v>24</v>
      </c>
      <c r="F501" t="s">
        <v>70</v>
      </c>
      <c r="G501" t="s">
        <v>26</v>
      </c>
      <c r="H501" t="s">
        <v>27</v>
      </c>
      <c r="I501" t="str">
        <f>IF('Cleaned Data'!H501="Emi","EMI",'Cleaned Data'!H501)</f>
        <v>Finance</v>
      </c>
      <c r="J501" t="s">
        <v>48</v>
      </c>
      <c r="K501" t="s">
        <v>212</v>
      </c>
      <c r="L501">
        <v>1</v>
      </c>
      <c r="M501" s="9">
        <v>117791</v>
      </c>
      <c r="N501" s="4">
        <v>0.09</v>
      </c>
      <c r="O501" s="4">
        <f t="shared" si="7"/>
        <v>0.09</v>
      </c>
      <c r="P501" s="11">
        <v>117791</v>
      </c>
      <c r="Q501" s="9">
        <v>10601.19</v>
      </c>
      <c r="R501" s="9">
        <v>107189.81</v>
      </c>
      <c r="S501">
        <v>2</v>
      </c>
      <c r="T501">
        <v>125</v>
      </c>
      <c r="U501">
        <v>4.0999999999999996</v>
      </c>
      <c r="V501">
        <v>13</v>
      </c>
      <c r="W501">
        <f>IF('Cleaned Data'!V501&lt;0,"Review",'Cleaned Data'!V501)</f>
        <v>13</v>
      </c>
      <c r="X501">
        <v>3</v>
      </c>
      <c r="Y501" s="7">
        <f>IFERROR('Cleaned Data'!R501/'Cleaned Data'!L501,0)</f>
        <v>107189.81</v>
      </c>
      <c r="Z501" t="str">
        <f>TEXT(EV_Sales[[#This Row],[Order_Date]],"mmm-yyyy")</f>
        <v>Aug-2025</v>
      </c>
      <c r="AA501">
        <f>MONTH(EV_Sales[[#This Row],[Order_Date]])</f>
        <v>8</v>
      </c>
      <c r="AB501" s="12" t="str">
        <f>"Q"&amp;ROUNDUP(MONTH(EV_Sales[[#This Row],[Order_Date]])/3,0)</f>
        <v>Q3</v>
      </c>
    </row>
    <row r="502" spans="1:28" x14ac:dyDescent="0.3">
      <c r="A502" t="s">
        <v>608</v>
      </c>
      <c r="B502" s="2">
        <v>45745</v>
      </c>
      <c r="C502" t="s">
        <v>44</v>
      </c>
      <c r="D502" t="s">
        <v>45</v>
      </c>
      <c r="E502" t="s">
        <v>46</v>
      </c>
      <c r="F502" t="s">
        <v>33</v>
      </c>
      <c r="G502" t="s">
        <v>26</v>
      </c>
      <c r="H502" t="s">
        <v>53</v>
      </c>
      <c r="I502" t="str">
        <f>IF('Cleaned Data'!H502="Emi","EMI",'Cleaned Data'!H502)</f>
        <v>Cash</v>
      </c>
      <c r="J502" t="s">
        <v>36</v>
      </c>
      <c r="K502" t="s">
        <v>104</v>
      </c>
      <c r="L502">
        <v>1</v>
      </c>
      <c r="M502" s="9">
        <v>153296</v>
      </c>
      <c r="N502" s="4">
        <v>7.1999999999999995E-2</v>
      </c>
      <c r="O502" s="4">
        <f t="shared" si="7"/>
        <v>7.1999999999999995E-2</v>
      </c>
      <c r="P502" s="11">
        <v>153296</v>
      </c>
      <c r="Q502" s="9">
        <v>11037.31</v>
      </c>
      <c r="R502" s="9">
        <v>142258.69</v>
      </c>
      <c r="S502">
        <v>3</v>
      </c>
      <c r="T502">
        <v>165</v>
      </c>
      <c r="U502">
        <v>4</v>
      </c>
      <c r="V502">
        <v>2</v>
      </c>
      <c r="W502">
        <f>IF('Cleaned Data'!V502&lt;0,"Review",'Cleaned Data'!V502)</f>
        <v>2</v>
      </c>
      <c r="X502">
        <v>3</v>
      </c>
      <c r="Y502" s="7">
        <f>IFERROR('Cleaned Data'!R502/'Cleaned Data'!L502,0)</f>
        <v>142258.69</v>
      </c>
      <c r="Z502" t="str">
        <f>TEXT(EV_Sales[[#This Row],[Order_Date]],"mmm-yyyy")</f>
        <v>Mar-2025</v>
      </c>
      <c r="AA502">
        <f>MONTH(EV_Sales[[#This Row],[Order_Date]])</f>
        <v>3</v>
      </c>
      <c r="AB502" s="12" t="str">
        <f>"Q"&amp;ROUNDUP(MONTH(EV_Sales[[#This Row],[Order_Date]])/3,0)</f>
        <v>Q1</v>
      </c>
    </row>
    <row r="503" spans="1:28" x14ac:dyDescent="0.3">
      <c r="A503" t="s">
        <v>609</v>
      </c>
      <c r="B503" s="2">
        <v>45745</v>
      </c>
      <c r="C503" t="s">
        <v>22</v>
      </c>
      <c r="D503" t="s">
        <v>107</v>
      </c>
      <c r="E503" t="s">
        <v>62</v>
      </c>
      <c r="F503" t="s">
        <v>52</v>
      </c>
      <c r="G503" t="s">
        <v>34</v>
      </c>
      <c r="H503" t="s">
        <v>809</v>
      </c>
      <c r="I503" t="str">
        <f>IF('Cleaned Data'!H503="Emi","EMI",'Cleaned Data'!H503)</f>
        <v>EMI</v>
      </c>
      <c r="J503" t="s">
        <v>94</v>
      </c>
      <c r="K503" t="s">
        <v>89</v>
      </c>
      <c r="L503">
        <v>1</v>
      </c>
      <c r="M503" s="9">
        <v>149879</v>
      </c>
      <c r="N503" s="4">
        <v>5.8999999999999997E-2</v>
      </c>
      <c r="O503" s="4">
        <f t="shared" si="7"/>
        <v>5.8999999999999997E-2</v>
      </c>
      <c r="P503" s="11">
        <v>149879</v>
      </c>
      <c r="Q503" s="9">
        <v>8842.86</v>
      </c>
      <c r="R503" s="9">
        <v>141036.14000000001</v>
      </c>
      <c r="S503">
        <v>4</v>
      </c>
      <c r="T503">
        <v>192</v>
      </c>
      <c r="U503">
        <v>3.5</v>
      </c>
      <c r="V503">
        <v>5</v>
      </c>
      <c r="W503">
        <f>IF('Cleaned Data'!V503&lt;0,"Review",'Cleaned Data'!V503)</f>
        <v>5</v>
      </c>
      <c r="X503">
        <v>2</v>
      </c>
      <c r="Y503" s="7">
        <f>IFERROR('Cleaned Data'!R503/'Cleaned Data'!L503,0)</f>
        <v>141036.14000000001</v>
      </c>
      <c r="Z503" t="str">
        <f>TEXT(EV_Sales[[#This Row],[Order_Date]],"mmm-yyyy")</f>
        <v>Mar-2025</v>
      </c>
      <c r="AA503">
        <f>MONTH(EV_Sales[[#This Row],[Order_Date]])</f>
        <v>3</v>
      </c>
      <c r="AB503" s="12" t="str">
        <f>"Q"&amp;ROUNDUP(MONTH(EV_Sales[[#This Row],[Order_Date]])/3,0)</f>
        <v>Q1</v>
      </c>
    </row>
    <row r="504" spans="1:28" x14ac:dyDescent="0.3">
      <c r="A504" t="s">
        <v>610</v>
      </c>
      <c r="B504" s="2">
        <v>45809</v>
      </c>
      <c r="C504" t="s">
        <v>31</v>
      </c>
      <c r="D504" t="s">
        <v>97</v>
      </c>
      <c r="E504" t="s">
        <v>24</v>
      </c>
      <c r="F504" t="s">
        <v>33</v>
      </c>
      <c r="G504" t="s">
        <v>34</v>
      </c>
      <c r="H504" t="s">
        <v>27</v>
      </c>
      <c r="I504" t="str">
        <f>IF('Cleaned Data'!H504="Emi","EMI",'Cleaned Data'!H504)</f>
        <v>Finance</v>
      </c>
      <c r="J504" t="s">
        <v>63</v>
      </c>
      <c r="K504" t="s">
        <v>83</v>
      </c>
      <c r="L504">
        <v>4</v>
      </c>
      <c r="M504" s="9">
        <v>122990</v>
      </c>
      <c r="N504" s="4">
        <v>4.5999999999999999E-2</v>
      </c>
      <c r="O504" s="4">
        <f t="shared" si="7"/>
        <v>4.5999999999999999E-2</v>
      </c>
      <c r="P504" s="11">
        <v>491960</v>
      </c>
      <c r="Q504" s="9">
        <v>22630.16</v>
      </c>
      <c r="R504" s="9">
        <v>469329.84</v>
      </c>
      <c r="S504">
        <v>5</v>
      </c>
      <c r="T504">
        <v>234</v>
      </c>
      <c r="U504">
        <v>4.8</v>
      </c>
      <c r="V504">
        <v>7</v>
      </c>
      <c r="W504">
        <f>IF('Cleaned Data'!V504&lt;0,"Review",'Cleaned Data'!V504)</f>
        <v>7</v>
      </c>
      <c r="X504">
        <v>5</v>
      </c>
      <c r="Y504" s="7">
        <f>IFERROR('Cleaned Data'!R504/'Cleaned Data'!L504,0)</f>
        <v>117332.46</v>
      </c>
      <c r="Z504" t="str">
        <f>TEXT(EV_Sales[[#This Row],[Order_Date]],"mmm-yyyy")</f>
        <v>Jun-2025</v>
      </c>
      <c r="AA504">
        <f>MONTH(EV_Sales[[#This Row],[Order_Date]])</f>
        <v>6</v>
      </c>
      <c r="AB504" s="12" t="str">
        <f>"Q"&amp;ROUNDUP(MONTH(EV_Sales[[#This Row],[Order_Date]])/3,0)</f>
        <v>Q2</v>
      </c>
    </row>
    <row r="505" spans="1:28" x14ac:dyDescent="0.3">
      <c r="A505" t="s">
        <v>611</v>
      </c>
      <c r="B505" s="2">
        <v>45699</v>
      </c>
      <c r="C505" t="s">
        <v>87</v>
      </c>
      <c r="D505" t="s">
        <v>88</v>
      </c>
      <c r="E505" t="s">
        <v>24</v>
      </c>
      <c r="F505" t="s">
        <v>52</v>
      </c>
      <c r="G505" t="s">
        <v>56</v>
      </c>
      <c r="H505" t="s">
        <v>809</v>
      </c>
      <c r="I505" t="str">
        <f>IF('Cleaned Data'!H505="Emi","EMI",'Cleaned Data'!H505)</f>
        <v>EMI</v>
      </c>
      <c r="J505" t="s">
        <v>36</v>
      </c>
      <c r="K505" t="s">
        <v>58</v>
      </c>
      <c r="L505">
        <v>3</v>
      </c>
      <c r="M505" s="9">
        <v>152799</v>
      </c>
      <c r="N505" s="4">
        <v>9.4E-2</v>
      </c>
      <c r="O505" s="4">
        <f t="shared" si="7"/>
        <v>9.4E-2</v>
      </c>
      <c r="P505" s="11">
        <v>458397</v>
      </c>
      <c r="Q505" s="9">
        <v>43089.32</v>
      </c>
      <c r="R505" s="9">
        <v>415307.68</v>
      </c>
      <c r="S505">
        <v>4</v>
      </c>
      <c r="T505">
        <v>195</v>
      </c>
      <c r="U505">
        <v>3.9</v>
      </c>
      <c r="V505">
        <v>3</v>
      </c>
      <c r="W505">
        <f>IF('Cleaned Data'!V505&lt;0,"Review",'Cleaned Data'!V505)</f>
        <v>3</v>
      </c>
      <c r="X505">
        <v>2</v>
      </c>
      <c r="Y505" s="7">
        <f>IFERROR('Cleaned Data'!R505/'Cleaned Data'!L505,0)</f>
        <v>138435.89333333334</v>
      </c>
      <c r="Z505" t="str">
        <f>TEXT(EV_Sales[[#This Row],[Order_Date]],"mmm-yyyy")</f>
        <v>Feb-2025</v>
      </c>
      <c r="AA505">
        <f>MONTH(EV_Sales[[#This Row],[Order_Date]])</f>
        <v>2</v>
      </c>
      <c r="AB505" s="12" t="str">
        <f>"Q"&amp;ROUNDUP(MONTH(EV_Sales[[#This Row],[Order_Date]])/3,0)</f>
        <v>Q1</v>
      </c>
    </row>
    <row r="506" spans="1:28" x14ac:dyDescent="0.3">
      <c r="A506" t="s">
        <v>612</v>
      </c>
      <c r="B506" s="2">
        <v>45947</v>
      </c>
      <c r="C506" t="s">
        <v>76</v>
      </c>
      <c r="D506" t="s">
        <v>115</v>
      </c>
      <c r="E506" t="s">
        <v>24</v>
      </c>
      <c r="F506" t="s">
        <v>47</v>
      </c>
      <c r="G506" t="s">
        <v>34</v>
      </c>
      <c r="H506" t="s">
        <v>27</v>
      </c>
      <c r="I506" t="str">
        <f>IF('Cleaned Data'!H506="Emi","EMI",'Cleaned Data'!H506)</f>
        <v>Finance</v>
      </c>
      <c r="J506" t="s">
        <v>63</v>
      </c>
      <c r="K506" t="s">
        <v>42</v>
      </c>
      <c r="L506">
        <v>4</v>
      </c>
      <c r="M506" s="9">
        <v>136732</v>
      </c>
      <c r="N506" s="4">
        <v>4.7E-2</v>
      </c>
      <c r="O506" s="4">
        <f t="shared" si="7"/>
        <v>4.7E-2</v>
      </c>
      <c r="P506" s="11">
        <v>546928</v>
      </c>
      <c r="Q506" s="9">
        <v>25705.62</v>
      </c>
      <c r="R506" s="9">
        <v>521222.38</v>
      </c>
      <c r="S506">
        <v>3</v>
      </c>
      <c r="T506">
        <v>155</v>
      </c>
      <c r="U506">
        <v>3.6</v>
      </c>
      <c r="V506">
        <v>10</v>
      </c>
      <c r="W506">
        <f>IF('Cleaned Data'!V506&lt;0,"Review",'Cleaned Data'!V506)</f>
        <v>10</v>
      </c>
      <c r="X506">
        <v>2</v>
      </c>
      <c r="Y506" s="7">
        <f>IFERROR('Cleaned Data'!R506/'Cleaned Data'!L506,0)</f>
        <v>130305.595</v>
      </c>
      <c r="Z506" t="str">
        <f>TEXT(EV_Sales[[#This Row],[Order_Date]],"mmm-yyyy")</f>
        <v>Oct-2025</v>
      </c>
      <c r="AA506">
        <f>MONTH(EV_Sales[[#This Row],[Order_Date]])</f>
        <v>10</v>
      </c>
      <c r="AB506" s="12" t="str">
        <f>"Q"&amp;ROUNDUP(MONTH(EV_Sales[[#This Row],[Order_Date]])/3,0)</f>
        <v>Q4</v>
      </c>
    </row>
    <row r="507" spans="1:28" x14ac:dyDescent="0.3">
      <c r="A507" t="s">
        <v>613</v>
      </c>
      <c r="B507" s="2">
        <v>45868</v>
      </c>
      <c r="C507" t="s">
        <v>76</v>
      </c>
      <c r="D507" t="s">
        <v>115</v>
      </c>
      <c r="E507" t="s">
        <v>46</v>
      </c>
      <c r="F507" t="s">
        <v>74</v>
      </c>
      <c r="G507" t="s">
        <v>26</v>
      </c>
      <c r="H507" t="s">
        <v>27</v>
      </c>
      <c r="I507" t="str">
        <f>IF('Cleaned Data'!H507="Emi","EMI",'Cleaned Data'!H507)</f>
        <v>Finance</v>
      </c>
      <c r="J507" t="s">
        <v>36</v>
      </c>
      <c r="K507" t="s">
        <v>54</v>
      </c>
      <c r="L507">
        <v>2</v>
      </c>
      <c r="M507" s="9">
        <v>126634</v>
      </c>
      <c r="N507" s="4">
        <v>6.7000000000000004E-2</v>
      </c>
      <c r="O507" s="4">
        <f t="shared" si="7"/>
        <v>6.7000000000000004E-2</v>
      </c>
      <c r="P507" s="11">
        <v>253268</v>
      </c>
      <c r="Q507" s="9">
        <v>16968.96</v>
      </c>
      <c r="R507" s="9">
        <v>236299.04</v>
      </c>
      <c r="S507">
        <v>4</v>
      </c>
      <c r="T507">
        <v>198</v>
      </c>
      <c r="U507">
        <v>4.3</v>
      </c>
      <c r="V507">
        <v>9</v>
      </c>
      <c r="W507">
        <f>IF('Cleaned Data'!V507&lt;0,"Review",'Cleaned Data'!V507)</f>
        <v>9</v>
      </c>
      <c r="X507">
        <v>2</v>
      </c>
      <c r="Y507" s="7">
        <f>IFERROR('Cleaned Data'!R507/'Cleaned Data'!L507,0)</f>
        <v>118149.52</v>
      </c>
      <c r="Z507" t="str">
        <f>TEXT(EV_Sales[[#This Row],[Order_Date]],"mmm-yyyy")</f>
        <v>Jul-2025</v>
      </c>
      <c r="AA507">
        <f>MONTH(EV_Sales[[#This Row],[Order_Date]])</f>
        <v>7</v>
      </c>
      <c r="AB507" s="12" t="str">
        <f>"Q"&amp;ROUNDUP(MONTH(EV_Sales[[#This Row],[Order_Date]])/3,0)</f>
        <v>Q3</v>
      </c>
    </row>
    <row r="508" spans="1:28" x14ac:dyDescent="0.3">
      <c r="A508" t="s">
        <v>614</v>
      </c>
      <c r="B508" s="2">
        <v>45859</v>
      </c>
      <c r="C508" t="s">
        <v>99</v>
      </c>
      <c r="D508" t="s">
        <v>121</v>
      </c>
      <c r="E508" t="s">
        <v>46</v>
      </c>
      <c r="F508" t="s">
        <v>101</v>
      </c>
      <c r="G508" t="s">
        <v>67</v>
      </c>
      <c r="H508" t="s">
        <v>27</v>
      </c>
      <c r="I508" t="str">
        <f>IF('Cleaned Data'!H508="Emi","EMI",'Cleaned Data'!H508)</f>
        <v>Finance</v>
      </c>
      <c r="J508" t="s">
        <v>94</v>
      </c>
      <c r="K508" t="s">
        <v>148</v>
      </c>
      <c r="L508">
        <v>1</v>
      </c>
      <c r="M508" s="9">
        <v>101066</v>
      </c>
      <c r="N508" s="4">
        <v>7.5999999999999998E-2</v>
      </c>
      <c r="O508" s="4">
        <f t="shared" si="7"/>
        <v>7.5999999999999998E-2</v>
      </c>
      <c r="P508" s="11">
        <v>101066</v>
      </c>
      <c r="Q508" s="9">
        <v>7681.02</v>
      </c>
      <c r="R508" s="9">
        <v>93384.98</v>
      </c>
      <c r="S508">
        <v>5</v>
      </c>
      <c r="T508">
        <v>202</v>
      </c>
      <c r="U508">
        <v>3.7</v>
      </c>
      <c r="V508">
        <v>10</v>
      </c>
      <c r="W508">
        <f>IF('Cleaned Data'!V508&lt;0,"Review",'Cleaned Data'!V508)</f>
        <v>10</v>
      </c>
      <c r="X508">
        <v>5</v>
      </c>
      <c r="Y508" s="7">
        <f>IFERROR('Cleaned Data'!R508/'Cleaned Data'!L508,0)</f>
        <v>93384.98</v>
      </c>
      <c r="Z508" t="str">
        <f>TEXT(EV_Sales[[#This Row],[Order_Date]],"mmm-yyyy")</f>
        <v>Jul-2025</v>
      </c>
      <c r="AA508">
        <f>MONTH(EV_Sales[[#This Row],[Order_Date]])</f>
        <v>7</v>
      </c>
      <c r="AB508" s="12" t="str">
        <f>"Q"&amp;ROUNDUP(MONTH(EV_Sales[[#This Row],[Order_Date]])/3,0)</f>
        <v>Q3</v>
      </c>
    </row>
    <row r="509" spans="1:28" x14ac:dyDescent="0.3">
      <c r="A509" t="s">
        <v>615</v>
      </c>
      <c r="B509" s="2">
        <v>45928</v>
      </c>
      <c r="C509" t="s">
        <v>44</v>
      </c>
      <c r="D509" t="s">
        <v>45</v>
      </c>
      <c r="E509" t="s">
        <v>62</v>
      </c>
      <c r="F509" t="s">
        <v>70</v>
      </c>
      <c r="G509" t="s">
        <v>26</v>
      </c>
      <c r="H509" t="s">
        <v>809</v>
      </c>
      <c r="I509" t="str">
        <f>IF('Cleaned Data'!H509="Emi","EMI",'Cleaned Data'!H509)</f>
        <v>EMI</v>
      </c>
      <c r="J509" t="s">
        <v>48</v>
      </c>
      <c r="K509" t="s">
        <v>148</v>
      </c>
      <c r="L509">
        <v>5</v>
      </c>
      <c r="M509" s="9">
        <v>156223</v>
      </c>
      <c r="N509" s="4">
        <v>3.1E-2</v>
      </c>
      <c r="O509" s="4">
        <f t="shared" si="7"/>
        <v>3.1E-2</v>
      </c>
      <c r="P509" s="11">
        <v>781115</v>
      </c>
      <c r="Q509" s="9">
        <v>24214.560000000001</v>
      </c>
      <c r="R509" s="9">
        <v>756900.44</v>
      </c>
      <c r="S509">
        <v>4</v>
      </c>
      <c r="T509">
        <v>167</v>
      </c>
      <c r="U509">
        <v>4.2</v>
      </c>
      <c r="V509">
        <v>13</v>
      </c>
      <c r="W509">
        <f>IF('Cleaned Data'!V509&lt;0,"Review",'Cleaned Data'!V509)</f>
        <v>13</v>
      </c>
      <c r="X509">
        <v>2</v>
      </c>
      <c r="Y509" s="7">
        <f>IFERROR('Cleaned Data'!R509/'Cleaned Data'!L509,0)</f>
        <v>151380.08799999999</v>
      </c>
      <c r="Z509" t="str">
        <f>TEXT(EV_Sales[[#This Row],[Order_Date]],"mmm-yyyy")</f>
        <v>Sep-2025</v>
      </c>
      <c r="AA509">
        <f>MONTH(EV_Sales[[#This Row],[Order_Date]])</f>
        <v>9</v>
      </c>
      <c r="AB509" s="12" t="str">
        <f>"Q"&amp;ROUNDUP(MONTH(EV_Sales[[#This Row],[Order_Date]])/3,0)</f>
        <v>Q3</v>
      </c>
    </row>
    <row r="510" spans="1:28" x14ac:dyDescent="0.3">
      <c r="A510" t="s">
        <v>616</v>
      </c>
      <c r="B510" s="2">
        <v>45962</v>
      </c>
      <c r="C510" t="s">
        <v>44</v>
      </c>
      <c r="D510" t="s">
        <v>45</v>
      </c>
      <c r="E510" t="s">
        <v>62</v>
      </c>
      <c r="F510" t="s">
        <v>52</v>
      </c>
      <c r="G510" t="s">
        <v>26</v>
      </c>
      <c r="H510" t="s">
        <v>53</v>
      </c>
      <c r="I510" t="str">
        <f>IF('Cleaned Data'!H510="Emi","EMI",'Cleaned Data'!H510)</f>
        <v>Cash</v>
      </c>
      <c r="J510" t="s">
        <v>36</v>
      </c>
      <c r="K510" t="s">
        <v>203</v>
      </c>
      <c r="L510">
        <v>2</v>
      </c>
      <c r="M510" s="9">
        <v>153638</v>
      </c>
      <c r="N510" s="4">
        <v>2.5999999999999999E-2</v>
      </c>
      <c r="O510" s="4">
        <f t="shared" si="7"/>
        <v>2.5999999999999999E-2</v>
      </c>
      <c r="P510" s="11">
        <v>307276</v>
      </c>
      <c r="Q510" s="9">
        <v>7989.18</v>
      </c>
      <c r="R510" s="9">
        <v>299286.82</v>
      </c>
      <c r="S510">
        <v>5</v>
      </c>
      <c r="T510">
        <v>226</v>
      </c>
      <c r="U510">
        <v>4.8</v>
      </c>
      <c r="V510">
        <v>5</v>
      </c>
      <c r="W510">
        <f>IF('Cleaned Data'!V510&lt;0,"Review",'Cleaned Data'!V510)</f>
        <v>5</v>
      </c>
      <c r="X510">
        <v>2</v>
      </c>
      <c r="Y510" s="7">
        <f>IFERROR('Cleaned Data'!R510/'Cleaned Data'!L510,0)</f>
        <v>149643.41</v>
      </c>
      <c r="Z510" t="str">
        <f>TEXT(EV_Sales[[#This Row],[Order_Date]],"mmm-yyyy")</f>
        <v>Nov-2025</v>
      </c>
      <c r="AA510">
        <f>MONTH(EV_Sales[[#This Row],[Order_Date]])</f>
        <v>11</v>
      </c>
      <c r="AB510" s="12" t="str">
        <f>"Q"&amp;ROUNDUP(MONTH(EV_Sales[[#This Row],[Order_Date]])/3,0)</f>
        <v>Q4</v>
      </c>
    </row>
    <row r="511" spans="1:28" x14ac:dyDescent="0.3">
      <c r="A511" t="s">
        <v>617</v>
      </c>
      <c r="B511" s="2">
        <v>45861</v>
      </c>
      <c r="C511" t="s">
        <v>87</v>
      </c>
      <c r="D511" t="s">
        <v>88</v>
      </c>
      <c r="E511" t="s">
        <v>46</v>
      </c>
      <c r="F511" t="s">
        <v>41</v>
      </c>
      <c r="G511" t="s">
        <v>26</v>
      </c>
      <c r="H511" t="s">
        <v>809</v>
      </c>
      <c r="I511" t="str">
        <f>IF('Cleaned Data'!H511="Emi","EMI",'Cleaned Data'!H511)</f>
        <v>EMI</v>
      </c>
      <c r="J511" t="s">
        <v>57</v>
      </c>
      <c r="K511" t="s">
        <v>29</v>
      </c>
      <c r="L511">
        <v>1</v>
      </c>
      <c r="M511" s="9">
        <v>147032</v>
      </c>
      <c r="N511" s="4">
        <v>9.4E-2</v>
      </c>
      <c r="O511" s="4">
        <f t="shared" si="7"/>
        <v>9.4E-2</v>
      </c>
      <c r="P511" s="11">
        <v>147032</v>
      </c>
      <c r="Q511" s="9">
        <v>13821.01</v>
      </c>
      <c r="R511" s="9">
        <v>133210.99</v>
      </c>
      <c r="S511">
        <v>3</v>
      </c>
      <c r="T511">
        <v>160</v>
      </c>
      <c r="U511">
        <v>3.1</v>
      </c>
      <c r="V511">
        <v>2</v>
      </c>
      <c r="W511">
        <f>IF('Cleaned Data'!V511&lt;0,"Review",'Cleaned Data'!V511)</f>
        <v>2</v>
      </c>
      <c r="X511">
        <v>5</v>
      </c>
      <c r="Y511" s="7">
        <f>IFERROR('Cleaned Data'!R511/'Cleaned Data'!L511,0)</f>
        <v>133210.99</v>
      </c>
      <c r="Z511" t="str">
        <f>TEXT(EV_Sales[[#This Row],[Order_Date]],"mmm-yyyy")</f>
        <v>Jul-2025</v>
      </c>
      <c r="AA511">
        <f>MONTH(EV_Sales[[#This Row],[Order_Date]])</f>
        <v>7</v>
      </c>
      <c r="AB511" s="12" t="str">
        <f>"Q"&amp;ROUNDUP(MONTH(EV_Sales[[#This Row],[Order_Date]])/3,0)</f>
        <v>Q3</v>
      </c>
    </row>
    <row r="512" spans="1:28" x14ac:dyDescent="0.3">
      <c r="A512" t="s">
        <v>618</v>
      </c>
      <c r="B512" s="2">
        <v>45690</v>
      </c>
      <c r="C512" t="s">
        <v>44</v>
      </c>
      <c r="D512" t="s">
        <v>51</v>
      </c>
      <c r="E512" t="s">
        <v>62</v>
      </c>
      <c r="F512" t="s">
        <v>74</v>
      </c>
      <c r="G512" t="s">
        <v>67</v>
      </c>
      <c r="H512" t="s">
        <v>27</v>
      </c>
      <c r="I512" t="str">
        <f>IF('Cleaned Data'!H512="Emi","EMI",'Cleaned Data'!H512)</f>
        <v>Finance</v>
      </c>
      <c r="J512" t="s">
        <v>94</v>
      </c>
      <c r="K512" t="s">
        <v>118</v>
      </c>
      <c r="L512">
        <v>2</v>
      </c>
      <c r="M512" s="9">
        <v>126674</v>
      </c>
      <c r="N512" s="4">
        <v>0.05</v>
      </c>
      <c r="O512" s="4">
        <f t="shared" si="7"/>
        <v>0.05</v>
      </c>
      <c r="P512" s="11">
        <v>253348</v>
      </c>
      <c r="Q512" s="9">
        <v>12667.4</v>
      </c>
      <c r="R512" s="9">
        <v>240680.6</v>
      </c>
      <c r="S512">
        <v>3</v>
      </c>
      <c r="T512">
        <v>159</v>
      </c>
      <c r="U512">
        <v>3.2</v>
      </c>
      <c r="V512">
        <v>2</v>
      </c>
      <c r="W512">
        <f>IF('Cleaned Data'!V512&lt;0,"Review",'Cleaned Data'!V512)</f>
        <v>2</v>
      </c>
      <c r="X512">
        <v>5</v>
      </c>
      <c r="Y512" s="7">
        <f>IFERROR('Cleaned Data'!R512/'Cleaned Data'!L512,0)</f>
        <v>120340.3</v>
      </c>
      <c r="Z512" t="str">
        <f>TEXT(EV_Sales[[#This Row],[Order_Date]],"mmm-yyyy")</f>
        <v>Feb-2025</v>
      </c>
      <c r="AA512">
        <f>MONTH(EV_Sales[[#This Row],[Order_Date]])</f>
        <v>2</v>
      </c>
      <c r="AB512" s="12" t="str">
        <f>"Q"&amp;ROUNDUP(MONTH(EV_Sales[[#This Row],[Order_Date]])/3,0)</f>
        <v>Q1</v>
      </c>
    </row>
    <row r="513" spans="1:28" x14ac:dyDescent="0.3">
      <c r="A513" t="s">
        <v>619</v>
      </c>
      <c r="B513" s="2">
        <v>45955</v>
      </c>
      <c r="C513" t="s">
        <v>39</v>
      </c>
      <c r="D513" t="s">
        <v>154</v>
      </c>
      <c r="E513" t="s">
        <v>62</v>
      </c>
      <c r="F513" t="s">
        <v>74</v>
      </c>
      <c r="G513" t="s">
        <v>56</v>
      </c>
      <c r="H513" t="s">
        <v>53</v>
      </c>
      <c r="I513" t="str">
        <f>IF('Cleaned Data'!H513="Emi","EMI",'Cleaned Data'!H513)</f>
        <v>Cash</v>
      </c>
      <c r="J513" t="s">
        <v>48</v>
      </c>
      <c r="K513" t="s">
        <v>131</v>
      </c>
      <c r="L513">
        <v>1</v>
      </c>
      <c r="M513" s="9">
        <v>182692</v>
      </c>
      <c r="N513" s="4">
        <v>9.9000000000000005E-2</v>
      </c>
      <c r="O513" s="4">
        <f t="shared" si="7"/>
        <v>9.9000000000000005E-2</v>
      </c>
      <c r="P513" s="11">
        <v>182692</v>
      </c>
      <c r="Q513" s="9">
        <v>18086.509999999998</v>
      </c>
      <c r="R513" s="9">
        <v>164605.49</v>
      </c>
      <c r="S513">
        <v>4</v>
      </c>
      <c r="T513">
        <v>166</v>
      </c>
      <c r="U513">
        <v>4.2</v>
      </c>
      <c r="V513">
        <v>7</v>
      </c>
      <c r="W513">
        <f>IF('Cleaned Data'!V513&lt;0,"Review",'Cleaned Data'!V513)</f>
        <v>7</v>
      </c>
      <c r="X513">
        <v>3</v>
      </c>
      <c r="Y513" s="7">
        <f>IFERROR('Cleaned Data'!R513/'Cleaned Data'!L513,0)</f>
        <v>164605.49</v>
      </c>
      <c r="Z513" t="str">
        <f>TEXT(EV_Sales[[#This Row],[Order_Date]],"mmm-yyyy")</f>
        <v>Oct-2025</v>
      </c>
      <c r="AA513">
        <f>MONTH(EV_Sales[[#This Row],[Order_Date]])</f>
        <v>10</v>
      </c>
      <c r="AB513" s="12" t="str">
        <f>"Q"&amp;ROUNDUP(MONTH(EV_Sales[[#This Row],[Order_Date]])/3,0)</f>
        <v>Q4</v>
      </c>
    </row>
    <row r="514" spans="1:28" x14ac:dyDescent="0.3">
      <c r="A514" t="s">
        <v>620</v>
      </c>
      <c r="B514" s="2">
        <v>45938</v>
      </c>
      <c r="C514" t="s">
        <v>76</v>
      </c>
      <c r="D514" t="s">
        <v>115</v>
      </c>
      <c r="E514" t="s">
        <v>24</v>
      </c>
      <c r="F514" t="s">
        <v>47</v>
      </c>
      <c r="G514" t="s">
        <v>34</v>
      </c>
      <c r="H514" t="s">
        <v>27</v>
      </c>
      <c r="I514" t="str">
        <f>IF('Cleaned Data'!H514="Emi","EMI",'Cleaned Data'!H514)</f>
        <v>Finance</v>
      </c>
      <c r="J514" t="s">
        <v>36</v>
      </c>
      <c r="K514" t="s">
        <v>64</v>
      </c>
      <c r="L514">
        <v>2</v>
      </c>
      <c r="M514" s="9">
        <v>136931</v>
      </c>
      <c r="N514" s="4">
        <v>0.1</v>
      </c>
      <c r="O514" s="4">
        <f t="shared" ref="O514:O577" si="8">IF(TRIM(N514&amp;"")="","missing",N514)</f>
        <v>0.1</v>
      </c>
      <c r="P514" s="11">
        <v>273862</v>
      </c>
      <c r="Q514" s="9">
        <v>27386.2</v>
      </c>
      <c r="R514" s="9">
        <v>246475.8</v>
      </c>
      <c r="S514">
        <v>5</v>
      </c>
      <c r="T514">
        <v>209</v>
      </c>
      <c r="U514">
        <v>4.5</v>
      </c>
      <c r="V514">
        <v>3</v>
      </c>
      <c r="W514">
        <f>IF('Cleaned Data'!V514&lt;0,"Review",'Cleaned Data'!V514)</f>
        <v>3</v>
      </c>
      <c r="X514">
        <v>3</v>
      </c>
      <c r="Y514" s="7">
        <f>IFERROR('Cleaned Data'!R514/'Cleaned Data'!L514,0)</f>
        <v>123237.9</v>
      </c>
      <c r="Z514" t="str">
        <f>TEXT(EV_Sales[[#This Row],[Order_Date]],"mmm-yyyy")</f>
        <v>Oct-2025</v>
      </c>
      <c r="AA514">
        <f>MONTH(EV_Sales[[#This Row],[Order_Date]])</f>
        <v>10</v>
      </c>
      <c r="AB514" s="12" t="str">
        <f>"Q"&amp;ROUNDUP(MONTH(EV_Sales[[#This Row],[Order_Date]])/3,0)</f>
        <v>Q4</v>
      </c>
    </row>
    <row r="515" spans="1:28" x14ac:dyDescent="0.3">
      <c r="A515" t="s">
        <v>621</v>
      </c>
      <c r="B515" s="2">
        <v>45963</v>
      </c>
      <c r="C515" t="s">
        <v>60</v>
      </c>
      <c r="D515" t="s">
        <v>61</v>
      </c>
      <c r="E515" t="s">
        <v>46</v>
      </c>
      <c r="F515" t="s">
        <v>41</v>
      </c>
      <c r="G515" t="s">
        <v>34</v>
      </c>
      <c r="H515" t="s">
        <v>53</v>
      </c>
      <c r="I515" t="str">
        <f>IF('Cleaned Data'!H515="Emi","EMI",'Cleaned Data'!H515)</f>
        <v>Cash</v>
      </c>
      <c r="J515" t="s">
        <v>48</v>
      </c>
      <c r="K515" t="s">
        <v>37</v>
      </c>
      <c r="L515">
        <v>1</v>
      </c>
      <c r="M515" s="9">
        <v>116335</v>
      </c>
      <c r="N515" s="4">
        <v>0.112</v>
      </c>
      <c r="O515" s="4">
        <f t="shared" si="8"/>
        <v>0.112</v>
      </c>
      <c r="P515" s="11">
        <v>116335</v>
      </c>
      <c r="Q515" s="9">
        <v>13029.52</v>
      </c>
      <c r="R515" s="9">
        <v>103305.48</v>
      </c>
      <c r="S515">
        <v>5</v>
      </c>
      <c r="T515">
        <v>195</v>
      </c>
      <c r="U515">
        <v>3.6</v>
      </c>
      <c r="V515">
        <v>12</v>
      </c>
      <c r="W515">
        <f>IF('Cleaned Data'!V515&lt;0,"Review",'Cleaned Data'!V515)</f>
        <v>12</v>
      </c>
      <c r="X515">
        <v>5</v>
      </c>
      <c r="Y515" s="7">
        <f>IFERROR('Cleaned Data'!R515/'Cleaned Data'!L515,0)</f>
        <v>103305.48</v>
      </c>
      <c r="Z515" t="str">
        <f>TEXT(EV_Sales[[#This Row],[Order_Date]],"mmm-yyyy")</f>
        <v>Nov-2025</v>
      </c>
      <c r="AA515">
        <f>MONTH(EV_Sales[[#This Row],[Order_Date]])</f>
        <v>11</v>
      </c>
      <c r="AB515" s="12" t="str">
        <f>"Q"&amp;ROUNDUP(MONTH(EV_Sales[[#This Row],[Order_Date]])/3,0)</f>
        <v>Q4</v>
      </c>
    </row>
    <row r="516" spans="1:28" x14ac:dyDescent="0.3">
      <c r="A516" t="s">
        <v>622</v>
      </c>
      <c r="B516" s="2">
        <v>46011</v>
      </c>
      <c r="C516" t="s">
        <v>99</v>
      </c>
      <c r="D516" t="s">
        <v>100</v>
      </c>
      <c r="E516" t="s">
        <v>62</v>
      </c>
      <c r="F516" t="s">
        <v>66</v>
      </c>
      <c r="G516" t="s">
        <v>67</v>
      </c>
      <c r="H516" t="s">
        <v>809</v>
      </c>
      <c r="I516" t="str">
        <f>IF('Cleaned Data'!H516="Emi","EMI",'Cleaned Data'!H516)</f>
        <v>EMI</v>
      </c>
      <c r="J516" t="s">
        <v>94</v>
      </c>
      <c r="K516" t="s">
        <v>123</v>
      </c>
      <c r="L516">
        <v>1</v>
      </c>
      <c r="M516" s="9">
        <v>122742</v>
      </c>
      <c r="N516" s="4">
        <v>3.9E-2</v>
      </c>
      <c r="O516" s="4">
        <f t="shared" si="8"/>
        <v>3.9E-2</v>
      </c>
      <c r="P516" s="11">
        <v>122742</v>
      </c>
      <c r="Q516" s="9">
        <v>4786.9399999999996</v>
      </c>
      <c r="R516" s="9">
        <v>117955.06</v>
      </c>
      <c r="S516">
        <v>3</v>
      </c>
      <c r="T516">
        <v>190</v>
      </c>
      <c r="U516">
        <v>3.6</v>
      </c>
      <c r="V516">
        <v>5</v>
      </c>
      <c r="W516">
        <f>IF('Cleaned Data'!V516&lt;0,"Review",'Cleaned Data'!V516)</f>
        <v>5</v>
      </c>
      <c r="X516">
        <v>3</v>
      </c>
      <c r="Y516" s="7">
        <f>IFERROR('Cleaned Data'!R516/'Cleaned Data'!L516,0)</f>
        <v>117955.06</v>
      </c>
      <c r="Z516" t="str">
        <f>TEXT(EV_Sales[[#This Row],[Order_Date]],"mmm-yyyy")</f>
        <v>Dec-2025</v>
      </c>
      <c r="AA516">
        <f>MONTH(EV_Sales[[#This Row],[Order_Date]])</f>
        <v>12</v>
      </c>
      <c r="AB516" s="12" t="str">
        <f>"Q"&amp;ROUNDUP(MONTH(EV_Sales[[#This Row],[Order_Date]])/3,0)</f>
        <v>Q4</v>
      </c>
    </row>
    <row r="517" spans="1:28" x14ac:dyDescent="0.3">
      <c r="A517" t="s">
        <v>623</v>
      </c>
      <c r="B517" s="2">
        <v>45976</v>
      </c>
      <c r="C517" t="s">
        <v>76</v>
      </c>
      <c r="D517" t="s">
        <v>115</v>
      </c>
      <c r="E517" t="s">
        <v>62</v>
      </c>
      <c r="F517" t="s">
        <v>101</v>
      </c>
      <c r="G517" t="s">
        <v>26</v>
      </c>
      <c r="H517" t="s">
        <v>53</v>
      </c>
      <c r="I517" t="str">
        <f>IF('Cleaned Data'!H517="Emi","EMI",'Cleaned Data'!H517)</f>
        <v>Cash</v>
      </c>
      <c r="J517" t="s">
        <v>36</v>
      </c>
      <c r="K517" t="s">
        <v>78</v>
      </c>
      <c r="L517">
        <v>1</v>
      </c>
      <c r="M517" s="9">
        <v>135585</v>
      </c>
      <c r="N517" s="4">
        <v>0.11899999999999999</v>
      </c>
      <c r="O517" s="4">
        <f t="shared" si="8"/>
        <v>0.11899999999999999</v>
      </c>
      <c r="P517" s="11">
        <v>135585</v>
      </c>
      <c r="Q517" s="9">
        <v>16134.61</v>
      </c>
      <c r="R517" s="9">
        <v>119450.39</v>
      </c>
      <c r="S517">
        <v>4</v>
      </c>
      <c r="T517">
        <v>166</v>
      </c>
      <c r="U517">
        <v>3.8</v>
      </c>
      <c r="V517">
        <v>10</v>
      </c>
      <c r="W517">
        <f>IF('Cleaned Data'!V517&lt;0,"Review",'Cleaned Data'!V517)</f>
        <v>10</v>
      </c>
      <c r="X517">
        <v>5</v>
      </c>
      <c r="Y517" s="7">
        <f>IFERROR('Cleaned Data'!R517/'Cleaned Data'!L517,0)</f>
        <v>119450.39</v>
      </c>
      <c r="Z517" t="str">
        <f>TEXT(EV_Sales[[#This Row],[Order_Date]],"mmm-yyyy")</f>
        <v>Nov-2025</v>
      </c>
      <c r="AA517">
        <f>MONTH(EV_Sales[[#This Row],[Order_Date]])</f>
        <v>11</v>
      </c>
      <c r="AB517" s="12" t="str">
        <f>"Q"&amp;ROUNDUP(MONTH(EV_Sales[[#This Row],[Order_Date]])/3,0)</f>
        <v>Q4</v>
      </c>
    </row>
    <row r="518" spans="1:28" x14ac:dyDescent="0.3">
      <c r="A518" t="s">
        <v>624</v>
      </c>
      <c r="B518" s="2">
        <v>45874</v>
      </c>
      <c r="C518" t="s">
        <v>22</v>
      </c>
      <c r="D518" t="s">
        <v>107</v>
      </c>
      <c r="E518" t="s">
        <v>62</v>
      </c>
      <c r="F518" t="s">
        <v>811</v>
      </c>
      <c r="G518" t="s">
        <v>34</v>
      </c>
      <c r="H518" t="s">
        <v>27</v>
      </c>
      <c r="I518" t="str">
        <f>IF('Cleaned Data'!H518="Emi","EMI",'Cleaned Data'!H518)</f>
        <v>Finance</v>
      </c>
      <c r="J518" t="s">
        <v>28</v>
      </c>
      <c r="K518" t="s">
        <v>109</v>
      </c>
      <c r="L518">
        <v>1</v>
      </c>
      <c r="M518" s="9">
        <v>142930</v>
      </c>
      <c r="N518" s="4">
        <v>0.11600000000000001</v>
      </c>
      <c r="O518" s="4">
        <f t="shared" si="8"/>
        <v>0.11600000000000001</v>
      </c>
      <c r="P518" s="11">
        <v>142930</v>
      </c>
      <c r="Q518" s="9">
        <v>16579.88</v>
      </c>
      <c r="R518" s="9">
        <v>126350.12</v>
      </c>
      <c r="S518">
        <v>4</v>
      </c>
      <c r="T518">
        <v>184</v>
      </c>
      <c r="U518">
        <v>3.8</v>
      </c>
      <c r="V518">
        <v>7</v>
      </c>
      <c r="W518">
        <f>IF('Cleaned Data'!V518&lt;0,"Review",'Cleaned Data'!V518)</f>
        <v>7</v>
      </c>
      <c r="X518">
        <v>3</v>
      </c>
      <c r="Y518" s="7">
        <f>IFERROR('Cleaned Data'!R518/'Cleaned Data'!L518,0)</f>
        <v>126350.12</v>
      </c>
      <c r="Z518" t="str">
        <f>TEXT(EV_Sales[[#This Row],[Order_Date]],"mmm-yyyy")</f>
        <v>Aug-2025</v>
      </c>
      <c r="AA518">
        <f>MONTH(EV_Sales[[#This Row],[Order_Date]])</f>
        <v>8</v>
      </c>
      <c r="AB518" s="12" t="str">
        <f>"Q"&amp;ROUNDUP(MONTH(EV_Sales[[#This Row],[Order_Date]])/3,0)</f>
        <v>Q3</v>
      </c>
    </row>
    <row r="519" spans="1:28" x14ac:dyDescent="0.3">
      <c r="A519" t="s">
        <v>625</v>
      </c>
      <c r="B519" s="2">
        <v>45813</v>
      </c>
      <c r="C519" t="s">
        <v>31</v>
      </c>
      <c r="D519" t="s">
        <v>32</v>
      </c>
      <c r="E519" t="s">
        <v>46</v>
      </c>
      <c r="F519" t="s">
        <v>33</v>
      </c>
      <c r="G519" t="s">
        <v>67</v>
      </c>
      <c r="H519" t="s">
        <v>27</v>
      </c>
      <c r="I519" t="str">
        <f>IF('Cleaned Data'!H519="Emi","EMI",'Cleaned Data'!H519)</f>
        <v>Finance</v>
      </c>
      <c r="J519" t="s">
        <v>36</v>
      </c>
      <c r="K519" t="s">
        <v>143</v>
      </c>
      <c r="L519">
        <v>1</v>
      </c>
      <c r="M519" s="9">
        <v>103550</v>
      </c>
      <c r="N519" s="4">
        <v>2.8000000000000001E-2</v>
      </c>
      <c r="O519" s="4">
        <f t="shared" si="8"/>
        <v>2.8000000000000001E-2</v>
      </c>
      <c r="P519" s="11">
        <v>103550</v>
      </c>
      <c r="Q519" s="9">
        <v>2899.4</v>
      </c>
      <c r="R519" s="9">
        <v>100650.6</v>
      </c>
      <c r="S519">
        <v>4</v>
      </c>
      <c r="T519">
        <v>181</v>
      </c>
      <c r="U519">
        <v>4.7</v>
      </c>
      <c r="V519">
        <v>12</v>
      </c>
      <c r="W519">
        <f>IF('Cleaned Data'!V519&lt;0,"Review",'Cleaned Data'!V519)</f>
        <v>12</v>
      </c>
      <c r="X519">
        <v>2</v>
      </c>
      <c r="Y519" s="7">
        <f>IFERROR('Cleaned Data'!R519/'Cleaned Data'!L519,0)</f>
        <v>100650.6</v>
      </c>
      <c r="Z519" t="str">
        <f>TEXT(EV_Sales[[#This Row],[Order_Date]],"mmm-yyyy")</f>
        <v>Jun-2025</v>
      </c>
      <c r="AA519">
        <f>MONTH(EV_Sales[[#This Row],[Order_Date]])</f>
        <v>6</v>
      </c>
      <c r="AB519" s="12" t="str">
        <f>"Q"&amp;ROUNDUP(MONTH(EV_Sales[[#This Row],[Order_Date]])/3,0)</f>
        <v>Q2</v>
      </c>
    </row>
    <row r="520" spans="1:28" x14ac:dyDescent="0.3">
      <c r="A520" t="s">
        <v>626</v>
      </c>
      <c r="B520" s="2">
        <v>45967</v>
      </c>
      <c r="C520" t="s">
        <v>87</v>
      </c>
      <c r="D520" t="s">
        <v>88</v>
      </c>
      <c r="E520" t="s">
        <v>62</v>
      </c>
      <c r="F520" t="s">
        <v>33</v>
      </c>
      <c r="G520" t="s">
        <v>34</v>
      </c>
      <c r="H520" t="s">
        <v>809</v>
      </c>
      <c r="I520" t="str">
        <f>IF('Cleaned Data'!H520="Emi","EMI",'Cleaned Data'!H520)</f>
        <v>EMI</v>
      </c>
      <c r="J520" t="s">
        <v>28</v>
      </c>
      <c r="K520" t="s">
        <v>92</v>
      </c>
      <c r="L520">
        <v>1</v>
      </c>
      <c r="M520" s="9">
        <v>143423</v>
      </c>
      <c r="N520" s="4">
        <v>0.1</v>
      </c>
      <c r="O520" s="4">
        <f t="shared" si="8"/>
        <v>0.1</v>
      </c>
      <c r="P520" s="11">
        <v>143423</v>
      </c>
      <c r="Q520" s="9">
        <v>14342.3</v>
      </c>
      <c r="R520" s="9">
        <v>129080.7</v>
      </c>
      <c r="S520">
        <v>4</v>
      </c>
      <c r="T520">
        <v>206</v>
      </c>
      <c r="U520">
        <v>4</v>
      </c>
      <c r="V520">
        <v>9</v>
      </c>
      <c r="W520">
        <f>IF('Cleaned Data'!V520&lt;0,"Review",'Cleaned Data'!V520)</f>
        <v>9</v>
      </c>
      <c r="X520">
        <v>5</v>
      </c>
      <c r="Y520" s="7">
        <f>IFERROR('Cleaned Data'!R520/'Cleaned Data'!L520,0)</f>
        <v>129080.7</v>
      </c>
      <c r="Z520" t="str">
        <f>TEXT(EV_Sales[[#This Row],[Order_Date]],"mmm-yyyy")</f>
        <v>Nov-2025</v>
      </c>
      <c r="AA520">
        <f>MONTH(EV_Sales[[#This Row],[Order_Date]])</f>
        <v>11</v>
      </c>
      <c r="AB520" s="12" t="str">
        <f>"Q"&amp;ROUNDUP(MONTH(EV_Sales[[#This Row],[Order_Date]])/3,0)</f>
        <v>Q4</v>
      </c>
    </row>
    <row r="521" spans="1:28" x14ac:dyDescent="0.3">
      <c r="A521" t="s">
        <v>627</v>
      </c>
      <c r="B521" s="2">
        <v>45799</v>
      </c>
      <c r="C521" t="s">
        <v>44</v>
      </c>
      <c r="D521" t="s">
        <v>45</v>
      </c>
      <c r="E521" t="s">
        <v>24</v>
      </c>
      <c r="F521" t="s">
        <v>25</v>
      </c>
      <c r="G521" t="s">
        <v>34</v>
      </c>
      <c r="H521" t="s">
        <v>809</v>
      </c>
      <c r="I521" t="str">
        <f>IF('Cleaned Data'!H521="Emi","EMI",'Cleaned Data'!H521)</f>
        <v>EMI</v>
      </c>
      <c r="J521" t="s">
        <v>94</v>
      </c>
      <c r="K521" t="s">
        <v>104</v>
      </c>
      <c r="L521">
        <v>4</v>
      </c>
      <c r="M521" s="9">
        <v>151144</v>
      </c>
      <c r="N521" s="4">
        <v>6.2E-2</v>
      </c>
      <c r="O521" s="4">
        <f t="shared" si="8"/>
        <v>6.2E-2</v>
      </c>
      <c r="P521" s="11">
        <v>604576</v>
      </c>
      <c r="Q521" s="9">
        <v>37483.71</v>
      </c>
      <c r="R521" s="9">
        <v>567092.29</v>
      </c>
      <c r="S521">
        <v>5</v>
      </c>
      <c r="T521">
        <v>192</v>
      </c>
      <c r="U521">
        <v>3.8</v>
      </c>
      <c r="V521">
        <v>12</v>
      </c>
      <c r="W521">
        <f>IF('Cleaned Data'!V521&lt;0,"Review",'Cleaned Data'!V521)</f>
        <v>12</v>
      </c>
      <c r="X521">
        <v>5</v>
      </c>
      <c r="Y521" s="7">
        <f>IFERROR('Cleaned Data'!R521/'Cleaned Data'!L521,0)</f>
        <v>141773.07250000001</v>
      </c>
      <c r="Z521" t="str">
        <f>TEXT(EV_Sales[[#This Row],[Order_Date]],"mmm-yyyy")</f>
        <v>May-2025</v>
      </c>
      <c r="AA521">
        <f>MONTH(EV_Sales[[#This Row],[Order_Date]])</f>
        <v>5</v>
      </c>
      <c r="AB521" s="12" t="str">
        <f>"Q"&amp;ROUNDUP(MONTH(EV_Sales[[#This Row],[Order_Date]])/3,0)</f>
        <v>Q2</v>
      </c>
    </row>
    <row r="522" spans="1:28" x14ac:dyDescent="0.3">
      <c r="A522" t="s">
        <v>628</v>
      </c>
      <c r="B522" s="2">
        <v>45734</v>
      </c>
      <c r="C522" t="s">
        <v>76</v>
      </c>
      <c r="D522" t="s">
        <v>77</v>
      </c>
      <c r="E522" t="s">
        <v>24</v>
      </c>
      <c r="F522" t="s">
        <v>101</v>
      </c>
      <c r="G522" t="s">
        <v>26</v>
      </c>
      <c r="H522" t="s">
        <v>27</v>
      </c>
      <c r="I522" t="str">
        <f>IF('Cleaned Data'!H522="Emi","EMI",'Cleaned Data'!H522)</f>
        <v>Finance</v>
      </c>
      <c r="J522" t="s">
        <v>94</v>
      </c>
      <c r="K522" t="s">
        <v>157</v>
      </c>
      <c r="L522">
        <v>2</v>
      </c>
      <c r="M522" s="9">
        <v>153796</v>
      </c>
      <c r="N522" s="4">
        <v>8.5000000000000006E-2</v>
      </c>
      <c r="O522" s="4">
        <f t="shared" si="8"/>
        <v>8.5000000000000006E-2</v>
      </c>
      <c r="P522" s="11">
        <v>307592</v>
      </c>
      <c r="Q522" s="9">
        <v>26145.32</v>
      </c>
      <c r="R522" s="9">
        <v>281446.68</v>
      </c>
      <c r="S522">
        <v>4</v>
      </c>
      <c r="T522">
        <v>174</v>
      </c>
      <c r="U522">
        <v>4.0999999999999996</v>
      </c>
      <c r="V522">
        <v>13</v>
      </c>
      <c r="W522">
        <f>IF('Cleaned Data'!V522&lt;0,"Review",'Cleaned Data'!V522)</f>
        <v>13</v>
      </c>
      <c r="X522">
        <v>2</v>
      </c>
      <c r="Y522" s="7">
        <f>IFERROR('Cleaned Data'!R522/'Cleaned Data'!L522,0)</f>
        <v>140723.34</v>
      </c>
      <c r="Z522" t="str">
        <f>TEXT(EV_Sales[[#This Row],[Order_Date]],"mmm-yyyy")</f>
        <v>Mar-2025</v>
      </c>
      <c r="AA522">
        <f>MONTH(EV_Sales[[#This Row],[Order_Date]])</f>
        <v>3</v>
      </c>
      <c r="AB522" s="12" t="str">
        <f>"Q"&amp;ROUNDUP(MONTH(EV_Sales[[#This Row],[Order_Date]])/3,0)</f>
        <v>Q1</v>
      </c>
    </row>
    <row r="523" spans="1:28" x14ac:dyDescent="0.3">
      <c r="A523" t="s">
        <v>629</v>
      </c>
      <c r="B523" s="2">
        <v>45799</v>
      </c>
      <c r="C523" t="s">
        <v>76</v>
      </c>
      <c r="D523" t="s">
        <v>77</v>
      </c>
      <c r="E523" t="s">
        <v>24</v>
      </c>
      <c r="F523" t="s">
        <v>74</v>
      </c>
      <c r="G523" t="s">
        <v>34</v>
      </c>
      <c r="H523" t="s">
        <v>809</v>
      </c>
      <c r="I523" t="str">
        <f>IF('Cleaned Data'!H523="Emi","EMI",'Cleaned Data'!H523)</f>
        <v>EMI</v>
      </c>
      <c r="J523" t="s">
        <v>36</v>
      </c>
      <c r="K523" t="s">
        <v>72</v>
      </c>
      <c r="L523">
        <v>2</v>
      </c>
      <c r="M523" s="9">
        <v>137253</v>
      </c>
      <c r="N523" s="4">
        <v>7.6999999999999999E-2</v>
      </c>
      <c r="O523" s="4">
        <f t="shared" si="8"/>
        <v>7.6999999999999999E-2</v>
      </c>
      <c r="P523" s="11">
        <v>274506</v>
      </c>
      <c r="Q523" s="9">
        <v>21136.959999999999</v>
      </c>
      <c r="R523" s="9">
        <v>253369.04</v>
      </c>
      <c r="S523">
        <v>4</v>
      </c>
      <c r="T523">
        <v>177</v>
      </c>
      <c r="U523">
        <v>3.9</v>
      </c>
      <c r="V523">
        <v>12</v>
      </c>
      <c r="W523">
        <f>IF('Cleaned Data'!V523&lt;0,"Review",'Cleaned Data'!V523)</f>
        <v>12</v>
      </c>
      <c r="X523">
        <v>5</v>
      </c>
      <c r="Y523" s="7">
        <f>IFERROR('Cleaned Data'!R523/'Cleaned Data'!L523,0)</f>
        <v>126684.52</v>
      </c>
      <c r="Z523" t="str">
        <f>TEXT(EV_Sales[[#This Row],[Order_Date]],"mmm-yyyy")</f>
        <v>May-2025</v>
      </c>
      <c r="AA523">
        <f>MONTH(EV_Sales[[#This Row],[Order_Date]])</f>
        <v>5</v>
      </c>
      <c r="AB523" s="12" t="str">
        <f>"Q"&amp;ROUNDUP(MONTH(EV_Sales[[#This Row],[Order_Date]])/3,0)</f>
        <v>Q2</v>
      </c>
    </row>
    <row r="524" spans="1:28" x14ac:dyDescent="0.3">
      <c r="A524" t="s">
        <v>630</v>
      </c>
      <c r="B524" s="2">
        <v>45741</v>
      </c>
      <c r="C524" t="s">
        <v>60</v>
      </c>
      <c r="D524" t="s">
        <v>61</v>
      </c>
      <c r="E524" t="s">
        <v>62</v>
      </c>
      <c r="F524" t="s">
        <v>47</v>
      </c>
      <c r="G524" t="s">
        <v>56</v>
      </c>
      <c r="H524" t="s">
        <v>27</v>
      </c>
      <c r="I524" t="str">
        <f>IF('Cleaned Data'!H524="Emi","EMI",'Cleaned Data'!H524)</f>
        <v>Finance</v>
      </c>
      <c r="J524" t="s">
        <v>28</v>
      </c>
      <c r="K524" t="s">
        <v>49</v>
      </c>
      <c r="L524">
        <v>1</v>
      </c>
      <c r="M524" s="9">
        <v>116806</v>
      </c>
      <c r="N524" s="4">
        <v>8.7999999999999995E-2</v>
      </c>
      <c r="O524" s="4">
        <f t="shared" si="8"/>
        <v>8.7999999999999995E-2</v>
      </c>
      <c r="P524" s="11">
        <v>116806</v>
      </c>
      <c r="Q524" s="9">
        <v>10278.93</v>
      </c>
      <c r="R524" s="9">
        <v>106527.07</v>
      </c>
      <c r="S524">
        <v>4</v>
      </c>
      <c r="T524">
        <v>182</v>
      </c>
      <c r="U524">
        <v>4.4000000000000004</v>
      </c>
      <c r="V524">
        <v>2</v>
      </c>
      <c r="W524">
        <f>IF('Cleaned Data'!V524&lt;0,"Review",'Cleaned Data'!V524)</f>
        <v>2</v>
      </c>
      <c r="X524">
        <v>3</v>
      </c>
      <c r="Y524" s="7">
        <f>IFERROR('Cleaned Data'!R524/'Cleaned Data'!L524,0)</f>
        <v>106527.07</v>
      </c>
      <c r="Z524" t="str">
        <f>TEXT(EV_Sales[[#This Row],[Order_Date]],"mmm-yyyy")</f>
        <v>Mar-2025</v>
      </c>
      <c r="AA524">
        <f>MONTH(EV_Sales[[#This Row],[Order_Date]])</f>
        <v>3</v>
      </c>
      <c r="AB524" s="12" t="str">
        <f>"Q"&amp;ROUNDUP(MONTH(EV_Sales[[#This Row],[Order_Date]])/3,0)</f>
        <v>Q1</v>
      </c>
    </row>
    <row r="525" spans="1:28" x14ac:dyDescent="0.3">
      <c r="A525" t="s">
        <v>631</v>
      </c>
      <c r="B525" s="2">
        <v>45975</v>
      </c>
      <c r="C525" t="s">
        <v>76</v>
      </c>
      <c r="D525" t="s">
        <v>77</v>
      </c>
      <c r="E525" t="s">
        <v>46</v>
      </c>
      <c r="F525" t="s">
        <v>70</v>
      </c>
      <c r="G525" t="s">
        <v>34</v>
      </c>
      <c r="H525" t="s">
        <v>27</v>
      </c>
      <c r="I525" t="str">
        <f>IF('Cleaned Data'!H525="Emi","EMI",'Cleaned Data'!H525)</f>
        <v>Finance</v>
      </c>
      <c r="J525" t="s">
        <v>57</v>
      </c>
      <c r="K525" t="s">
        <v>123</v>
      </c>
      <c r="L525">
        <v>1</v>
      </c>
      <c r="M525" s="9">
        <v>138581</v>
      </c>
      <c r="N525" s="4">
        <v>2.8000000000000001E-2</v>
      </c>
      <c r="O525" s="4">
        <f t="shared" si="8"/>
        <v>2.8000000000000001E-2</v>
      </c>
      <c r="P525" s="11">
        <v>138581</v>
      </c>
      <c r="Q525" s="9">
        <v>3880.27</v>
      </c>
      <c r="R525" s="9">
        <v>134700.73000000001</v>
      </c>
      <c r="S525">
        <v>4</v>
      </c>
      <c r="T525">
        <v>193</v>
      </c>
      <c r="U525">
        <v>4.3</v>
      </c>
      <c r="V525">
        <v>13</v>
      </c>
      <c r="W525">
        <f>IF('Cleaned Data'!V525&lt;0,"Review",'Cleaned Data'!V525)</f>
        <v>13</v>
      </c>
      <c r="X525">
        <v>5</v>
      </c>
      <c r="Y525" s="7">
        <f>IFERROR('Cleaned Data'!R525/'Cleaned Data'!L525,0)</f>
        <v>134700.73000000001</v>
      </c>
      <c r="Z525" t="str">
        <f>TEXT(EV_Sales[[#This Row],[Order_Date]],"mmm-yyyy")</f>
        <v>Nov-2025</v>
      </c>
      <c r="AA525">
        <f>MONTH(EV_Sales[[#This Row],[Order_Date]])</f>
        <v>11</v>
      </c>
      <c r="AB525" s="12" t="str">
        <f>"Q"&amp;ROUNDUP(MONTH(EV_Sales[[#This Row],[Order_Date]])/3,0)</f>
        <v>Q4</v>
      </c>
    </row>
    <row r="526" spans="1:28" x14ac:dyDescent="0.3">
      <c r="A526" t="s">
        <v>632</v>
      </c>
      <c r="B526" s="2">
        <v>45677</v>
      </c>
      <c r="C526" t="s">
        <v>99</v>
      </c>
      <c r="D526" t="s">
        <v>100</v>
      </c>
      <c r="E526" t="s">
        <v>62</v>
      </c>
      <c r="F526" t="s">
        <v>74</v>
      </c>
      <c r="G526" t="s">
        <v>26</v>
      </c>
      <c r="H526" t="s">
        <v>809</v>
      </c>
      <c r="I526" t="str">
        <f>IF('Cleaned Data'!H526="Emi","EMI",'Cleaned Data'!H526)</f>
        <v>EMI</v>
      </c>
      <c r="J526" t="s">
        <v>28</v>
      </c>
      <c r="K526" t="s">
        <v>109</v>
      </c>
      <c r="L526">
        <v>2</v>
      </c>
      <c r="M526" s="9">
        <v>113778</v>
      </c>
      <c r="N526" s="4">
        <v>5.2999999999999999E-2</v>
      </c>
      <c r="O526" s="4">
        <f t="shared" si="8"/>
        <v>5.2999999999999999E-2</v>
      </c>
      <c r="P526" s="11">
        <v>227556</v>
      </c>
      <c r="Q526" s="9">
        <v>12060.47</v>
      </c>
      <c r="R526" s="9">
        <v>215495.53</v>
      </c>
      <c r="S526">
        <v>3</v>
      </c>
      <c r="T526">
        <v>157</v>
      </c>
      <c r="U526">
        <v>4.5999999999999996</v>
      </c>
      <c r="V526">
        <v>14</v>
      </c>
      <c r="W526">
        <f>IF('Cleaned Data'!V526&lt;0,"Review",'Cleaned Data'!V526)</f>
        <v>14</v>
      </c>
      <c r="X526">
        <v>2</v>
      </c>
      <c r="Y526" s="7">
        <f>IFERROR('Cleaned Data'!R526/'Cleaned Data'!L526,0)</f>
        <v>107747.765</v>
      </c>
      <c r="Z526" t="str">
        <f>TEXT(EV_Sales[[#This Row],[Order_Date]],"mmm-yyyy")</f>
        <v>Jan-2025</v>
      </c>
      <c r="AA526">
        <f>MONTH(EV_Sales[[#This Row],[Order_Date]])</f>
        <v>1</v>
      </c>
      <c r="AB526" s="12" t="str">
        <f>"Q"&amp;ROUNDUP(MONTH(EV_Sales[[#This Row],[Order_Date]])/3,0)</f>
        <v>Q1</v>
      </c>
    </row>
    <row r="527" spans="1:28" x14ac:dyDescent="0.3">
      <c r="A527" t="s">
        <v>633</v>
      </c>
      <c r="B527" s="2">
        <v>45867</v>
      </c>
      <c r="C527" t="s">
        <v>87</v>
      </c>
      <c r="D527" t="s">
        <v>88</v>
      </c>
      <c r="E527" t="s">
        <v>46</v>
      </c>
      <c r="F527" t="s">
        <v>66</v>
      </c>
      <c r="G527" t="s">
        <v>56</v>
      </c>
      <c r="H527" t="s">
        <v>53</v>
      </c>
      <c r="I527" t="str">
        <f>IF('Cleaned Data'!H527="Emi","EMI",'Cleaned Data'!H527)</f>
        <v>Cash</v>
      </c>
      <c r="J527" t="s">
        <v>94</v>
      </c>
      <c r="K527" t="s">
        <v>143</v>
      </c>
      <c r="L527">
        <v>1</v>
      </c>
      <c r="M527" s="9">
        <v>150568</v>
      </c>
      <c r="N527" s="4">
        <v>9.0999999999999998E-2</v>
      </c>
      <c r="O527" s="4">
        <f t="shared" si="8"/>
        <v>9.0999999999999998E-2</v>
      </c>
      <c r="P527" s="11">
        <v>150568</v>
      </c>
      <c r="Q527" s="9">
        <v>13701.69</v>
      </c>
      <c r="R527" s="9">
        <v>136866.31</v>
      </c>
      <c r="S527">
        <v>4</v>
      </c>
      <c r="T527">
        <v>190</v>
      </c>
      <c r="U527">
        <v>3.6</v>
      </c>
      <c r="V527">
        <v>12</v>
      </c>
      <c r="W527">
        <f>IF('Cleaned Data'!V527&lt;0,"Review",'Cleaned Data'!V527)</f>
        <v>12</v>
      </c>
      <c r="X527">
        <v>2</v>
      </c>
      <c r="Y527" s="7">
        <f>IFERROR('Cleaned Data'!R527/'Cleaned Data'!L527,0)</f>
        <v>136866.31</v>
      </c>
      <c r="Z527" t="str">
        <f>TEXT(EV_Sales[[#This Row],[Order_Date]],"mmm-yyyy")</f>
        <v>Jul-2025</v>
      </c>
      <c r="AA527">
        <f>MONTH(EV_Sales[[#This Row],[Order_Date]])</f>
        <v>7</v>
      </c>
      <c r="AB527" s="12" t="str">
        <f>"Q"&amp;ROUNDUP(MONTH(EV_Sales[[#This Row],[Order_Date]])/3,0)</f>
        <v>Q3</v>
      </c>
    </row>
    <row r="528" spans="1:28" x14ac:dyDescent="0.3">
      <c r="A528" t="s">
        <v>634</v>
      </c>
      <c r="B528" s="2">
        <v>46014</v>
      </c>
      <c r="C528" t="s">
        <v>39</v>
      </c>
      <c r="D528" t="s">
        <v>40</v>
      </c>
      <c r="E528" t="s">
        <v>62</v>
      </c>
      <c r="F528" t="s">
        <v>25</v>
      </c>
      <c r="G528" t="s">
        <v>34</v>
      </c>
      <c r="H528" t="s">
        <v>53</v>
      </c>
      <c r="I528" t="str">
        <f>IF('Cleaned Data'!H528="Emi","EMI",'Cleaned Data'!H528)</f>
        <v>Cash</v>
      </c>
      <c r="J528" t="s">
        <v>94</v>
      </c>
      <c r="K528" t="s">
        <v>54</v>
      </c>
      <c r="L528">
        <v>1</v>
      </c>
      <c r="M528" s="9">
        <v>129328</v>
      </c>
      <c r="N528" s="4">
        <v>4.4999999999999998E-2</v>
      </c>
      <c r="O528" s="4">
        <f t="shared" si="8"/>
        <v>4.4999999999999998E-2</v>
      </c>
      <c r="P528" s="11">
        <v>129328</v>
      </c>
      <c r="Q528" s="9">
        <v>5819.76</v>
      </c>
      <c r="R528" s="9">
        <v>123508.24</v>
      </c>
      <c r="S528">
        <v>2</v>
      </c>
      <c r="T528">
        <v>150</v>
      </c>
      <c r="U528">
        <v>3.6</v>
      </c>
      <c r="V528">
        <v>8</v>
      </c>
      <c r="W528">
        <f>IF('Cleaned Data'!V528&lt;0,"Review",'Cleaned Data'!V528)</f>
        <v>8</v>
      </c>
      <c r="X528">
        <v>5</v>
      </c>
      <c r="Y528" s="7">
        <f>IFERROR('Cleaned Data'!R528/'Cleaned Data'!L528,0)</f>
        <v>123508.24</v>
      </c>
      <c r="Z528" t="str">
        <f>TEXT(EV_Sales[[#This Row],[Order_Date]],"mmm-yyyy")</f>
        <v>Dec-2025</v>
      </c>
      <c r="AA528">
        <f>MONTH(EV_Sales[[#This Row],[Order_Date]])</f>
        <v>12</v>
      </c>
      <c r="AB528" s="12" t="str">
        <f>"Q"&amp;ROUNDUP(MONTH(EV_Sales[[#This Row],[Order_Date]])/3,0)</f>
        <v>Q4</v>
      </c>
    </row>
    <row r="529" spans="1:28" x14ac:dyDescent="0.3">
      <c r="A529" t="s">
        <v>635</v>
      </c>
      <c r="B529" s="2">
        <v>45977</v>
      </c>
      <c r="C529" t="s">
        <v>39</v>
      </c>
      <c r="D529" t="s">
        <v>40</v>
      </c>
      <c r="E529" t="s">
        <v>62</v>
      </c>
      <c r="F529" t="s">
        <v>41</v>
      </c>
      <c r="G529" t="s">
        <v>67</v>
      </c>
      <c r="H529" t="s">
        <v>809</v>
      </c>
      <c r="I529" t="str">
        <f>IF('Cleaned Data'!H529="Emi","EMI",'Cleaned Data'!H529)</f>
        <v>EMI</v>
      </c>
      <c r="J529" t="s">
        <v>57</v>
      </c>
      <c r="K529" t="s">
        <v>83</v>
      </c>
      <c r="L529">
        <v>2</v>
      </c>
      <c r="M529" s="9">
        <v>127137</v>
      </c>
      <c r="N529" s="4"/>
      <c r="O529" s="4" t="str">
        <f t="shared" si="8"/>
        <v>missing</v>
      </c>
      <c r="P529" s="11">
        <v>254274</v>
      </c>
      <c r="Q529" s="9">
        <v>25935.95</v>
      </c>
      <c r="R529" s="9">
        <v>228338.05</v>
      </c>
      <c r="S529">
        <v>5</v>
      </c>
      <c r="T529">
        <v>205</v>
      </c>
      <c r="U529">
        <v>4.7</v>
      </c>
      <c r="V529">
        <v>14</v>
      </c>
      <c r="W529">
        <f>IF('Cleaned Data'!V529&lt;0,"Review",'Cleaned Data'!V529)</f>
        <v>14</v>
      </c>
      <c r="X529">
        <v>5</v>
      </c>
      <c r="Y529" s="7">
        <f>IFERROR('Cleaned Data'!R529/'Cleaned Data'!L529,0)</f>
        <v>114169.02499999999</v>
      </c>
      <c r="Z529" t="str">
        <f>TEXT(EV_Sales[[#This Row],[Order_Date]],"mmm-yyyy")</f>
        <v>Nov-2025</v>
      </c>
      <c r="AA529">
        <f>MONTH(EV_Sales[[#This Row],[Order_Date]])</f>
        <v>11</v>
      </c>
      <c r="AB529" s="12" t="str">
        <f>"Q"&amp;ROUNDUP(MONTH(EV_Sales[[#This Row],[Order_Date]])/3,0)</f>
        <v>Q4</v>
      </c>
    </row>
    <row r="530" spans="1:28" x14ac:dyDescent="0.3">
      <c r="A530" t="s">
        <v>636</v>
      </c>
      <c r="B530" s="2">
        <v>46022</v>
      </c>
      <c r="C530" t="s">
        <v>44</v>
      </c>
      <c r="D530" t="s">
        <v>51</v>
      </c>
      <c r="E530" t="s">
        <v>46</v>
      </c>
      <c r="F530" t="s">
        <v>70</v>
      </c>
      <c r="G530" t="s">
        <v>26</v>
      </c>
      <c r="H530" t="s">
        <v>27</v>
      </c>
      <c r="I530" t="str">
        <f>IF('Cleaned Data'!H530="Emi","EMI",'Cleaned Data'!H530)</f>
        <v>Finance</v>
      </c>
      <c r="J530" t="s">
        <v>28</v>
      </c>
      <c r="K530" t="s">
        <v>37</v>
      </c>
      <c r="L530">
        <v>1</v>
      </c>
      <c r="M530" s="9">
        <v>126846</v>
      </c>
      <c r="N530" s="4">
        <v>4.5999999999999999E-2</v>
      </c>
      <c r="O530" s="4">
        <f t="shared" si="8"/>
        <v>4.5999999999999999E-2</v>
      </c>
      <c r="P530" s="11">
        <v>126846</v>
      </c>
      <c r="Q530" s="9">
        <v>5834.92</v>
      </c>
      <c r="R530" s="9">
        <v>121011.08</v>
      </c>
      <c r="S530">
        <v>3</v>
      </c>
      <c r="T530">
        <v>188</v>
      </c>
      <c r="U530">
        <v>4.3</v>
      </c>
      <c r="V530">
        <v>13</v>
      </c>
      <c r="W530">
        <f>IF('Cleaned Data'!V530&lt;0,"Review",'Cleaned Data'!V530)</f>
        <v>13</v>
      </c>
      <c r="X530">
        <v>2</v>
      </c>
      <c r="Y530" s="7">
        <f>IFERROR('Cleaned Data'!R530/'Cleaned Data'!L530,0)</f>
        <v>121011.08</v>
      </c>
      <c r="Z530" t="str">
        <f>TEXT(EV_Sales[[#This Row],[Order_Date]],"mmm-yyyy")</f>
        <v>Dec-2025</v>
      </c>
      <c r="AA530">
        <f>MONTH(EV_Sales[[#This Row],[Order_Date]])</f>
        <v>12</v>
      </c>
      <c r="AB530" s="12" t="str">
        <f>"Q"&amp;ROUNDUP(MONTH(EV_Sales[[#This Row],[Order_Date]])/3,0)</f>
        <v>Q4</v>
      </c>
    </row>
    <row r="531" spans="1:28" x14ac:dyDescent="0.3">
      <c r="A531" t="s">
        <v>637</v>
      </c>
      <c r="B531" s="2">
        <v>46009</v>
      </c>
      <c r="C531" t="s">
        <v>39</v>
      </c>
      <c r="D531" t="s">
        <v>154</v>
      </c>
      <c r="E531" t="s">
        <v>24</v>
      </c>
      <c r="F531" t="s">
        <v>47</v>
      </c>
      <c r="G531" t="s">
        <v>34</v>
      </c>
      <c r="H531" t="s">
        <v>53</v>
      </c>
      <c r="I531" t="str">
        <f>IF('Cleaned Data'!H531="Emi","EMI",'Cleaned Data'!H531)</f>
        <v>Cash</v>
      </c>
      <c r="J531" t="s">
        <v>48</v>
      </c>
      <c r="K531" t="s">
        <v>118</v>
      </c>
      <c r="L531">
        <v>1</v>
      </c>
      <c r="M531" s="9">
        <v>174370</v>
      </c>
      <c r="N531" s="4">
        <v>6.9000000000000006E-2</v>
      </c>
      <c r="O531" s="4">
        <f t="shared" si="8"/>
        <v>6.9000000000000006E-2</v>
      </c>
      <c r="P531" s="11">
        <v>174370</v>
      </c>
      <c r="Q531" s="9">
        <v>12031.53</v>
      </c>
      <c r="R531" s="9">
        <v>162338.47</v>
      </c>
      <c r="S531">
        <v>5</v>
      </c>
      <c r="T531">
        <v>209</v>
      </c>
      <c r="U531">
        <v>4.0999999999999996</v>
      </c>
      <c r="V531">
        <v>8</v>
      </c>
      <c r="W531">
        <f>IF('Cleaned Data'!V531&lt;0,"Review",'Cleaned Data'!V531)</f>
        <v>8</v>
      </c>
      <c r="X531">
        <v>2</v>
      </c>
      <c r="Y531" s="7">
        <f>IFERROR('Cleaned Data'!R531/'Cleaned Data'!L531,0)</f>
        <v>162338.47</v>
      </c>
      <c r="Z531" t="str">
        <f>TEXT(EV_Sales[[#This Row],[Order_Date]],"mmm-yyyy")</f>
        <v>Dec-2025</v>
      </c>
      <c r="AA531">
        <f>MONTH(EV_Sales[[#This Row],[Order_Date]])</f>
        <v>12</v>
      </c>
      <c r="AB531" s="12" t="str">
        <f>"Q"&amp;ROUNDUP(MONTH(EV_Sales[[#This Row],[Order_Date]])/3,0)</f>
        <v>Q4</v>
      </c>
    </row>
    <row r="532" spans="1:28" x14ac:dyDescent="0.3">
      <c r="A532" t="s">
        <v>638</v>
      </c>
      <c r="B532" s="2">
        <v>46003</v>
      </c>
      <c r="C532" t="s">
        <v>87</v>
      </c>
      <c r="D532" t="s">
        <v>130</v>
      </c>
      <c r="E532" t="s">
        <v>62</v>
      </c>
      <c r="F532" t="s">
        <v>52</v>
      </c>
      <c r="G532" t="s">
        <v>26</v>
      </c>
      <c r="H532" t="s">
        <v>27</v>
      </c>
      <c r="I532" t="str">
        <f>IF('Cleaned Data'!H532="Emi","EMI",'Cleaned Data'!H532)</f>
        <v>Finance</v>
      </c>
      <c r="J532" t="s">
        <v>63</v>
      </c>
      <c r="K532" t="s">
        <v>83</v>
      </c>
      <c r="L532">
        <v>4</v>
      </c>
      <c r="M532" s="9">
        <v>117926</v>
      </c>
      <c r="N532" s="4">
        <v>7.1999999999999995E-2</v>
      </c>
      <c r="O532" s="4">
        <f t="shared" si="8"/>
        <v>7.1999999999999995E-2</v>
      </c>
      <c r="P532" s="11">
        <v>471704</v>
      </c>
      <c r="Q532" s="9">
        <v>33962.69</v>
      </c>
      <c r="R532" s="9">
        <v>437741.31</v>
      </c>
      <c r="S532">
        <v>4</v>
      </c>
      <c r="T532">
        <v>176</v>
      </c>
      <c r="U532">
        <v>4.3</v>
      </c>
      <c r="V532">
        <v>8</v>
      </c>
      <c r="W532">
        <f>IF('Cleaned Data'!V532&lt;0,"Review",'Cleaned Data'!V532)</f>
        <v>8</v>
      </c>
      <c r="X532">
        <v>5</v>
      </c>
      <c r="Y532" s="7">
        <f>IFERROR('Cleaned Data'!R532/'Cleaned Data'!L532,0)</f>
        <v>109435.3275</v>
      </c>
      <c r="Z532" t="str">
        <f>TEXT(EV_Sales[[#This Row],[Order_Date]],"mmm-yyyy")</f>
        <v>Dec-2025</v>
      </c>
      <c r="AA532">
        <f>MONTH(EV_Sales[[#This Row],[Order_Date]])</f>
        <v>12</v>
      </c>
      <c r="AB532" s="12" t="str">
        <f>"Q"&amp;ROUNDUP(MONTH(EV_Sales[[#This Row],[Order_Date]])/3,0)</f>
        <v>Q4</v>
      </c>
    </row>
    <row r="533" spans="1:28" x14ac:dyDescent="0.3">
      <c r="A533" t="s">
        <v>639</v>
      </c>
      <c r="B533" s="2">
        <v>45985</v>
      </c>
      <c r="C533" t="s">
        <v>39</v>
      </c>
      <c r="D533" t="s">
        <v>40</v>
      </c>
      <c r="E533" t="s">
        <v>24</v>
      </c>
      <c r="F533" t="s">
        <v>74</v>
      </c>
      <c r="G533" t="s">
        <v>56</v>
      </c>
      <c r="H533" t="s">
        <v>809</v>
      </c>
      <c r="I533" t="str">
        <f>IF('Cleaned Data'!H533="Emi","EMI",'Cleaned Data'!H533)</f>
        <v>EMI</v>
      </c>
      <c r="J533" t="s">
        <v>36</v>
      </c>
      <c r="K533" t="s">
        <v>143</v>
      </c>
      <c r="L533">
        <v>1</v>
      </c>
      <c r="M533" s="9">
        <v>128405</v>
      </c>
      <c r="N533" s="4">
        <v>2.7E-2</v>
      </c>
      <c r="O533" s="4">
        <f t="shared" si="8"/>
        <v>2.7E-2</v>
      </c>
      <c r="P533" s="11">
        <v>128405</v>
      </c>
      <c r="Q533" s="9">
        <v>3466.93</v>
      </c>
      <c r="R533" s="9">
        <v>124938.07</v>
      </c>
      <c r="S533">
        <v>4</v>
      </c>
      <c r="T533">
        <v>185</v>
      </c>
      <c r="U533">
        <v>3.5</v>
      </c>
      <c r="V533">
        <v>2</v>
      </c>
      <c r="W533">
        <f>IF('Cleaned Data'!V533&lt;0,"Review",'Cleaned Data'!V533)</f>
        <v>2</v>
      </c>
      <c r="X533">
        <v>2</v>
      </c>
      <c r="Y533" s="7">
        <f>IFERROR('Cleaned Data'!R533/'Cleaned Data'!L533,0)</f>
        <v>124938.07</v>
      </c>
      <c r="Z533" t="str">
        <f>TEXT(EV_Sales[[#This Row],[Order_Date]],"mmm-yyyy")</f>
        <v>Nov-2025</v>
      </c>
      <c r="AA533">
        <f>MONTH(EV_Sales[[#This Row],[Order_Date]])</f>
        <v>11</v>
      </c>
      <c r="AB533" s="12" t="str">
        <f>"Q"&amp;ROUNDUP(MONTH(EV_Sales[[#This Row],[Order_Date]])/3,0)</f>
        <v>Q4</v>
      </c>
    </row>
    <row r="534" spans="1:28" x14ac:dyDescent="0.3">
      <c r="A534" t="s">
        <v>640</v>
      </c>
      <c r="B534" s="2">
        <v>45851</v>
      </c>
      <c r="C534" t="s">
        <v>60</v>
      </c>
      <c r="D534" t="s">
        <v>61</v>
      </c>
      <c r="E534" t="s">
        <v>46</v>
      </c>
      <c r="F534" t="s">
        <v>74</v>
      </c>
      <c r="G534" t="s">
        <v>56</v>
      </c>
      <c r="H534" t="s">
        <v>810</v>
      </c>
      <c r="I534" t="str">
        <f>IF('Cleaned Data'!H534="Emi","EMI",'Cleaned Data'!H534)</f>
        <v xml:space="preserve"> Emi </v>
      </c>
      <c r="J534" t="s">
        <v>94</v>
      </c>
      <c r="K534" t="s">
        <v>49</v>
      </c>
      <c r="L534">
        <v>2</v>
      </c>
      <c r="M534" s="9">
        <v>108395</v>
      </c>
      <c r="N534" s="4">
        <v>8.5000000000000006E-2</v>
      </c>
      <c r="O534" s="4">
        <f t="shared" si="8"/>
        <v>8.5000000000000006E-2</v>
      </c>
      <c r="P534" s="11">
        <v>216790</v>
      </c>
      <c r="Q534" s="9">
        <v>18427.150000000001</v>
      </c>
      <c r="R534" s="9">
        <v>198362.85</v>
      </c>
      <c r="S534">
        <v>4</v>
      </c>
      <c r="T534">
        <v>175</v>
      </c>
      <c r="U534">
        <v>4</v>
      </c>
      <c r="V534">
        <v>13</v>
      </c>
      <c r="W534">
        <f>IF('Cleaned Data'!V534&lt;0,"Review",'Cleaned Data'!V534)</f>
        <v>13</v>
      </c>
      <c r="X534">
        <v>2</v>
      </c>
      <c r="Y534" s="7">
        <f>IFERROR('Cleaned Data'!R534/'Cleaned Data'!L534,0)</f>
        <v>99181.425000000003</v>
      </c>
      <c r="Z534" t="str">
        <f>TEXT(EV_Sales[[#This Row],[Order_Date]],"mmm-yyyy")</f>
        <v>Jul-2025</v>
      </c>
      <c r="AA534">
        <f>MONTH(EV_Sales[[#This Row],[Order_Date]])</f>
        <v>7</v>
      </c>
      <c r="AB534" s="12" t="str">
        <f>"Q"&amp;ROUNDUP(MONTH(EV_Sales[[#This Row],[Order_Date]])/3,0)</f>
        <v>Q3</v>
      </c>
    </row>
    <row r="535" spans="1:28" x14ac:dyDescent="0.3">
      <c r="A535" t="s">
        <v>641</v>
      </c>
      <c r="B535" s="2">
        <v>45951</v>
      </c>
      <c r="C535" t="s">
        <v>60</v>
      </c>
      <c r="D535" t="s">
        <v>61</v>
      </c>
      <c r="E535" t="s">
        <v>24</v>
      </c>
      <c r="F535" t="s">
        <v>66</v>
      </c>
      <c r="G535" t="s">
        <v>34</v>
      </c>
      <c r="H535" t="s">
        <v>27</v>
      </c>
      <c r="I535" t="str">
        <f>IF('Cleaned Data'!H535="Emi","EMI",'Cleaned Data'!H535)</f>
        <v>Finance</v>
      </c>
      <c r="J535" t="s">
        <v>94</v>
      </c>
      <c r="K535" t="s">
        <v>78</v>
      </c>
      <c r="L535">
        <v>1</v>
      </c>
      <c r="M535" s="9">
        <v>123680</v>
      </c>
      <c r="N535" s="4">
        <v>5.1999999999999998E-2</v>
      </c>
      <c r="O535" s="4">
        <f t="shared" si="8"/>
        <v>5.1999999999999998E-2</v>
      </c>
      <c r="P535" s="11">
        <v>123680</v>
      </c>
      <c r="Q535" s="9">
        <v>6431.36</v>
      </c>
      <c r="R535" s="9">
        <v>117248.64</v>
      </c>
      <c r="S535">
        <v>5</v>
      </c>
      <c r="T535">
        <v>198</v>
      </c>
      <c r="U535">
        <v>3.2</v>
      </c>
      <c r="V535">
        <v>10</v>
      </c>
      <c r="W535">
        <f>IF('Cleaned Data'!V535&lt;0,"Review",'Cleaned Data'!V535)</f>
        <v>10</v>
      </c>
      <c r="X535">
        <v>3</v>
      </c>
      <c r="Y535" s="7">
        <f>IFERROR('Cleaned Data'!R535/'Cleaned Data'!L535,0)</f>
        <v>117248.64</v>
      </c>
      <c r="Z535" t="str">
        <f>TEXT(EV_Sales[[#This Row],[Order_Date]],"mmm-yyyy")</f>
        <v>Oct-2025</v>
      </c>
      <c r="AA535">
        <f>MONTH(EV_Sales[[#This Row],[Order_Date]])</f>
        <v>10</v>
      </c>
      <c r="AB535" s="12" t="str">
        <f>"Q"&amp;ROUNDUP(MONTH(EV_Sales[[#This Row],[Order_Date]])/3,0)</f>
        <v>Q4</v>
      </c>
    </row>
    <row r="536" spans="1:28" x14ac:dyDescent="0.3">
      <c r="A536" t="s">
        <v>642</v>
      </c>
      <c r="B536" s="2">
        <v>45956</v>
      </c>
      <c r="C536" t="s">
        <v>39</v>
      </c>
      <c r="D536" t="s">
        <v>154</v>
      </c>
      <c r="E536" t="s">
        <v>62</v>
      </c>
      <c r="F536" t="s">
        <v>52</v>
      </c>
      <c r="G536" t="s">
        <v>34</v>
      </c>
      <c r="H536" t="s">
        <v>27</v>
      </c>
      <c r="I536" t="str">
        <f>IF('Cleaned Data'!H536="Emi","EMI",'Cleaned Data'!H536)</f>
        <v>Finance</v>
      </c>
      <c r="J536" t="s">
        <v>63</v>
      </c>
      <c r="K536" t="s">
        <v>157</v>
      </c>
      <c r="L536">
        <v>1</v>
      </c>
      <c r="M536" s="9">
        <v>182231</v>
      </c>
      <c r="N536" s="4">
        <v>0.111</v>
      </c>
      <c r="O536" s="4">
        <f t="shared" si="8"/>
        <v>0.111</v>
      </c>
      <c r="P536" s="11">
        <v>182231</v>
      </c>
      <c r="Q536" s="9">
        <v>20227.64</v>
      </c>
      <c r="R536" s="9">
        <v>162003.35999999999</v>
      </c>
      <c r="S536">
        <v>4</v>
      </c>
      <c r="T536">
        <v>184</v>
      </c>
      <c r="U536">
        <v>3.9</v>
      </c>
      <c r="V536">
        <v>13</v>
      </c>
      <c r="W536">
        <f>IF('Cleaned Data'!V536&lt;0,"Review",'Cleaned Data'!V536)</f>
        <v>13</v>
      </c>
      <c r="X536">
        <v>5</v>
      </c>
      <c r="Y536" s="7">
        <f>IFERROR('Cleaned Data'!R536/'Cleaned Data'!L536,0)</f>
        <v>162003.35999999999</v>
      </c>
      <c r="Z536" t="str">
        <f>TEXT(EV_Sales[[#This Row],[Order_Date]],"mmm-yyyy")</f>
        <v>Oct-2025</v>
      </c>
      <c r="AA536">
        <f>MONTH(EV_Sales[[#This Row],[Order_Date]])</f>
        <v>10</v>
      </c>
      <c r="AB536" s="12" t="str">
        <f>"Q"&amp;ROUNDUP(MONTH(EV_Sales[[#This Row],[Order_Date]])/3,0)</f>
        <v>Q4</v>
      </c>
    </row>
    <row r="537" spans="1:28" x14ac:dyDescent="0.3">
      <c r="A537" t="s">
        <v>643</v>
      </c>
      <c r="B537" s="2">
        <v>45818</v>
      </c>
      <c r="C537" t="s">
        <v>99</v>
      </c>
      <c r="D537" t="s">
        <v>100</v>
      </c>
      <c r="E537" t="s">
        <v>62</v>
      </c>
      <c r="F537" t="s">
        <v>66</v>
      </c>
      <c r="G537" t="s">
        <v>34</v>
      </c>
      <c r="H537" t="s">
        <v>27</v>
      </c>
      <c r="I537" t="str">
        <f>IF('Cleaned Data'!H537="Emi","EMI",'Cleaned Data'!H537)</f>
        <v>Finance</v>
      </c>
      <c r="J537" t="s">
        <v>48</v>
      </c>
      <c r="K537" t="s">
        <v>138</v>
      </c>
      <c r="L537">
        <v>1</v>
      </c>
      <c r="M537" s="9">
        <v>112578</v>
      </c>
      <c r="N537" s="4">
        <v>5.1999999999999998E-2</v>
      </c>
      <c r="O537" s="4">
        <f t="shared" si="8"/>
        <v>5.1999999999999998E-2</v>
      </c>
      <c r="P537" s="11">
        <v>112578</v>
      </c>
      <c r="Q537" s="9">
        <v>5854.06</v>
      </c>
      <c r="R537" s="9">
        <v>106723.94</v>
      </c>
      <c r="S537">
        <v>5</v>
      </c>
      <c r="T537">
        <v>196</v>
      </c>
      <c r="U537">
        <v>3.3</v>
      </c>
      <c r="V537">
        <v>7</v>
      </c>
      <c r="W537">
        <f>IF('Cleaned Data'!V537&lt;0,"Review",'Cleaned Data'!V537)</f>
        <v>7</v>
      </c>
      <c r="X537">
        <v>3</v>
      </c>
      <c r="Y537" s="7">
        <f>IFERROR('Cleaned Data'!R537/'Cleaned Data'!L537,0)</f>
        <v>106723.94</v>
      </c>
      <c r="Z537" t="str">
        <f>TEXT(EV_Sales[[#This Row],[Order_Date]],"mmm-yyyy")</f>
        <v>Jun-2025</v>
      </c>
      <c r="AA537">
        <f>MONTH(EV_Sales[[#This Row],[Order_Date]])</f>
        <v>6</v>
      </c>
      <c r="AB537" s="12" t="str">
        <f>"Q"&amp;ROUNDUP(MONTH(EV_Sales[[#This Row],[Order_Date]])/3,0)</f>
        <v>Q2</v>
      </c>
    </row>
    <row r="538" spans="1:28" x14ac:dyDescent="0.3">
      <c r="A538" t="s">
        <v>644</v>
      </c>
      <c r="B538" s="2">
        <v>45922</v>
      </c>
      <c r="C538" t="s">
        <v>76</v>
      </c>
      <c r="D538" t="s">
        <v>77</v>
      </c>
      <c r="E538" t="s">
        <v>62</v>
      </c>
      <c r="F538" t="s">
        <v>52</v>
      </c>
      <c r="G538" t="s">
        <v>34</v>
      </c>
      <c r="H538" t="s">
        <v>27</v>
      </c>
      <c r="I538" t="str">
        <f>IF('Cleaned Data'!H538="Emi","EMI",'Cleaned Data'!H538)</f>
        <v>Finance</v>
      </c>
      <c r="J538" t="s">
        <v>28</v>
      </c>
      <c r="K538" t="s">
        <v>102</v>
      </c>
      <c r="L538">
        <v>5</v>
      </c>
      <c r="M538" s="9">
        <v>151245</v>
      </c>
      <c r="N538" s="4">
        <v>9.7000000000000003E-2</v>
      </c>
      <c r="O538" s="4">
        <f t="shared" si="8"/>
        <v>9.7000000000000003E-2</v>
      </c>
      <c r="P538" s="11">
        <v>756225</v>
      </c>
      <c r="Q538" s="9">
        <v>73353.820000000007</v>
      </c>
      <c r="R538" s="9">
        <v>682871.18</v>
      </c>
      <c r="S538">
        <v>4</v>
      </c>
      <c r="T538">
        <v>212</v>
      </c>
      <c r="U538">
        <v>3.6</v>
      </c>
      <c r="V538">
        <v>3</v>
      </c>
      <c r="W538">
        <f>IF('Cleaned Data'!V538&lt;0,"Review",'Cleaned Data'!V538)</f>
        <v>3</v>
      </c>
      <c r="X538">
        <v>2</v>
      </c>
      <c r="Y538" s="7">
        <f>IFERROR('Cleaned Data'!R538/'Cleaned Data'!L538,0)</f>
        <v>136574.236</v>
      </c>
      <c r="Z538" t="str">
        <f>TEXT(EV_Sales[[#This Row],[Order_Date]],"mmm-yyyy")</f>
        <v>Sep-2025</v>
      </c>
      <c r="AA538">
        <f>MONTH(EV_Sales[[#This Row],[Order_Date]])</f>
        <v>9</v>
      </c>
      <c r="AB538" s="12" t="str">
        <f>"Q"&amp;ROUNDUP(MONTH(EV_Sales[[#This Row],[Order_Date]])/3,0)</f>
        <v>Q3</v>
      </c>
    </row>
    <row r="539" spans="1:28" x14ac:dyDescent="0.3">
      <c r="A539" t="s">
        <v>645</v>
      </c>
      <c r="B539" s="2">
        <v>45945</v>
      </c>
      <c r="C539" t="s">
        <v>60</v>
      </c>
      <c r="D539" t="s">
        <v>69</v>
      </c>
      <c r="E539" t="s">
        <v>62</v>
      </c>
      <c r="F539" t="s">
        <v>80</v>
      </c>
      <c r="G539" t="s">
        <v>34</v>
      </c>
      <c r="H539" t="s">
        <v>53</v>
      </c>
      <c r="I539" t="str">
        <f>IF('Cleaned Data'!H539="Emi","EMI",'Cleaned Data'!H539)</f>
        <v>Cash</v>
      </c>
      <c r="J539" t="s">
        <v>94</v>
      </c>
      <c r="K539" t="s">
        <v>81</v>
      </c>
      <c r="L539">
        <v>3</v>
      </c>
      <c r="M539" s="9">
        <v>100228</v>
      </c>
      <c r="N539" s="4">
        <v>0.11600000000000001</v>
      </c>
      <c r="O539" s="4">
        <f t="shared" si="8"/>
        <v>0.11600000000000001</v>
      </c>
      <c r="P539" s="11">
        <v>300684</v>
      </c>
      <c r="Q539" s="9">
        <v>34879.339999999997</v>
      </c>
      <c r="R539" s="9">
        <v>265804.65999999997</v>
      </c>
      <c r="S539">
        <v>5</v>
      </c>
      <c r="T539">
        <v>209</v>
      </c>
      <c r="U539">
        <v>3.8</v>
      </c>
      <c r="V539">
        <v>12</v>
      </c>
      <c r="W539">
        <f>IF('Cleaned Data'!V539&lt;0,"Review",'Cleaned Data'!V539)</f>
        <v>12</v>
      </c>
      <c r="X539">
        <v>3</v>
      </c>
      <c r="Y539" s="7">
        <f>IFERROR('Cleaned Data'!R539/'Cleaned Data'!L539,0)</f>
        <v>88601.55333333333</v>
      </c>
      <c r="Z539" t="str">
        <f>TEXT(EV_Sales[[#This Row],[Order_Date]],"mmm-yyyy")</f>
        <v>Oct-2025</v>
      </c>
      <c r="AA539">
        <f>MONTH(EV_Sales[[#This Row],[Order_Date]])</f>
        <v>10</v>
      </c>
      <c r="AB539" s="12" t="str">
        <f>"Q"&amp;ROUNDUP(MONTH(EV_Sales[[#This Row],[Order_Date]])/3,0)</f>
        <v>Q4</v>
      </c>
    </row>
    <row r="540" spans="1:28" x14ac:dyDescent="0.3">
      <c r="A540" t="s">
        <v>646</v>
      </c>
      <c r="B540" s="2">
        <v>45683</v>
      </c>
      <c r="C540" t="s">
        <v>99</v>
      </c>
      <c r="D540" t="s">
        <v>100</v>
      </c>
      <c r="E540" t="s">
        <v>46</v>
      </c>
      <c r="F540" t="s">
        <v>33</v>
      </c>
      <c r="G540" t="s">
        <v>56</v>
      </c>
      <c r="H540" t="s">
        <v>53</v>
      </c>
      <c r="I540" t="str">
        <f>IF('Cleaned Data'!H540="Emi","EMI",'Cleaned Data'!H540)</f>
        <v>Cash</v>
      </c>
      <c r="J540" t="s">
        <v>63</v>
      </c>
      <c r="K540" t="s">
        <v>157</v>
      </c>
      <c r="L540">
        <v>4</v>
      </c>
      <c r="M540" s="9">
        <v>116143</v>
      </c>
      <c r="N540" s="4">
        <v>6.4000000000000001E-2</v>
      </c>
      <c r="O540" s="4">
        <f t="shared" si="8"/>
        <v>6.4000000000000001E-2</v>
      </c>
      <c r="P540" s="11">
        <v>464572</v>
      </c>
      <c r="Q540" s="9">
        <v>29732.61</v>
      </c>
      <c r="R540" s="9">
        <v>434839.39</v>
      </c>
      <c r="S540">
        <v>4</v>
      </c>
      <c r="T540">
        <v>170</v>
      </c>
      <c r="U540">
        <v>4.2</v>
      </c>
      <c r="V540">
        <v>13</v>
      </c>
      <c r="W540">
        <f>IF('Cleaned Data'!V540&lt;0,"Review",'Cleaned Data'!V540)</f>
        <v>13</v>
      </c>
      <c r="X540">
        <v>3</v>
      </c>
      <c r="Y540" s="7">
        <f>IFERROR('Cleaned Data'!R540/'Cleaned Data'!L540,0)</f>
        <v>108709.8475</v>
      </c>
      <c r="Z540" t="str">
        <f>TEXT(EV_Sales[[#This Row],[Order_Date]],"mmm-yyyy")</f>
        <v>Jan-2025</v>
      </c>
      <c r="AA540">
        <f>MONTH(EV_Sales[[#This Row],[Order_Date]])</f>
        <v>1</v>
      </c>
      <c r="AB540" s="12" t="str">
        <f>"Q"&amp;ROUNDUP(MONTH(EV_Sales[[#This Row],[Order_Date]])/3,0)</f>
        <v>Q1</v>
      </c>
    </row>
    <row r="541" spans="1:28" x14ac:dyDescent="0.3">
      <c r="A541" t="s">
        <v>647</v>
      </c>
      <c r="B541" s="2">
        <v>45683</v>
      </c>
      <c r="C541" t="s">
        <v>39</v>
      </c>
      <c r="D541" t="s">
        <v>154</v>
      </c>
      <c r="E541" t="s">
        <v>46</v>
      </c>
      <c r="F541" t="s">
        <v>33</v>
      </c>
      <c r="G541" t="s">
        <v>56</v>
      </c>
      <c r="H541" t="s">
        <v>27</v>
      </c>
      <c r="I541" t="str">
        <f>IF('Cleaned Data'!H541="Emi","EMI",'Cleaned Data'!H541)</f>
        <v>Finance</v>
      </c>
      <c r="J541" t="s">
        <v>57</v>
      </c>
      <c r="K541" t="s">
        <v>37</v>
      </c>
      <c r="L541">
        <v>5</v>
      </c>
      <c r="M541" s="9">
        <v>185645</v>
      </c>
      <c r="N541" s="4">
        <v>6.6000000000000003E-2</v>
      </c>
      <c r="O541" s="4">
        <f t="shared" si="8"/>
        <v>6.6000000000000003E-2</v>
      </c>
      <c r="P541" s="11">
        <v>928225</v>
      </c>
      <c r="Q541" s="9">
        <v>61262.85</v>
      </c>
      <c r="R541" s="9">
        <v>866962.15</v>
      </c>
      <c r="S541">
        <v>3</v>
      </c>
      <c r="T541">
        <v>159</v>
      </c>
      <c r="U541">
        <v>3.7</v>
      </c>
      <c r="V541">
        <v>5</v>
      </c>
      <c r="W541">
        <f>IF('Cleaned Data'!V541&lt;0,"Review",'Cleaned Data'!V541)</f>
        <v>5</v>
      </c>
      <c r="X541">
        <v>3</v>
      </c>
      <c r="Y541" s="7">
        <f>IFERROR('Cleaned Data'!R541/'Cleaned Data'!L541,0)</f>
        <v>173392.43</v>
      </c>
      <c r="Z541" t="str">
        <f>TEXT(EV_Sales[[#This Row],[Order_Date]],"mmm-yyyy")</f>
        <v>Jan-2025</v>
      </c>
      <c r="AA541">
        <f>MONTH(EV_Sales[[#This Row],[Order_Date]])</f>
        <v>1</v>
      </c>
      <c r="AB541" s="12" t="str">
        <f>"Q"&amp;ROUNDUP(MONTH(EV_Sales[[#This Row],[Order_Date]])/3,0)</f>
        <v>Q1</v>
      </c>
    </row>
    <row r="542" spans="1:28" x14ac:dyDescent="0.3">
      <c r="A542" t="s">
        <v>648</v>
      </c>
      <c r="B542" s="2">
        <v>45939</v>
      </c>
      <c r="C542" t="s">
        <v>76</v>
      </c>
      <c r="D542" t="s">
        <v>115</v>
      </c>
      <c r="E542" t="s">
        <v>46</v>
      </c>
      <c r="F542" t="s">
        <v>33</v>
      </c>
      <c r="G542" t="s">
        <v>56</v>
      </c>
      <c r="H542" t="s">
        <v>27</v>
      </c>
      <c r="I542" t="str">
        <f>IF('Cleaned Data'!H542="Emi","EMI",'Cleaned Data'!H542)</f>
        <v>Finance</v>
      </c>
      <c r="J542" t="s">
        <v>48</v>
      </c>
      <c r="K542" t="s">
        <v>123</v>
      </c>
      <c r="L542">
        <v>4</v>
      </c>
      <c r="M542" s="9">
        <v>124257</v>
      </c>
      <c r="N542" s="4">
        <v>9.6000000000000002E-2</v>
      </c>
      <c r="O542" s="4">
        <f t="shared" si="8"/>
        <v>9.6000000000000002E-2</v>
      </c>
      <c r="P542" s="11">
        <v>497028</v>
      </c>
      <c r="Q542" s="9">
        <v>47714.69</v>
      </c>
      <c r="R542" s="9">
        <v>449313.31</v>
      </c>
      <c r="S542">
        <v>4</v>
      </c>
      <c r="T542">
        <v>183</v>
      </c>
      <c r="U542">
        <v>4.2</v>
      </c>
      <c r="V542">
        <v>5</v>
      </c>
      <c r="W542">
        <f>IF('Cleaned Data'!V542&lt;0,"Review",'Cleaned Data'!V542)</f>
        <v>5</v>
      </c>
      <c r="X542">
        <v>2</v>
      </c>
      <c r="Y542" s="7">
        <f>IFERROR('Cleaned Data'!R542/'Cleaned Data'!L542,0)</f>
        <v>112328.3275</v>
      </c>
      <c r="Z542" t="str">
        <f>TEXT(EV_Sales[[#This Row],[Order_Date]],"mmm-yyyy")</f>
        <v>Oct-2025</v>
      </c>
      <c r="AA542">
        <f>MONTH(EV_Sales[[#This Row],[Order_Date]])</f>
        <v>10</v>
      </c>
      <c r="AB542" s="12" t="str">
        <f>"Q"&amp;ROUNDUP(MONTH(EV_Sales[[#This Row],[Order_Date]])/3,0)</f>
        <v>Q4</v>
      </c>
    </row>
    <row r="543" spans="1:28" x14ac:dyDescent="0.3">
      <c r="A543" t="s">
        <v>649</v>
      </c>
      <c r="B543" s="2">
        <v>46016</v>
      </c>
      <c r="C543" t="s">
        <v>31</v>
      </c>
      <c r="D543" t="s">
        <v>97</v>
      </c>
      <c r="E543" t="s">
        <v>62</v>
      </c>
      <c r="F543" t="s">
        <v>52</v>
      </c>
      <c r="G543" t="s">
        <v>26</v>
      </c>
      <c r="H543" t="s">
        <v>53</v>
      </c>
      <c r="I543" t="str">
        <f>IF('Cleaned Data'!H543="Emi","EMI",'Cleaned Data'!H543)</f>
        <v>Cash</v>
      </c>
      <c r="J543" t="s">
        <v>94</v>
      </c>
      <c r="K543" t="s">
        <v>197</v>
      </c>
      <c r="L543">
        <v>2</v>
      </c>
      <c r="M543" s="9">
        <v>124249</v>
      </c>
      <c r="N543" s="4">
        <v>0.113</v>
      </c>
      <c r="O543" s="4">
        <f t="shared" si="8"/>
        <v>0.113</v>
      </c>
      <c r="P543" s="11">
        <v>248498</v>
      </c>
      <c r="Q543" s="9">
        <v>28080.27</v>
      </c>
      <c r="R543" s="9">
        <v>220417.73</v>
      </c>
      <c r="S543">
        <v>3</v>
      </c>
      <c r="T543">
        <v>157</v>
      </c>
      <c r="U543">
        <v>3.4</v>
      </c>
      <c r="V543">
        <v>5</v>
      </c>
      <c r="W543">
        <f>IF('Cleaned Data'!V543&lt;0,"Review",'Cleaned Data'!V543)</f>
        <v>5</v>
      </c>
      <c r="X543">
        <v>3</v>
      </c>
      <c r="Y543" s="7">
        <f>IFERROR('Cleaned Data'!R543/'Cleaned Data'!L543,0)</f>
        <v>110208.86500000001</v>
      </c>
      <c r="Z543" t="str">
        <f>TEXT(EV_Sales[[#This Row],[Order_Date]],"mmm-yyyy")</f>
        <v>Dec-2025</v>
      </c>
      <c r="AA543">
        <f>MONTH(EV_Sales[[#This Row],[Order_Date]])</f>
        <v>12</v>
      </c>
      <c r="AB543" s="12" t="str">
        <f>"Q"&amp;ROUNDUP(MONTH(EV_Sales[[#This Row],[Order_Date]])/3,0)</f>
        <v>Q4</v>
      </c>
    </row>
    <row r="544" spans="1:28" x14ac:dyDescent="0.3">
      <c r="A544" t="s">
        <v>650</v>
      </c>
      <c r="B544" s="2">
        <v>45826</v>
      </c>
      <c r="C544" t="s">
        <v>87</v>
      </c>
      <c r="D544" t="s">
        <v>88</v>
      </c>
      <c r="E544" t="s">
        <v>24</v>
      </c>
      <c r="F544" t="s">
        <v>52</v>
      </c>
      <c r="G544" t="s">
        <v>67</v>
      </c>
      <c r="H544" t="s">
        <v>53</v>
      </c>
      <c r="I544" t="str">
        <f>IF('Cleaned Data'!H544="Emi","EMI",'Cleaned Data'!H544)</f>
        <v>Cash</v>
      </c>
      <c r="J544" t="s">
        <v>48</v>
      </c>
      <c r="K544" t="s">
        <v>203</v>
      </c>
      <c r="L544">
        <v>2</v>
      </c>
      <c r="M544" s="9">
        <v>152880</v>
      </c>
      <c r="N544" s="4">
        <v>9.0999999999999998E-2</v>
      </c>
      <c r="O544" s="4">
        <f t="shared" si="8"/>
        <v>9.0999999999999998E-2</v>
      </c>
      <c r="P544" s="11">
        <v>305760</v>
      </c>
      <c r="Q544" s="9">
        <v>27824.16</v>
      </c>
      <c r="R544" s="9">
        <v>277935.84000000003</v>
      </c>
      <c r="S544">
        <v>5</v>
      </c>
      <c r="T544">
        <v>193</v>
      </c>
      <c r="U544">
        <v>3.9</v>
      </c>
      <c r="V544">
        <v>14</v>
      </c>
      <c r="W544">
        <f>IF('Cleaned Data'!V544&lt;0,"Review",'Cleaned Data'!V544)</f>
        <v>14</v>
      </c>
      <c r="X544">
        <v>3</v>
      </c>
      <c r="Y544" s="7">
        <f>IFERROR('Cleaned Data'!R544/'Cleaned Data'!L544,0)</f>
        <v>138967.92000000001</v>
      </c>
      <c r="Z544" t="str">
        <f>TEXT(EV_Sales[[#This Row],[Order_Date]],"mmm-yyyy")</f>
        <v>Jun-2025</v>
      </c>
      <c r="AA544">
        <f>MONTH(EV_Sales[[#This Row],[Order_Date]])</f>
        <v>6</v>
      </c>
      <c r="AB544" s="12" t="str">
        <f>"Q"&amp;ROUNDUP(MONTH(EV_Sales[[#This Row],[Order_Date]])/3,0)</f>
        <v>Q2</v>
      </c>
    </row>
    <row r="545" spans="1:28" x14ac:dyDescent="0.3">
      <c r="A545" t="s">
        <v>651</v>
      </c>
      <c r="B545" s="2">
        <v>45931</v>
      </c>
      <c r="C545" t="s">
        <v>76</v>
      </c>
      <c r="D545" t="s">
        <v>115</v>
      </c>
      <c r="E545" t="s">
        <v>24</v>
      </c>
      <c r="F545" t="s">
        <v>66</v>
      </c>
      <c r="G545" t="s">
        <v>26</v>
      </c>
      <c r="H545" t="s">
        <v>27</v>
      </c>
      <c r="I545" t="str">
        <f>IF('Cleaned Data'!H545="Emi","EMI",'Cleaned Data'!H545)</f>
        <v>Finance</v>
      </c>
      <c r="J545" t="s">
        <v>57</v>
      </c>
      <c r="K545" t="s">
        <v>143</v>
      </c>
      <c r="L545">
        <v>2</v>
      </c>
      <c r="M545" s="9">
        <v>123531</v>
      </c>
      <c r="N545" s="4">
        <v>9.6000000000000002E-2</v>
      </c>
      <c r="O545" s="4">
        <f t="shared" si="8"/>
        <v>9.6000000000000002E-2</v>
      </c>
      <c r="P545" s="11">
        <v>247062</v>
      </c>
      <c r="Q545" s="9">
        <v>23717.95</v>
      </c>
      <c r="R545" s="9">
        <v>223344.05</v>
      </c>
      <c r="S545">
        <v>3</v>
      </c>
      <c r="T545">
        <v>160</v>
      </c>
      <c r="U545">
        <v>4.5</v>
      </c>
      <c r="V545">
        <v>10</v>
      </c>
      <c r="W545">
        <f>IF('Cleaned Data'!V545&lt;0,"Review",'Cleaned Data'!V545)</f>
        <v>10</v>
      </c>
      <c r="X545">
        <v>5</v>
      </c>
      <c r="Y545" s="7">
        <f>IFERROR('Cleaned Data'!R545/'Cleaned Data'!L545,0)</f>
        <v>111672.02499999999</v>
      </c>
      <c r="Z545" t="str">
        <f>TEXT(EV_Sales[[#This Row],[Order_Date]],"mmm-yyyy")</f>
        <v>Oct-2025</v>
      </c>
      <c r="AA545">
        <f>MONTH(EV_Sales[[#This Row],[Order_Date]])</f>
        <v>10</v>
      </c>
      <c r="AB545" s="12" t="str">
        <f>"Q"&amp;ROUNDUP(MONTH(EV_Sales[[#This Row],[Order_Date]])/3,0)</f>
        <v>Q4</v>
      </c>
    </row>
    <row r="546" spans="1:28" x14ac:dyDescent="0.3">
      <c r="A546" t="s">
        <v>652</v>
      </c>
      <c r="B546" s="2">
        <v>45977</v>
      </c>
      <c r="C546" t="s">
        <v>99</v>
      </c>
      <c r="D546" t="s">
        <v>100</v>
      </c>
      <c r="E546" t="s">
        <v>46</v>
      </c>
      <c r="F546" t="s">
        <v>70</v>
      </c>
      <c r="G546" t="s">
        <v>67</v>
      </c>
      <c r="H546" t="s">
        <v>809</v>
      </c>
      <c r="I546" t="str">
        <f>IF('Cleaned Data'!H546="Emi","EMI",'Cleaned Data'!H546)</f>
        <v>EMI</v>
      </c>
      <c r="J546" t="s">
        <v>48</v>
      </c>
      <c r="K546" t="s">
        <v>118</v>
      </c>
      <c r="L546">
        <v>1</v>
      </c>
      <c r="M546" s="9">
        <v>117758</v>
      </c>
      <c r="N546" s="4">
        <v>0.09</v>
      </c>
      <c r="O546" s="4">
        <f t="shared" si="8"/>
        <v>0.09</v>
      </c>
      <c r="P546" s="11">
        <v>117758</v>
      </c>
      <c r="Q546" s="9">
        <v>10598.22</v>
      </c>
      <c r="R546" s="9">
        <v>107159.78</v>
      </c>
      <c r="S546">
        <v>4</v>
      </c>
      <c r="T546">
        <v>181</v>
      </c>
      <c r="U546">
        <v>3.8</v>
      </c>
      <c r="V546">
        <v>11</v>
      </c>
      <c r="W546">
        <f>IF('Cleaned Data'!V546&lt;0,"Review",'Cleaned Data'!V546)</f>
        <v>11</v>
      </c>
      <c r="X546">
        <v>2</v>
      </c>
      <c r="Y546" s="7">
        <f>IFERROR('Cleaned Data'!R546/'Cleaned Data'!L546,0)</f>
        <v>107159.78</v>
      </c>
      <c r="Z546" t="str">
        <f>TEXT(EV_Sales[[#This Row],[Order_Date]],"mmm-yyyy")</f>
        <v>Nov-2025</v>
      </c>
      <c r="AA546">
        <f>MONTH(EV_Sales[[#This Row],[Order_Date]])</f>
        <v>11</v>
      </c>
      <c r="AB546" s="12" t="str">
        <f>"Q"&amp;ROUNDUP(MONTH(EV_Sales[[#This Row],[Order_Date]])/3,0)</f>
        <v>Q4</v>
      </c>
    </row>
    <row r="547" spans="1:28" x14ac:dyDescent="0.3">
      <c r="A547" t="s">
        <v>653</v>
      </c>
      <c r="B547" s="2">
        <v>45731</v>
      </c>
      <c r="C547" t="s">
        <v>87</v>
      </c>
      <c r="D547" t="s">
        <v>130</v>
      </c>
      <c r="E547" t="s">
        <v>24</v>
      </c>
      <c r="F547" t="s">
        <v>52</v>
      </c>
      <c r="G547" t="s">
        <v>56</v>
      </c>
      <c r="H547" t="s">
        <v>27</v>
      </c>
      <c r="I547" t="str">
        <f>IF('Cleaned Data'!H547="Emi","EMI",'Cleaned Data'!H547)</f>
        <v>Finance</v>
      </c>
      <c r="J547" t="s">
        <v>94</v>
      </c>
      <c r="K547" t="s">
        <v>143</v>
      </c>
      <c r="L547">
        <v>1</v>
      </c>
      <c r="M547" s="9">
        <v>107312</v>
      </c>
      <c r="N547" s="4">
        <v>0.11799999999999999</v>
      </c>
      <c r="O547" s="4">
        <f t="shared" si="8"/>
        <v>0.11799999999999999</v>
      </c>
      <c r="P547" s="11">
        <v>107312</v>
      </c>
      <c r="Q547" s="9">
        <v>12662.82</v>
      </c>
      <c r="R547" s="9">
        <v>94649.18</v>
      </c>
      <c r="S547">
        <v>5</v>
      </c>
      <c r="T547">
        <v>211</v>
      </c>
      <c r="U547">
        <v>3.9</v>
      </c>
      <c r="V547">
        <v>7</v>
      </c>
      <c r="W547">
        <f>IF('Cleaned Data'!V547&lt;0,"Review",'Cleaned Data'!V547)</f>
        <v>7</v>
      </c>
      <c r="X547">
        <v>2</v>
      </c>
      <c r="Y547" s="7">
        <f>IFERROR('Cleaned Data'!R547/'Cleaned Data'!L547,0)</f>
        <v>94649.18</v>
      </c>
      <c r="Z547" t="str">
        <f>TEXT(EV_Sales[[#This Row],[Order_Date]],"mmm-yyyy")</f>
        <v>Mar-2025</v>
      </c>
      <c r="AA547">
        <f>MONTH(EV_Sales[[#This Row],[Order_Date]])</f>
        <v>3</v>
      </c>
      <c r="AB547" s="12" t="str">
        <f>"Q"&amp;ROUNDUP(MONTH(EV_Sales[[#This Row],[Order_Date]])/3,0)</f>
        <v>Q1</v>
      </c>
    </row>
    <row r="548" spans="1:28" x14ac:dyDescent="0.3">
      <c r="A548" t="s">
        <v>654</v>
      </c>
      <c r="B548" s="2">
        <v>45785</v>
      </c>
      <c r="C548" t="s">
        <v>39</v>
      </c>
      <c r="D548" t="s">
        <v>154</v>
      </c>
      <c r="E548" t="s">
        <v>24</v>
      </c>
      <c r="F548" t="s">
        <v>25</v>
      </c>
      <c r="G548" t="s">
        <v>34</v>
      </c>
      <c r="H548" t="s">
        <v>53</v>
      </c>
      <c r="I548" t="str">
        <f>IF('Cleaned Data'!H548="Emi","EMI",'Cleaned Data'!H548)</f>
        <v>Cash</v>
      </c>
      <c r="J548" t="s">
        <v>57</v>
      </c>
      <c r="K548" t="s">
        <v>64</v>
      </c>
      <c r="L548">
        <v>1</v>
      </c>
      <c r="M548" s="9">
        <v>177281</v>
      </c>
      <c r="N548" s="4"/>
      <c r="O548" s="4" t="str">
        <f t="shared" si="8"/>
        <v>missing</v>
      </c>
      <c r="P548" s="11">
        <v>177281</v>
      </c>
      <c r="Q548" s="9">
        <v>20564.599999999999</v>
      </c>
      <c r="R548" s="9">
        <v>156716.4</v>
      </c>
      <c r="S548">
        <v>4</v>
      </c>
      <c r="T548">
        <v>181</v>
      </c>
      <c r="U548">
        <v>3.9</v>
      </c>
      <c r="V548">
        <v>3</v>
      </c>
      <c r="W548">
        <f>IF('Cleaned Data'!V548&lt;0,"Review",'Cleaned Data'!V548)</f>
        <v>3</v>
      </c>
      <c r="X548">
        <v>2</v>
      </c>
      <c r="Y548" s="7">
        <f>IFERROR('Cleaned Data'!R548/'Cleaned Data'!L548,0)</f>
        <v>156716.4</v>
      </c>
      <c r="Z548" t="str">
        <f>TEXT(EV_Sales[[#This Row],[Order_Date]],"mmm-yyyy")</f>
        <v>May-2025</v>
      </c>
      <c r="AA548">
        <f>MONTH(EV_Sales[[#This Row],[Order_Date]])</f>
        <v>5</v>
      </c>
      <c r="AB548" s="12" t="str">
        <f>"Q"&amp;ROUNDUP(MONTH(EV_Sales[[#This Row],[Order_Date]])/3,0)</f>
        <v>Q2</v>
      </c>
    </row>
    <row r="549" spans="1:28" x14ac:dyDescent="0.3">
      <c r="A549" t="s">
        <v>655</v>
      </c>
      <c r="B549" s="2">
        <v>45695</v>
      </c>
      <c r="C549" t="s">
        <v>22</v>
      </c>
      <c r="D549" t="s">
        <v>107</v>
      </c>
      <c r="E549" t="s">
        <v>62</v>
      </c>
      <c r="F549" t="s">
        <v>52</v>
      </c>
      <c r="G549" t="s">
        <v>67</v>
      </c>
      <c r="H549" t="s">
        <v>53</v>
      </c>
      <c r="I549" t="str">
        <f>IF('Cleaned Data'!H549="Emi","EMI",'Cleaned Data'!H549)</f>
        <v>Cash</v>
      </c>
      <c r="J549" t="s">
        <v>28</v>
      </c>
      <c r="K549" t="s">
        <v>37</v>
      </c>
      <c r="L549">
        <v>1</v>
      </c>
      <c r="M549" s="9">
        <v>133649</v>
      </c>
      <c r="N549" s="4">
        <v>0.108</v>
      </c>
      <c r="O549" s="4">
        <f t="shared" si="8"/>
        <v>0.108</v>
      </c>
      <c r="P549" s="11">
        <v>133649</v>
      </c>
      <c r="Q549" s="9">
        <v>14434.09</v>
      </c>
      <c r="R549" s="9">
        <v>119214.91</v>
      </c>
      <c r="S549">
        <v>4</v>
      </c>
      <c r="T549">
        <v>185</v>
      </c>
      <c r="U549">
        <v>4.2</v>
      </c>
      <c r="V549">
        <v>9</v>
      </c>
      <c r="W549">
        <f>IF('Cleaned Data'!V549&lt;0,"Review",'Cleaned Data'!V549)</f>
        <v>9</v>
      </c>
      <c r="X549">
        <v>2</v>
      </c>
      <c r="Y549" s="7">
        <f>IFERROR('Cleaned Data'!R549/'Cleaned Data'!L549,0)</f>
        <v>119214.91</v>
      </c>
      <c r="Z549" t="str">
        <f>TEXT(EV_Sales[[#This Row],[Order_Date]],"mmm-yyyy")</f>
        <v>Feb-2025</v>
      </c>
      <c r="AA549">
        <f>MONTH(EV_Sales[[#This Row],[Order_Date]])</f>
        <v>2</v>
      </c>
      <c r="AB549" s="12" t="str">
        <f>"Q"&amp;ROUNDUP(MONTH(EV_Sales[[#This Row],[Order_Date]])/3,0)</f>
        <v>Q1</v>
      </c>
    </row>
    <row r="550" spans="1:28" x14ac:dyDescent="0.3">
      <c r="A550" t="s">
        <v>656</v>
      </c>
      <c r="B550" s="2">
        <v>45914</v>
      </c>
      <c r="C550" t="s">
        <v>76</v>
      </c>
      <c r="D550" t="s">
        <v>77</v>
      </c>
      <c r="E550" t="s">
        <v>24</v>
      </c>
      <c r="F550" t="s">
        <v>41</v>
      </c>
      <c r="G550" t="s">
        <v>67</v>
      </c>
      <c r="H550" t="s">
        <v>53</v>
      </c>
      <c r="I550" t="str">
        <f>IF('Cleaned Data'!H550="Emi","EMI",'Cleaned Data'!H550)</f>
        <v>Cash</v>
      </c>
      <c r="J550" t="s">
        <v>57</v>
      </c>
      <c r="K550" t="s">
        <v>175</v>
      </c>
      <c r="L550">
        <v>1</v>
      </c>
      <c r="M550" s="9">
        <v>156158</v>
      </c>
      <c r="N550" s="4">
        <v>3.5999999999999997E-2</v>
      </c>
      <c r="O550" s="4">
        <f t="shared" si="8"/>
        <v>3.5999999999999997E-2</v>
      </c>
      <c r="P550" s="11">
        <v>156158</v>
      </c>
      <c r="Q550" s="9">
        <v>5621.69</v>
      </c>
      <c r="R550" s="9">
        <v>150536.31</v>
      </c>
      <c r="S550">
        <v>3</v>
      </c>
      <c r="T550">
        <v>180</v>
      </c>
      <c r="U550">
        <v>3.5</v>
      </c>
      <c r="V550">
        <v>9</v>
      </c>
      <c r="W550">
        <f>IF('Cleaned Data'!V550&lt;0,"Review",'Cleaned Data'!V550)</f>
        <v>9</v>
      </c>
      <c r="X550">
        <v>2</v>
      </c>
      <c r="Y550" s="7">
        <f>IFERROR('Cleaned Data'!R550/'Cleaned Data'!L550,0)</f>
        <v>150536.31</v>
      </c>
      <c r="Z550" t="str">
        <f>TEXT(EV_Sales[[#This Row],[Order_Date]],"mmm-yyyy")</f>
        <v>Sep-2025</v>
      </c>
      <c r="AA550">
        <f>MONTH(EV_Sales[[#This Row],[Order_Date]])</f>
        <v>9</v>
      </c>
      <c r="AB550" s="12" t="str">
        <f>"Q"&amp;ROUNDUP(MONTH(EV_Sales[[#This Row],[Order_Date]])/3,0)</f>
        <v>Q3</v>
      </c>
    </row>
    <row r="551" spans="1:28" x14ac:dyDescent="0.3">
      <c r="A551" t="s">
        <v>657</v>
      </c>
      <c r="B551" s="2">
        <v>45788</v>
      </c>
      <c r="C551" t="s">
        <v>44</v>
      </c>
      <c r="D551" t="s">
        <v>51</v>
      </c>
      <c r="E551" t="s">
        <v>24</v>
      </c>
      <c r="F551" t="s">
        <v>52</v>
      </c>
      <c r="G551" t="s">
        <v>67</v>
      </c>
      <c r="H551" t="s">
        <v>27</v>
      </c>
      <c r="I551" t="str">
        <f>IF('Cleaned Data'!H551="Emi","EMI",'Cleaned Data'!H551)</f>
        <v>Finance</v>
      </c>
      <c r="J551" t="s">
        <v>28</v>
      </c>
      <c r="K551" t="s">
        <v>29</v>
      </c>
      <c r="L551">
        <v>2</v>
      </c>
      <c r="M551" s="9">
        <v>120864</v>
      </c>
      <c r="N551" s="4">
        <v>0.06</v>
      </c>
      <c r="O551" s="4">
        <f t="shared" si="8"/>
        <v>0.06</v>
      </c>
      <c r="P551" s="11">
        <v>241728</v>
      </c>
      <c r="Q551" s="9">
        <v>14503.68</v>
      </c>
      <c r="R551" s="9">
        <v>227224.32000000001</v>
      </c>
      <c r="S551">
        <v>3</v>
      </c>
      <c r="T551">
        <v>182</v>
      </c>
      <c r="U551">
        <v>4</v>
      </c>
      <c r="V551">
        <v>12</v>
      </c>
      <c r="W551">
        <f>IF('Cleaned Data'!V551&lt;0,"Review",'Cleaned Data'!V551)</f>
        <v>12</v>
      </c>
      <c r="X551">
        <v>5</v>
      </c>
      <c r="Y551" s="7">
        <f>IFERROR('Cleaned Data'!R551/'Cleaned Data'!L551,0)</f>
        <v>113612.16</v>
      </c>
      <c r="Z551" t="str">
        <f>TEXT(EV_Sales[[#This Row],[Order_Date]],"mmm-yyyy")</f>
        <v>May-2025</v>
      </c>
      <c r="AA551">
        <f>MONTH(EV_Sales[[#This Row],[Order_Date]])</f>
        <v>5</v>
      </c>
      <c r="AB551" s="12" t="str">
        <f>"Q"&amp;ROUNDUP(MONTH(EV_Sales[[#This Row],[Order_Date]])/3,0)</f>
        <v>Q2</v>
      </c>
    </row>
    <row r="552" spans="1:28" x14ac:dyDescent="0.3">
      <c r="A552" t="s">
        <v>658</v>
      </c>
      <c r="B552" s="2">
        <v>45871</v>
      </c>
      <c r="C552" t="s">
        <v>76</v>
      </c>
      <c r="D552" t="s">
        <v>77</v>
      </c>
      <c r="E552" t="s">
        <v>62</v>
      </c>
      <c r="F552" t="s">
        <v>70</v>
      </c>
      <c r="G552" t="s">
        <v>56</v>
      </c>
      <c r="H552" t="s">
        <v>53</v>
      </c>
      <c r="I552" t="str">
        <f>IF('Cleaned Data'!H552="Emi","EMI",'Cleaned Data'!H552)</f>
        <v>Cash</v>
      </c>
      <c r="J552" t="s">
        <v>63</v>
      </c>
      <c r="K552" t="s">
        <v>95</v>
      </c>
      <c r="L552">
        <v>1</v>
      </c>
      <c r="M552" s="9">
        <v>148636</v>
      </c>
      <c r="N552" s="4">
        <v>0.06</v>
      </c>
      <c r="O552" s="4">
        <f t="shared" si="8"/>
        <v>0.06</v>
      </c>
      <c r="P552" s="11">
        <v>148636</v>
      </c>
      <c r="Q552" s="9">
        <v>8918.16</v>
      </c>
      <c r="R552" s="9">
        <v>139717.84</v>
      </c>
      <c r="S552">
        <v>3</v>
      </c>
      <c r="T552">
        <v>171</v>
      </c>
      <c r="U552">
        <v>4.4000000000000004</v>
      </c>
      <c r="V552">
        <v>14</v>
      </c>
      <c r="W552">
        <f>IF('Cleaned Data'!V552&lt;0,"Review",'Cleaned Data'!V552)</f>
        <v>14</v>
      </c>
      <c r="X552">
        <v>3</v>
      </c>
      <c r="Y552" s="7">
        <f>IFERROR('Cleaned Data'!R552/'Cleaned Data'!L552,0)</f>
        <v>139717.84</v>
      </c>
      <c r="Z552" t="str">
        <f>TEXT(EV_Sales[[#This Row],[Order_Date]],"mmm-yyyy")</f>
        <v>Aug-2025</v>
      </c>
      <c r="AA552">
        <f>MONTH(EV_Sales[[#This Row],[Order_Date]])</f>
        <v>8</v>
      </c>
      <c r="AB552" s="12" t="str">
        <f>"Q"&amp;ROUNDUP(MONTH(EV_Sales[[#This Row],[Order_Date]])/3,0)</f>
        <v>Q3</v>
      </c>
    </row>
    <row r="553" spans="1:28" x14ac:dyDescent="0.3">
      <c r="A553" t="s">
        <v>659</v>
      </c>
      <c r="B553" s="2">
        <v>45998</v>
      </c>
      <c r="C553" t="s">
        <v>60</v>
      </c>
      <c r="D553" t="s">
        <v>61</v>
      </c>
      <c r="E553" t="s">
        <v>24</v>
      </c>
      <c r="F553" t="s">
        <v>66</v>
      </c>
      <c r="G553" t="s">
        <v>56</v>
      </c>
      <c r="H553" t="s">
        <v>53</v>
      </c>
      <c r="I553" t="str">
        <f>IF('Cleaned Data'!H553="Emi","EMI",'Cleaned Data'!H553)</f>
        <v>Cash</v>
      </c>
      <c r="J553" t="s">
        <v>94</v>
      </c>
      <c r="K553" t="s">
        <v>138</v>
      </c>
      <c r="L553">
        <v>1</v>
      </c>
      <c r="M553" s="9">
        <v>108901</v>
      </c>
      <c r="N553" s="4">
        <v>4.7E-2</v>
      </c>
      <c r="O553" s="4">
        <f t="shared" si="8"/>
        <v>4.7E-2</v>
      </c>
      <c r="P553" s="11">
        <v>108901</v>
      </c>
      <c r="Q553" s="9">
        <v>5118.3500000000004</v>
      </c>
      <c r="R553" s="9">
        <v>103782.65</v>
      </c>
      <c r="S553">
        <v>4</v>
      </c>
      <c r="T553">
        <v>190</v>
      </c>
      <c r="U553">
        <v>4.0999999999999996</v>
      </c>
      <c r="V553">
        <v>5</v>
      </c>
      <c r="W553">
        <f>IF('Cleaned Data'!V553&lt;0,"Review",'Cleaned Data'!V553)</f>
        <v>5</v>
      </c>
      <c r="X553">
        <v>3</v>
      </c>
      <c r="Y553" s="7">
        <f>IFERROR('Cleaned Data'!R553/'Cleaned Data'!L553,0)</f>
        <v>103782.65</v>
      </c>
      <c r="Z553" t="str">
        <f>TEXT(EV_Sales[[#This Row],[Order_Date]],"mmm-yyyy")</f>
        <v>Dec-2025</v>
      </c>
      <c r="AA553">
        <f>MONTH(EV_Sales[[#This Row],[Order_Date]])</f>
        <v>12</v>
      </c>
      <c r="AB553" s="12" t="str">
        <f>"Q"&amp;ROUNDUP(MONTH(EV_Sales[[#This Row],[Order_Date]])/3,0)</f>
        <v>Q4</v>
      </c>
    </row>
    <row r="554" spans="1:28" x14ac:dyDescent="0.3">
      <c r="A554" t="s">
        <v>660</v>
      </c>
      <c r="B554" s="2">
        <v>46018</v>
      </c>
      <c r="C554" t="s">
        <v>87</v>
      </c>
      <c r="D554" t="s">
        <v>130</v>
      </c>
      <c r="E554" t="s">
        <v>24</v>
      </c>
      <c r="F554" t="s">
        <v>80</v>
      </c>
      <c r="G554" t="s">
        <v>56</v>
      </c>
      <c r="H554" t="s">
        <v>27</v>
      </c>
      <c r="I554" t="str">
        <f>IF('Cleaned Data'!H554="Emi","EMI",'Cleaned Data'!H554)</f>
        <v>Finance</v>
      </c>
      <c r="J554" t="s">
        <v>36</v>
      </c>
      <c r="K554" t="s">
        <v>64</v>
      </c>
      <c r="L554">
        <v>2</v>
      </c>
      <c r="M554" s="9">
        <v>113803</v>
      </c>
      <c r="N554" s="4">
        <v>9.8000000000000004E-2</v>
      </c>
      <c r="O554" s="4">
        <f t="shared" si="8"/>
        <v>9.8000000000000004E-2</v>
      </c>
      <c r="P554" s="11">
        <v>227606</v>
      </c>
      <c r="Q554" s="9">
        <v>22305.39</v>
      </c>
      <c r="R554" s="9">
        <v>205300.61</v>
      </c>
      <c r="S554">
        <v>4</v>
      </c>
      <c r="T554">
        <v>184</v>
      </c>
      <c r="U554">
        <v>3.9</v>
      </c>
      <c r="V554">
        <v>2</v>
      </c>
      <c r="W554">
        <f>IF('Cleaned Data'!V554&lt;0,"Review",'Cleaned Data'!V554)</f>
        <v>2</v>
      </c>
      <c r="X554">
        <v>2</v>
      </c>
      <c r="Y554" s="7">
        <f>IFERROR('Cleaned Data'!R554/'Cleaned Data'!L554,0)</f>
        <v>102650.30499999999</v>
      </c>
      <c r="Z554" t="str">
        <f>TEXT(EV_Sales[[#This Row],[Order_Date]],"mmm-yyyy")</f>
        <v>Dec-2025</v>
      </c>
      <c r="AA554">
        <f>MONTH(EV_Sales[[#This Row],[Order_Date]])</f>
        <v>12</v>
      </c>
      <c r="AB554" s="12" t="str">
        <f>"Q"&amp;ROUNDUP(MONTH(EV_Sales[[#This Row],[Order_Date]])/3,0)</f>
        <v>Q4</v>
      </c>
    </row>
    <row r="555" spans="1:28" x14ac:dyDescent="0.3">
      <c r="A555" t="s">
        <v>661</v>
      </c>
      <c r="B555" s="2">
        <v>45979</v>
      </c>
      <c r="C555" t="s">
        <v>44</v>
      </c>
      <c r="D555" t="s">
        <v>51</v>
      </c>
      <c r="E555" t="s">
        <v>24</v>
      </c>
      <c r="F555" t="s">
        <v>70</v>
      </c>
      <c r="G555" t="s">
        <v>67</v>
      </c>
      <c r="H555" t="s">
        <v>809</v>
      </c>
      <c r="I555" t="str">
        <f>IF('Cleaned Data'!H555="Emi","EMI",'Cleaned Data'!H555)</f>
        <v>EMI</v>
      </c>
      <c r="J555" t="s">
        <v>63</v>
      </c>
      <c r="K555" t="s">
        <v>49</v>
      </c>
      <c r="L555">
        <v>1</v>
      </c>
      <c r="M555" s="9">
        <v>119069</v>
      </c>
      <c r="N555" s="4"/>
      <c r="O555" s="4" t="str">
        <f t="shared" si="8"/>
        <v>missing</v>
      </c>
      <c r="P555" s="11">
        <v>119069</v>
      </c>
      <c r="Q555" s="9">
        <v>8215.76</v>
      </c>
      <c r="R555" s="9">
        <v>110853.24</v>
      </c>
      <c r="S555">
        <v>4</v>
      </c>
      <c r="T555">
        <v>195</v>
      </c>
      <c r="U555">
        <v>4.7</v>
      </c>
      <c r="V555">
        <v>12</v>
      </c>
      <c r="W555">
        <f>IF('Cleaned Data'!V555&lt;0,"Review",'Cleaned Data'!V555)</f>
        <v>12</v>
      </c>
      <c r="X555">
        <v>3</v>
      </c>
      <c r="Y555" s="7">
        <f>IFERROR('Cleaned Data'!R555/'Cleaned Data'!L555,0)</f>
        <v>110853.24</v>
      </c>
      <c r="Z555" t="str">
        <f>TEXT(EV_Sales[[#This Row],[Order_Date]],"mmm-yyyy")</f>
        <v>Nov-2025</v>
      </c>
      <c r="AA555">
        <f>MONTH(EV_Sales[[#This Row],[Order_Date]])</f>
        <v>11</v>
      </c>
      <c r="AB555" s="12" t="str">
        <f>"Q"&amp;ROUNDUP(MONTH(EV_Sales[[#This Row],[Order_Date]])/3,0)</f>
        <v>Q4</v>
      </c>
    </row>
    <row r="556" spans="1:28" x14ac:dyDescent="0.3">
      <c r="A556" t="s">
        <v>662</v>
      </c>
      <c r="B556" s="2">
        <v>45932</v>
      </c>
      <c r="C556" t="s">
        <v>44</v>
      </c>
      <c r="D556" t="s">
        <v>45</v>
      </c>
      <c r="E556" t="s">
        <v>62</v>
      </c>
      <c r="F556" t="s">
        <v>74</v>
      </c>
      <c r="G556" t="s">
        <v>26</v>
      </c>
      <c r="H556" t="s">
        <v>809</v>
      </c>
      <c r="I556" t="str">
        <f>IF('Cleaned Data'!H556="Emi","EMI",'Cleaned Data'!H556)</f>
        <v>EMI</v>
      </c>
      <c r="J556" t="s">
        <v>57</v>
      </c>
      <c r="K556" t="s">
        <v>49</v>
      </c>
      <c r="L556">
        <v>2</v>
      </c>
      <c r="M556" s="9">
        <v>155361</v>
      </c>
      <c r="N556" s="4">
        <v>7.0000000000000007E-2</v>
      </c>
      <c r="O556" s="4">
        <f t="shared" si="8"/>
        <v>7.0000000000000007E-2</v>
      </c>
      <c r="P556" s="11">
        <v>310722</v>
      </c>
      <c r="Q556" s="9">
        <v>21750.54</v>
      </c>
      <c r="R556" s="9">
        <v>288971.46000000002</v>
      </c>
      <c r="S556">
        <v>4</v>
      </c>
      <c r="T556">
        <v>185</v>
      </c>
      <c r="U556">
        <v>4.5999999999999996</v>
      </c>
      <c r="V556">
        <v>3</v>
      </c>
      <c r="W556">
        <f>IF('Cleaned Data'!V556&lt;0,"Review",'Cleaned Data'!V556)</f>
        <v>3</v>
      </c>
      <c r="X556">
        <v>5</v>
      </c>
      <c r="Y556" s="7">
        <f>IFERROR('Cleaned Data'!R556/'Cleaned Data'!L556,0)</f>
        <v>144485.73000000001</v>
      </c>
      <c r="Z556" t="str">
        <f>TEXT(EV_Sales[[#This Row],[Order_Date]],"mmm-yyyy")</f>
        <v>Oct-2025</v>
      </c>
      <c r="AA556">
        <f>MONTH(EV_Sales[[#This Row],[Order_Date]])</f>
        <v>10</v>
      </c>
      <c r="AB556" s="12" t="str">
        <f>"Q"&amp;ROUNDUP(MONTH(EV_Sales[[#This Row],[Order_Date]])/3,0)</f>
        <v>Q4</v>
      </c>
    </row>
    <row r="557" spans="1:28" x14ac:dyDescent="0.3">
      <c r="A557" t="s">
        <v>663</v>
      </c>
      <c r="B557" s="2">
        <v>45944</v>
      </c>
      <c r="C557" t="s">
        <v>31</v>
      </c>
      <c r="D557" t="s">
        <v>97</v>
      </c>
      <c r="E557" t="s">
        <v>24</v>
      </c>
      <c r="F557" t="s">
        <v>74</v>
      </c>
      <c r="G557" t="s">
        <v>56</v>
      </c>
      <c r="H557" t="s">
        <v>809</v>
      </c>
      <c r="I557" t="str">
        <f>IF('Cleaned Data'!H557="Emi","EMI",'Cleaned Data'!H557)</f>
        <v>EMI</v>
      </c>
      <c r="J557" t="s">
        <v>28</v>
      </c>
      <c r="K557" t="s">
        <v>109</v>
      </c>
      <c r="L557">
        <v>1</v>
      </c>
      <c r="M557" s="9">
        <v>136946</v>
      </c>
      <c r="N557" s="4">
        <v>7.3999999999999996E-2</v>
      </c>
      <c r="O557" s="4">
        <f t="shared" si="8"/>
        <v>7.3999999999999996E-2</v>
      </c>
      <c r="P557" s="11">
        <v>136946</v>
      </c>
      <c r="Q557" s="9">
        <v>10134</v>
      </c>
      <c r="R557" s="9">
        <v>126812</v>
      </c>
      <c r="S557">
        <v>3</v>
      </c>
      <c r="T557">
        <v>167</v>
      </c>
      <c r="U557">
        <v>4.4000000000000004</v>
      </c>
      <c r="V557">
        <v>2</v>
      </c>
      <c r="W557">
        <f>IF('Cleaned Data'!V557&lt;0,"Review",'Cleaned Data'!V557)</f>
        <v>2</v>
      </c>
      <c r="X557">
        <v>2</v>
      </c>
      <c r="Y557" s="7">
        <f>IFERROR('Cleaned Data'!R557/'Cleaned Data'!L557,0)</f>
        <v>126812</v>
      </c>
      <c r="Z557" t="str">
        <f>TEXT(EV_Sales[[#This Row],[Order_Date]],"mmm-yyyy")</f>
        <v>Oct-2025</v>
      </c>
      <c r="AA557">
        <f>MONTH(EV_Sales[[#This Row],[Order_Date]])</f>
        <v>10</v>
      </c>
      <c r="AB557" s="12" t="str">
        <f>"Q"&amp;ROUNDUP(MONTH(EV_Sales[[#This Row],[Order_Date]])/3,0)</f>
        <v>Q4</v>
      </c>
    </row>
    <row r="558" spans="1:28" x14ac:dyDescent="0.3">
      <c r="A558" t="s">
        <v>664</v>
      </c>
      <c r="B558" s="2">
        <v>45892</v>
      </c>
      <c r="C558" t="s">
        <v>87</v>
      </c>
      <c r="D558" t="s">
        <v>130</v>
      </c>
      <c r="E558" t="s">
        <v>46</v>
      </c>
      <c r="F558" t="s">
        <v>25</v>
      </c>
      <c r="G558" t="s">
        <v>56</v>
      </c>
      <c r="H558" t="s">
        <v>53</v>
      </c>
      <c r="I558" t="str">
        <f>IF('Cleaned Data'!H558="Emi","EMI",'Cleaned Data'!H558)</f>
        <v>Cash</v>
      </c>
      <c r="J558" t="s">
        <v>36</v>
      </c>
      <c r="K558" t="s">
        <v>212</v>
      </c>
      <c r="L558">
        <v>1</v>
      </c>
      <c r="M558" s="9">
        <v>113712</v>
      </c>
      <c r="N558" s="4">
        <v>0.11700000000000001</v>
      </c>
      <c r="O558" s="4">
        <f t="shared" si="8"/>
        <v>0.11700000000000001</v>
      </c>
      <c r="P558" s="11">
        <v>113712</v>
      </c>
      <c r="Q558" s="9">
        <v>13304.3</v>
      </c>
      <c r="R558" s="9">
        <v>100407.7</v>
      </c>
      <c r="S558">
        <v>3</v>
      </c>
      <c r="T558">
        <v>146</v>
      </c>
      <c r="U558">
        <v>4.9000000000000004</v>
      </c>
      <c r="V558">
        <v>8</v>
      </c>
      <c r="W558">
        <f>IF('Cleaned Data'!V558&lt;0,"Review",'Cleaned Data'!V558)</f>
        <v>8</v>
      </c>
      <c r="X558">
        <v>2</v>
      </c>
      <c r="Y558" s="7">
        <f>IFERROR('Cleaned Data'!R558/'Cleaned Data'!L558,0)</f>
        <v>100407.7</v>
      </c>
      <c r="Z558" t="str">
        <f>TEXT(EV_Sales[[#This Row],[Order_Date]],"mmm-yyyy")</f>
        <v>Aug-2025</v>
      </c>
      <c r="AA558">
        <f>MONTH(EV_Sales[[#This Row],[Order_Date]])</f>
        <v>8</v>
      </c>
      <c r="AB558" s="12" t="str">
        <f>"Q"&amp;ROUNDUP(MONTH(EV_Sales[[#This Row],[Order_Date]])/3,0)</f>
        <v>Q3</v>
      </c>
    </row>
    <row r="559" spans="1:28" x14ac:dyDescent="0.3">
      <c r="A559" t="s">
        <v>665</v>
      </c>
      <c r="B559" s="2">
        <v>45724</v>
      </c>
      <c r="C559" t="s">
        <v>39</v>
      </c>
      <c r="D559" t="s">
        <v>154</v>
      </c>
      <c r="E559" t="s">
        <v>46</v>
      </c>
      <c r="F559" t="s">
        <v>41</v>
      </c>
      <c r="G559" t="s">
        <v>56</v>
      </c>
      <c r="H559" t="s">
        <v>53</v>
      </c>
      <c r="I559" t="str">
        <f>IF('Cleaned Data'!H559="Emi","EMI",'Cleaned Data'!H559)</f>
        <v>Cash</v>
      </c>
      <c r="J559" t="s">
        <v>36</v>
      </c>
      <c r="K559" t="s">
        <v>72</v>
      </c>
      <c r="L559">
        <v>1</v>
      </c>
      <c r="M559" s="9">
        <v>171364</v>
      </c>
      <c r="N559" s="4">
        <v>9.0999999999999998E-2</v>
      </c>
      <c r="O559" s="4">
        <f t="shared" si="8"/>
        <v>9.0999999999999998E-2</v>
      </c>
      <c r="P559" s="11">
        <v>171364</v>
      </c>
      <c r="Q559" s="9">
        <v>15594.12</v>
      </c>
      <c r="R559" s="9">
        <v>155769.88</v>
      </c>
      <c r="S559">
        <v>3</v>
      </c>
      <c r="T559">
        <v>153</v>
      </c>
      <c r="U559">
        <v>4.8</v>
      </c>
      <c r="V559">
        <v>6</v>
      </c>
      <c r="W559">
        <f>IF('Cleaned Data'!V559&lt;0,"Review",'Cleaned Data'!V559)</f>
        <v>6</v>
      </c>
      <c r="X559">
        <v>5</v>
      </c>
      <c r="Y559" s="7">
        <f>IFERROR('Cleaned Data'!R559/'Cleaned Data'!L559,0)</f>
        <v>155769.88</v>
      </c>
      <c r="Z559" t="str">
        <f>TEXT(EV_Sales[[#This Row],[Order_Date]],"mmm-yyyy")</f>
        <v>Mar-2025</v>
      </c>
      <c r="AA559">
        <f>MONTH(EV_Sales[[#This Row],[Order_Date]])</f>
        <v>3</v>
      </c>
      <c r="AB559" s="12" t="str">
        <f>"Q"&amp;ROUNDUP(MONTH(EV_Sales[[#This Row],[Order_Date]])/3,0)</f>
        <v>Q1</v>
      </c>
    </row>
    <row r="560" spans="1:28" x14ac:dyDescent="0.3">
      <c r="A560" t="s">
        <v>666</v>
      </c>
      <c r="B560" s="2">
        <v>45841</v>
      </c>
      <c r="C560" t="s">
        <v>99</v>
      </c>
      <c r="D560" t="s">
        <v>121</v>
      </c>
      <c r="E560" t="s">
        <v>62</v>
      </c>
      <c r="F560" t="s">
        <v>70</v>
      </c>
      <c r="G560" t="s">
        <v>67</v>
      </c>
      <c r="H560" t="s">
        <v>53</v>
      </c>
      <c r="I560" t="str">
        <f>IF('Cleaned Data'!H560="Emi","EMI",'Cleaned Data'!H560)</f>
        <v>Cash</v>
      </c>
      <c r="J560" t="s">
        <v>94</v>
      </c>
      <c r="K560" t="s">
        <v>157</v>
      </c>
      <c r="L560">
        <v>2</v>
      </c>
      <c r="M560" s="9">
        <v>101877</v>
      </c>
      <c r="N560" s="4">
        <v>3.7999999999999999E-2</v>
      </c>
      <c r="O560" s="4">
        <f t="shared" si="8"/>
        <v>3.7999999999999999E-2</v>
      </c>
      <c r="P560" s="11">
        <v>203754</v>
      </c>
      <c r="Q560" s="9">
        <v>7742.65</v>
      </c>
      <c r="R560" s="9">
        <v>196011.35</v>
      </c>
      <c r="S560">
        <v>3</v>
      </c>
      <c r="T560">
        <v>168</v>
      </c>
      <c r="U560">
        <v>4.3</v>
      </c>
      <c r="V560">
        <v>4</v>
      </c>
      <c r="W560">
        <f>IF('Cleaned Data'!V560&lt;0,"Review",'Cleaned Data'!V560)</f>
        <v>4</v>
      </c>
      <c r="X560">
        <v>2</v>
      </c>
      <c r="Y560" s="7">
        <f>IFERROR('Cleaned Data'!R560/'Cleaned Data'!L560,0)</f>
        <v>98005.675000000003</v>
      </c>
      <c r="Z560" t="str">
        <f>TEXT(EV_Sales[[#This Row],[Order_Date]],"mmm-yyyy")</f>
        <v>Jul-2025</v>
      </c>
      <c r="AA560">
        <f>MONTH(EV_Sales[[#This Row],[Order_Date]])</f>
        <v>7</v>
      </c>
      <c r="AB560" s="12" t="str">
        <f>"Q"&amp;ROUNDUP(MONTH(EV_Sales[[#This Row],[Order_Date]])/3,0)</f>
        <v>Q3</v>
      </c>
    </row>
    <row r="561" spans="1:28" x14ac:dyDescent="0.3">
      <c r="A561" t="s">
        <v>667</v>
      </c>
      <c r="B561" s="2">
        <v>45927</v>
      </c>
      <c r="C561" t="s">
        <v>99</v>
      </c>
      <c r="D561" t="s">
        <v>141</v>
      </c>
      <c r="E561" t="s">
        <v>62</v>
      </c>
      <c r="F561" t="s">
        <v>25</v>
      </c>
      <c r="G561" t="s">
        <v>26</v>
      </c>
      <c r="H561" t="s">
        <v>53</v>
      </c>
      <c r="I561" t="str">
        <f>IF('Cleaned Data'!H561="Emi","EMI",'Cleaned Data'!H561)</f>
        <v>Cash</v>
      </c>
      <c r="J561" t="s">
        <v>48</v>
      </c>
      <c r="K561" t="s">
        <v>72</v>
      </c>
      <c r="L561">
        <v>3</v>
      </c>
      <c r="M561" s="9">
        <v>150330</v>
      </c>
      <c r="N561" s="4">
        <v>9.7000000000000003E-2</v>
      </c>
      <c r="O561" s="4">
        <f t="shared" si="8"/>
        <v>9.7000000000000003E-2</v>
      </c>
      <c r="P561" s="11">
        <v>450990</v>
      </c>
      <c r="Q561" s="9">
        <v>43746.03</v>
      </c>
      <c r="R561" s="9">
        <v>407243.97</v>
      </c>
      <c r="S561">
        <v>5</v>
      </c>
      <c r="T561">
        <v>192</v>
      </c>
      <c r="U561">
        <v>4.3</v>
      </c>
      <c r="V561">
        <v>6</v>
      </c>
      <c r="W561">
        <f>IF('Cleaned Data'!V561&lt;0,"Review",'Cleaned Data'!V561)</f>
        <v>6</v>
      </c>
      <c r="X561">
        <v>5</v>
      </c>
      <c r="Y561" s="7">
        <f>IFERROR('Cleaned Data'!R561/'Cleaned Data'!L561,0)</f>
        <v>135747.99</v>
      </c>
      <c r="Z561" t="str">
        <f>TEXT(EV_Sales[[#This Row],[Order_Date]],"mmm-yyyy")</f>
        <v>Sep-2025</v>
      </c>
      <c r="AA561">
        <f>MONTH(EV_Sales[[#This Row],[Order_Date]])</f>
        <v>9</v>
      </c>
      <c r="AB561" s="12" t="str">
        <f>"Q"&amp;ROUNDUP(MONTH(EV_Sales[[#This Row],[Order_Date]])/3,0)</f>
        <v>Q3</v>
      </c>
    </row>
    <row r="562" spans="1:28" x14ac:dyDescent="0.3">
      <c r="A562" t="s">
        <v>668</v>
      </c>
      <c r="B562" s="2">
        <v>45924</v>
      </c>
      <c r="C562" t="s">
        <v>87</v>
      </c>
      <c r="D562" t="s">
        <v>88</v>
      </c>
      <c r="E562" t="s">
        <v>24</v>
      </c>
      <c r="F562" t="s">
        <v>74</v>
      </c>
      <c r="G562" t="s">
        <v>67</v>
      </c>
      <c r="H562" t="s">
        <v>809</v>
      </c>
      <c r="I562" t="str">
        <f>IF('Cleaned Data'!H562="Emi","EMI",'Cleaned Data'!H562)</f>
        <v>EMI</v>
      </c>
      <c r="J562" t="s">
        <v>28</v>
      </c>
      <c r="K562" t="s">
        <v>175</v>
      </c>
      <c r="L562">
        <v>4</v>
      </c>
      <c r="M562" s="9">
        <v>161976</v>
      </c>
      <c r="N562" s="4">
        <v>8.1000000000000003E-2</v>
      </c>
      <c r="O562" s="4">
        <f t="shared" si="8"/>
        <v>8.1000000000000003E-2</v>
      </c>
      <c r="P562" s="11">
        <v>647904</v>
      </c>
      <c r="Q562" s="9">
        <v>52480.22</v>
      </c>
      <c r="R562" s="9">
        <v>595423.78</v>
      </c>
      <c r="S562">
        <v>3</v>
      </c>
      <c r="T562">
        <v>155</v>
      </c>
      <c r="U562">
        <v>3.7</v>
      </c>
      <c r="V562">
        <v>2</v>
      </c>
      <c r="W562">
        <f>IF('Cleaned Data'!V562&lt;0,"Review",'Cleaned Data'!V562)</f>
        <v>2</v>
      </c>
      <c r="X562">
        <v>3</v>
      </c>
      <c r="Y562" s="7">
        <f>IFERROR('Cleaned Data'!R562/'Cleaned Data'!L562,0)</f>
        <v>148855.94500000001</v>
      </c>
      <c r="Z562" t="str">
        <f>TEXT(EV_Sales[[#This Row],[Order_Date]],"mmm-yyyy")</f>
        <v>Sep-2025</v>
      </c>
      <c r="AA562">
        <f>MONTH(EV_Sales[[#This Row],[Order_Date]])</f>
        <v>9</v>
      </c>
      <c r="AB562" s="12" t="str">
        <f>"Q"&amp;ROUNDUP(MONTH(EV_Sales[[#This Row],[Order_Date]])/3,0)</f>
        <v>Q3</v>
      </c>
    </row>
    <row r="563" spans="1:28" x14ac:dyDescent="0.3">
      <c r="A563" t="s">
        <v>669</v>
      </c>
      <c r="B563" s="2">
        <v>45990</v>
      </c>
      <c r="C563" t="s">
        <v>31</v>
      </c>
      <c r="D563" t="s">
        <v>97</v>
      </c>
      <c r="E563" t="s">
        <v>46</v>
      </c>
      <c r="F563" t="s">
        <v>41</v>
      </c>
      <c r="G563" t="s">
        <v>26</v>
      </c>
      <c r="H563" t="s">
        <v>27</v>
      </c>
      <c r="I563" t="str">
        <f>IF('Cleaned Data'!H563="Emi","EMI",'Cleaned Data'!H563)</f>
        <v>Finance</v>
      </c>
      <c r="J563" t="s">
        <v>57</v>
      </c>
      <c r="K563" t="s">
        <v>102</v>
      </c>
      <c r="L563">
        <v>4</v>
      </c>
      <c r="M563" s="9">
        <v>137386</v>
      </c>
      <c r="N563" s="4">
        <v>0.10299999999999999</v>
      </c>
      <c r="O563" s="4">
        <f t="shared" si="8"/>
        <v>0.10299999999999999</v>
      </c>
      <c r="P563" s="11">
        <v>549544</v>
      </c>
      <c r="Q563" s="9">
        <v>56603.03</v>
      </c>
      <c r="R563" s="9">
        <v>492940.97</v>
      </c>
      <c r="S563">
        <v>4</v>
      </c>
      <c r="T563">
        <v>170</v>
      </c>
      <c r="U563">
        <v>3.5</v>
      </c>
      <c r="V563">
        <v>10</v>
      </c>
      <c r="W563">
        <f>IF('Cleaned Data'!V563&lt;0,"Review",'Cleaned Data'!V563)</f>
        <v>10</v>
      </c>
      <c r="X563">
        <v>3</v>
      </c>
      <c r="Y563" s="7">
        <f>IFERROR('Cleaned Data'!R563/'Cleaned Data'!L563,0)</f>
        <v>123235.24249999999</v>
      </c>
      <c r="Z563" t="str">
        <f>TEXT(EV_Sales[[#This Row],[Order_Date]],"mmm-yyyy")</f>
        <v>Nov-2025</v>
      </c>
      <c r="AA563">
        <f>MONTH(EV_Sales[[#This Row],[Order_Date]])</f>
        <v>11</v>
      </c>
      <c r="AB563" s="12" t="str">
        <f>"Q"&amp;ROUNDUP(MONTH(EV_Sales[[#This Row],[Order_Date]])/3,0)</f>
        <v>Q4</v>
      </c>
    </row>
    <row r="564" spans="1:28" x14ac:dyDescent="0.3">
      <c r="A564" t="s">
        <v>670</v>
      </c>
      <c r="B564" s="2">
        <v>45709</v>
      </c>
      <c r="C564" t="s">
        <v>39</v>
      </c>
      <c r="D564" t="s">
        <v>40</v>
      </c>
      <c r="E564" t="s">
        <v>46</v>
      </c>
      <c r="F564" t="s">
        <v>66</v>
      </c>
      <c r="G564" t="s">
        <v>34</v>
      </c>
      <c r="H564" t="s">
        <v>809</v>
      </c>
      <c r="I564" t="str">
        <f>IF('Cleaned Data'!H564="Emi","EMI",'Cleaned Data'!H564)</f>
        <v>EMI</v>
      </c>
      <c r="J564" t="s">
        <v>28</v>
      </c>
      <c r="K564" t="s">
        <v>102</v>
      </c>
      <c r="L564">
        <v>1</v>
      </c>
      <c r="M564" s="9">
        <v>125190</v>
      </c>
      <c r="N564" s="4">
        <v>7.0000000000000007E-2</v>
      </c>
      <c r="O564" s="4">
        <f t="shared" si="8"/>
        <v>7.0000000000000007E-2</v>
      </c>
      <c r="P564" s="11">
        <v>125190</v>
      </c>
      <c r="Q564" s="9">
        <v>8763.2999999999993</v>
      </c>
      <c r="R564" s="9">
        <v>116426.7</v>
      </c>
      <c r="S564">
        <v>3</v>
      </c>
      <c r="T564">
        <v>154</v>
      </c>
      <c r="U564">
        <v>4.9000000000000004</v>
      </c>
      <c r="V564">
        <v>6</v>
      </c>
      <c r="W564">
        <f>IF('Cleaned Data'!V564&lt;0,"Review",'Cleaned Data'!V564)</f>
        <v>6</v>
      </c>
      <c r="X564">
        <v>5</v>
      </c>
      <c r="Y564" s="7">
        <f>IFERROR('Cleaned Data'!R564/'Cleaned Data'!L564,0)</f>
        <v>116426.7</v>
      </c>
      <c r="Z564" t="str">
        <f>TEXT(EV_Sales[[#This Row],[Order_Date]],"mmm-yyyy")</f>
        <v>Feb-2025</v>
      </c>
      <c r="AA564">
        <f>MONTH(EV_Sales[[#This Row],[Order_Date]])</f>
        <v>2</v>
      </c>
      <c r="AB564" s="12" t="str">
        <f>"Q"&amp;ROUNDUP(MONTH(EV_Sales[[#This Row],[Order_Date]])/3,0)</f>
        <v>Q1</v>
      </c>
    </row>
    <row r="565" spans="1:28" x14ac:dyDescent="0.3">
      <c r="A565" t="s">
        <v>671</v>
      </c>
      <c r="B565" s="2">
        <v>45943</v>
      </c>
      <c r="C565" t="s">
        <v>60</v>
      </c>
      <c r="D565" t="s">
        <v>69</v>
      </c>
      <c r="E565" t="s">
        <v>46</v>
      </c>
      <c r="F565" t="s">
        <v>25</v>
      </c>
      <c r="G565" t="s">
        <v>26</v>
      </c>
      <c r="H565" t="s">
        <v>27</v>
      </c>
      <c r="I565" t="str">
        <f>IF('Cleaned Data'!H565="Emi","EMI",'Cleaned Data'!H565)</f>
        <v>Finance</v>
      </c>
      <c r="J565" t="s">
        <v>48</v>
      </c>
      <c r="K565" t="s">
        <v>157</v>
      </c>
      <c r="L565">
        <v>1</v>
      </c>
      <c r="M565" s="9">
        <v>101827</v>
      </c>
      <c r="N565" s="4">
        <v>0.08</v>
      </c>
      <c r="O565" s="4">
        <f t="shared" si="8"/>
        <v>0.08</v>
      </c>
      <c r="P565" s="11">
        <v>101827</v>
      </c>
      <c r="Q565" s="9">
        <v>8146.16</v>
      </c>
      <c r="R565" s="9">
        <v>93680.84</v>
      </c>
      <c r="S565">
        <v>4</v>
      </c>
      <c r="T565">
        <v>184</v>
      </c>
      <c r="U565">
        <v>3</v>
      </c>
      <c r="V565">
        <v>6</v>
      </c>
      <c r="W565">
        <f>IF('Cleaned Data'!V565&lt;0,"Review",'Cleaned Data'!V565)</f>
        <v>6</v>
      </c>
      <c r="X565">
        <v>2</v>
      </c>
      <c r="Y565" s="7">
        <f>IFERROR('Cleaned Data'!R565/'Cleaned Data'!L565,0)</f>
        <v>93680.84</v>
      </c>
      <c r="Z565" t="str">
        <f>TEXT(EV_Sales[[#This Row],[Order_Date]],"mmm-yyyy")</f>
        <v>Oct-2025</v>
      </c>
      <c r="AA565">
        <f>MONTH(EV_Sales[[#This Row],[Order_Date]])</f>
        <v>10</v>
      </c>
      <c r="AB565" s="12" t="str">
        <f>"Q"&amp;ROUNDUP(MONTH(EV_Sales[[#This Row],[Order_Date]])/3,0)</f>
        <v>Q4</v>
      </c>
    </row>
    <row r="566" spans="1:28" x14ac:dyDescent="0.3">
      <c r="A566" t="s">
        <v>672</v>
      </c>
      <c r="B566" s="2">
        <v>45711</v>
      </c>
      <c r="C566" t="s">
        <v>76</v>
      </c>
      <c r="D566" t="s">
        <v>117</v>
      </c>
      <c r="E566" t="s">
        <v>24</v>
      </c>
      <c r="F566" t="s">
        <v>41</v>
      </c>
      <c r="G566" t="s">
        <v>26</v>
      </c>
      <c r="H566" t="s">
        <v>53</v>
      </c>
      <c r="I566" t="str">
        <f>IF('Cleaned Data'!H566="Emi","EMI",'Cleaned Data'!H566)</f>
        <v>Cash</v>
      </c>
      <c r="J566" t="s">
        <v>48</v>
      </c>
      <c r="K566" t="s">
        <v>148</v>
      </c>
      <c r="L566">
        <v>4</v>
      </c>
      <c r="M566" s="9">
        <v>137511</v>
      </c>
      <c r="N566" s="4">
        <v>3.9E-2</v>
      </c>
      <c r="O566" s="4">
        <f t="shared" si="8"/>
        <v>3.9E-2</v>
      </c>
      <c r="P566" s="11">
        <v>550044</v>
      </c>
      <c r="Q566" s="9">
        <v>21451.72</v>
      </c>
      <c r="R566" s="9">
        <v>528592.28</v>
      </c>
      <c r="S566">
        <v>3</v>
      </c>
      <c r="T566">
        <v>170</v>
      </c>
      <c r="U566">
        <v>4.0999999999999996</v>
      </c>
      <c r="V566">
        <v>11</v>
      </c>
      <c r="W566">
        <f>IF('Cleaned Data'!V566&lt;0,"Review",'Cleaned Data'!V566)</f>
        <v>11</v>
      </c>
      <c r="X566">
        <v>5</v>
      </c>
      <c r="Y566" s="7">
        <f>IFERROR('Cleaned Data'!R566/'Cleaned Data'!L566,0)</f>
        <v>132148.07</v>
      </c>
      <c r="Z566" t="str">
        <f>TEXT(EV_Sales[[#This Row],[Order_Date]],"mmm-yyyy")</f>
        <v>Feb-2025</v>
      </c>
      <c r="AA566">
        <f>MONTH(EV_Sales[[#This Row],[Order_Date]])</f>
        <v>2</v>
      </c>
      <c r="AB566" s="12" t="str">
        <f>"Q"&amp;ROUNDUP(MONTH(EV_Sales[[#This Row],[Order_Date]])/3,0)</f>
        <v>Q1</v>
      </c>
    </row>
    <row r="567" spans="1:28" x14ac:dyDescent="0.3">
      <c r="A567" t="s">
        <v>673</v>
      </c>
      <c r="B567" s="2">
        <v>45772</v>
      </c>
      <c r="C567" t="s">
        <v>39</v>
      </c>
      <c r="D567" t="s">
        <v>154</v>
      </c>
      <c r="E567" t="s">
        <v>46</v>
      </c>
      <c r="F567" t="s">
        <v>47</v>
      </c>
      <c r="G567" t="s">
        <v>56</v>
      </c>
      <c r="H567" t="s">
        <v>809</v>
      </c>
      <c r="I567" t="str">
        <f>IF('Cleaned Data'!H567="Emi","EMI",'Cleaned Data'!H567)</f>
        <v>EMI</v>
      </c>
      <c r="J567" t="s">
        <v>94</v>
      </c>
      <c r="K567" t="s">
        <v>123</v>
      </c>
      <c r="L567">
        <v>2</v>
      </c>
      <c r="M567" s="9">
        <v>185776</v>
      </c>
      <c r="N567" s="4">
        <v>0.11600000000000001</v>
      </c>
      <c r="O567" s="4">
        <f t="shared" si="8"/>
        <v>0.11600000000000001</v>
      </c>
      <c r="P567" s="11">
        <v>371552</v>
      </c>
      <c r="Q567" s="9">
        <v>43100.03</v>
      </c>
      <c r="R567" s="9">
        <v>328451.96999999997</v>
      </c>
      <c r="S567">
        <v>5</v>
      </c>
      <c r="T567">
        <v>208</v>
      </c>
      <c r="U567">
        <v>4.5</v>
      </c>
      <c r="V567">
        <v>3</v>
      </c>
      <c r="W567">
        <f>IF('Cleaned Data'!V567&lt;0,"Review",'Cleaned Data'!V567)</f>
        <v>3</v>
      </c>
      <c r="X567">
        <v>2</v>
      </c>
      <c r="Y567" s="7">
        <f>IFERROR('Cleaned Data'!R567/'Cleaned Data'!L567,0)</f>
        <v>164225.98499999999</v>
      </c>
      <c r="Z567" t="str">
        <f>TEXT(EV_Sales[[#This Row],[Order_Date]],"mmm-yyyy")</f>
        <v>Apr-2025</v>
      </c>
      <c r="AA567">
        <f>MONTH(EV_Sales[[#This Row],[Order_Date]])</f>
        <v>4</v>
      </c>
      <c r="AB567" s="12" t="str">
        <f>"Q"&amp;ROUNDUP(MONTH(EV_Sales[[#This Row],[Order_Date]])/3,0)</f>
        <v>Q2</v>
      </c>
    </row>
    <row r="568" spans="1:28" x14ac:dyDescent="0.3">
      <c r="A568" t="s">
        <v>674</v>
      </c>
      <c r="B568" s="2">
        <v>45860</v>
      </c>
      <c r="C568" t="s">
        <v>76</v>
      </c>
      <c r="D568" t="s">
        <v>117</v>
      </c>
      <c r="E568" t="s">
        <v>46</v>
      </c>
      <c r="F568" t="s">
        <v>47</v>
      </c>
      <c r="G568" t="s">
        <v>56</v>
      </c>
      <c r="H568" t="s">
        <v>27</v>
      </c>
      <c r="I568" t="str">
        <f>IF('Cleaned Data'!H568="Emi","EMI",'Cleaned Data'!H568)</f>
        <v>Finance</v>
      </c>
      <c r="J568" t="s">
        <v>36</v>
      </c>
      <c r="K568" t="s">
        <v>83</v>
      </c>
      <c r="L568">
        <v>1</v>
      </c>
      <c r="M568" s="9">
        <v>136205</v>
      </c>
      <c r="N568" s="4">
        <v>2.4E-2</v>
      </c>
      <c r="O568" s="4">
        <f t="shared" si="8"/>
        <v>2.4E-2</v>
      </c>
      <c r="P568" s="11">
        <v>136205</v>
      </c>
      <c r="Q568" s="9">
        <v>3268.92</v>
      </c>
      <c r="R568" s="9">
        <v>132936.07999999999</v>
      </c>
      <c r="S568">
        <v>3</v>
      </c>
      <c r="T568">
        <v>168</v>
      </c>
      <c r="U568">
        <v>4.3</v>
      </c>
      <c r="V568">
        <v>10</v>
      </c>
      <c r="W568">
        <f>IF('Cleaned Data'!V568&lt;0,"Review",'Cleaned Data'!V568)</f>
        <v>10</v>
      </c>
      <c r="X568">
        <v>2</v>
      </c>
      <c r="Y568" s="7">
        <f>IFERROR('Cleaned Data'!R568/'Cleaned Data'!L568,0)</f>
        <v>132936.07999999999</v>
      </c>
      <c r="Z568" t="str">
        <f>TEXT(EV_Sales[[#This Row],[Order_Date]],"mmm-yyyy")</f>
        <v>Jul-2025</v>
      </c>
      <c r="AA568">
        <f>MONTH(EV_Sales[[#This Row],[Order_Date]])</f>
        <v>7</v>
      </c>
      <c r="AB568" s="12" t="str">
        <f>"Q"&amp;ROUNDUP(MONTH(EV_Sales[[#This Row],[Order_Date]])/3,0)</f>
        <v>Q3</v>
      </c>
    </row>
    <row r="569" spans="1:28" x14ac:dyDescent="0.3">
      <c r="A569" t="s">
        <v>675</v>
      </c>
      <c r="B569" s="2">
        <v>45878</v>
      </c>
      <c r="C569" t="s">
        <v>76</v>
      </c>
      <c r="D569" t="s">
        <v>115</v>
      </c>
      <c r="E569" t="s">
        <v>62</v>
      </c>
      <c r="F569" t="s">
        <v>25</v>
      </c>
      <c r="G569" t="s">
        <v>67</v>
      </c>
      <c r="H569" t="s">
        <v>53</v>
      </c>
      <c r="I569" t="str">
        <f>IF('Cleaned Data'!H569="Emi","EMI",'Cleaned Data'!H569)</f>
        <v>Cash</v>
      </c>
      <c r="J569" t="s">
        <v>57</v>
      </c>
      <c r="K569" t="s">
        <v>58</v>
      </c>
      <c r="L569">
        <v>1</v>
      </c>
      <c r="M569" s="9">
        <v>136387</v>
      </c>
      <c r="N569" s="4">
        <v>4.4999999999999998E-2</v>
      </c>
      <c r="O569" s="4">
        <f t="shared" si="8"/>
        <v>4.4999999999999998E-2</v>
      </c>
      <c r="P569" s="11">
        <v>136387</v>
      </c>
      <c r="Q569" s="9">
        <v>6137.41</v>
      </c>
      <c r="R569" s="9">
        <v>130249.59</v>
      </c>
      <c r="S569">
        <v>4</v>
      </c>
      <c r="T569">
        <v>185</v>
      </c>
      <c r="U569">
        <v>4.2</v>
      </c>
      <c r="V569">
        <v>11</v>
      </c>
      <c r="W569">
        <f>IF('Cleaned Data'!V569&lt;0,"Review",'Cleaned Data'!V569)</f>
        <v>11</v>
      </c>
      <c r="X569">
        <v>2</v>
      </c>
      <c r="Y569" s="7">
        <f>IFERROR('Cleaned Data'!R569/'Cleaned Data'!L569,0)</f>
        <v>130249.59</v>
      </c>
      <c r="Z569" t="str">
        <f>TEXT(EV_Sales[[#This Row],[Order_Date]],"mmm-yyyy")</f>
        <v>Aug-2025</v>
      </c>
      <c r="AA569">
        <f>MONTH(EV_Sales[[#This Row],[Order_Date]])</f>
        <v>8</v>
      </c>
      <c r="AB569" s="12" t="str">
        <f>"Q"&amp;ROUNDUP(MONTH(EV_Sales[[#This Row],[Order_Date]])/3,0)</f>
        <v>Q3</v>
      </c>
    </row>
    <row r="570" spans="1:28" x14ac:dyDescent="0.3">
      <c r="A570" t="s">
        <v>676</v>
      </c>
      <c r="B570" s="2">
        <v>45999</v>
      </c>
      <c r="C570" t="s">
        <v>60</v>
      </c>
      <c r="D570" t="s">
        <v>61</v>
      </c>
      <c r="E570" t="s">
        <v>46</v>
      </c>
      <c r="F570" t="s">
        <v>80</v>
      </c>
      <c r="G570" t="s">
        <v>34</v>
      </c>
      <c r="H570" t="s">
        <v>27</v>
      </c>
      <c r="I570" t="str">
        <f>IF('Cleaned Data'!H570="Emi","EMI",'Cleaned Data'!H570)</f>
        <v>Finance</v>
      </c>
      <c r="J570" t="s">
        <v>48</v>
      </c>
      <c r="K570" t="s">
        <v>123</v>
      </c>
      <c r="L570">
        <v>2</v>
      </c>
      <c r="M570" s="9">
        <v>121326</v>
      </c>
      <c r="N570" s="4">
        <v>2.3E-2</v>
      </c>
      <c r="O570" s="4">
        <f t="shared" si="8"/>
        <v>2.3E-2</v>
      </c>
      <c r="P570" s="11">
        <v>242652</v>
      </c>
      <c r="Q570" s="9">
        <v>5581</v>
      </c>
      <c r="R570" s="9">
        <v>237071</v>
      </c>
      <c r="S570">
        <v>4</v>
      </c>
      <c r="T570">
        <v>166</v>
      </c>
      <c r="U570">
        <v>3.7</v>
      </c>
      <c r="V570">
        <v>14</v>
      </c>
      <c r="W570">
        <f>IF('Cleaned Data'!V570&lt;0,"Review",'Cleaned Data'!V570)</f>
        <v>14</v>
      </c>
      <c r="X570">
        <v>5</v>
      </c>
      <c r="Y570" s="7">
        <f>IFERROR('Cleaned Data'!R570/'Cleaned Data'!L570,0)</f>
        <v>118535.5</v>
      </c>
      <c r="Z570" t="str">
        <f>TEXT(EV_Sales[[#This Row],[Order_Date]],"mmm-yyyy")</f>
        <v>Dec-2025</v>
      </c>
      <c r="AA570">
        <f>MONTH(EV_Sales[[#This Row],[Order_Date]])</f>
        <v>12</v>
      </c>
      <c r="AB570" s="12" t="str">
        <f>"Q"&amp;ROUNDUP(MONTH(EV_Sales[[#This Row],[Order_Date]])/3,0)</f>
        <v>Q4</v>
      </c>
    </row>
    <row r="571" spans="1:28" x14ac:dyDescent="0.3">
      <c r="A571" t="s">
        <v>677</v>
      </c>
      <c r="B571" s="2">
        <v>45841</v>
      </c>
      <c r="C571" t="s">
        <v>44</v>
      </c>
      <c r="D571" t="s">
        <v>51</v>
      </c>
      <c r="E571" t="s">
        <v>62</v>
      </c>
      <c r="F571" t="s">
        <v>25</v>
      </c>
      <c r="G571" t="s">
        <v>26</v>
      </c>
      <c r="H571" t="s">
        <v>53</v>
      </c>
      <c r="I571" t="str">
        <f>IF('Cleaned Data'!H571="Emi","EMI",'Cleaned Data'!H571)</f>
        <v>Cash</v>
      </c>
      <c r="J571" t="s">
        <v>57</v>
      </c>
      <c r="K571" t="s">
        <v>148</v>
      </c>
      <c r="L571">
        <v>1</v>
      </c>
      <c r="M571" s="9">
        <v>125338</v>
      </c>
      <c r="N571" s="4">
        <v>2.1000000000000001E-2</v>
      </c>
      <c r="O571" s="4">
        <f t="shared" si="8"/>
        <v>2.1000000000000001E-2</v>
      </c>
      <c r="P571" s="11">
        <v>125338</v>
      </c>
      <c r="Q571" s="9">
        <v>2632.1</v>
      </c>
      <c r="R571" s="9">
        <v>122705.9</v>
      </c>
      <c r="S571">
        <v>3</v>
      </c>
      <c r="T571">
        <v>183</v>
      </c>
      <c r="U571">
        <v>4.4000000000000004</v>
      </c>
      <c r="V571">
        <v>12</v>
      </c>
      <c r="W571">
        <f>IF('Cleaned Data'!V571&lt;0,"Review",'Cleaned Data'!V571)</f>
        <v>12</v>
      </c>
      <c r="X571">
        <v>2</v>
      </c>
      <c r="Y571" s="7">
        <f>IFERROR('Cleaned Data'!R571/'Cleaned Data'!L571,0)</f>
        <v>122705.9</v>
      </c>
      <c r="Z571" t="str">
        <f>TEXT(EV_Sales[[#This Row],[Order_Date]],"mmm-yyyy")</f>
        <v>Jul-2025</v>
      </c>
      <c r="AA571">
        <f>MONTH(EV_Sales[[#This Row],[Order_Date]])</f>
        <v>7</v>
      </c>
      <c r="AB571" s="12" t="str">
        <f>"Q"&amp;ROUNDUP(MONTH(EV_Sales[[#This Row],[Order_Date]])/3,0)</f>
        <v>Q3</v>
      </c>
    </row>
    <row r="572" spans="1:28" x14ac:dyDescent="0.3">
      <c r="A572" t="s">
        <v>678</v>
      </c>
      <c r="B572" s="2">
        <v>45958</v>
      </c>
      <c r="C572" t="s">
        <v>39</v>
      </c>
      <c r="D572" t="s">
        <v>40</v>
      </c>
      <c r="E572" t="s">
        <v>46</v>
      </c>
      <c r="F572" t="s">
        <v>47</v>
      </c>
      <c r="G572" t="s">
        <v>67</v>
      </c>
      <c r="H572" t="s">
        <v>809</v>
      </c>
      <c r="I572" t="str">
        <f>IF('Cleaned Data'!H572="Emi","EMI",'Cleaned Data'!H572)</f>
        <v>EMI</v>
      </c>
      <c r="J572" t="s">
        <v>28</v>
      </c>
      <c r="K572" t="s">
        <v>104</v>
      </c>
      <c r="L572">
        <v>1</v>
      </c>
      <c r="M572" s="9">
        <v>130286</v>
      </c>
      <c r="N572" s="4">
        <v>7.1999999999999995E-2</v>
      </c>
      <c r="O572" s="4">
        <f t="shared" si="8"/>
        <v>7.1999999999999995E-2</v>
      </c>
      <c r="P572" s="11">
        <v>130286</v>
      </c>
      <c r="Q572" s="9">
        <v>9380.59</v>
      </c>
      <c r="R572" s="9">
        <v>120905.41</v>
      </c>
      <c r="S572">
        <v>2</v>
      </c>
      <c r="T572">
        <v>151</v>
      </c>
      <c r="U572">
        <v>3.9</v>
      </c>
      <c r="V572">
        <v>12</v>
      </c>
      <c r="W572">
        <f>IF('Cleaned Data'!V572&lt;0,"Review",'Cleaned Data'!V572)</f>
        <v>12</v>
      </c>
      <c r="X572">
        <v>3</v>
      </c>
      <c r="Y572" s="7">
        <f>IFERROR('Cleaned Data'!R572/'Cleaned Data'!L572,0)</f>
        <v>120905.41</v>
      </c>
      <c r="Z572" t="str">
        <f>TEXT(EV_Sales[[#This Row],[Order_Date]],"mmm-yyyy")</f>
        <v>Oct-2025</v>
      </c>
      <c r="AA572">
        <f>MONTH(EV_Sales[[#This Row],[Order_Date]])</f>
        <v>10</v>
      </c>
      <c r="AB572" s="12" t="str">
        <f>"Q"&amp;ROUNDUP(MONTH(EV_Sales[[#This Row],[Order_Date]])/3,0)</f>
        <v>Q4</v>
      </c>
    </row>
    <row r="573" spans="1:28" x14ac:dyDescent="0.3">
      <c r="A573" t="s">
        <v>679</v>
      </c>
      <c r="B573" s="2">
        <v>45682</v>
      </c>
      <c r="C573" t="s">
        <v>31</v>
      </c>
      <c r="D573" t="s">
        <v>97</v>
      </c>
      <c r="E573" t="s">
        <v>62</v>
      </c>
      <c r="F573" t="s">
        <v>80</v>
      </c>
      <c r="G573" t="s">
        <v>67</v>
      </c>
      <c r="H573" t="s">
        <v>809</v>
      </c>
      <c r="I573" t="str">
        <f>IF('Cleaned Data'!H573="Emi","EMI",'Cleaned Data'!H573)</f>
        <v>EMI</v>
      </c>
      <c r="J573" t="s">
        <v>28</v>
      </c>
      <c r="K573" t="s">
        <v>138</v>
      </c>
      <c r="L573">
        <v>2</v>
      </c>
      <c r="M573" s="9">
        <v>127743</v>
      </c>
      <c r="N573" s="4">
        <v>3.7999999999999999E-2</v>
      </c>
      <c r="O573" s="4">
        <f t="shared" si="8"/>
        <v>3.7999999999999999E-2</v>
      </c>
      <c r="P573" s="11">
        <v>255486</v>
      </c>
      <c r="Q573" s="9">
        <v>9708.4699999999993</v>
      </c>
      <c r="R573" s="9">
        <v>245777.53</v>
      </c>
      <c r="S573">
        <v>4</v>
      </c>
      <c r="T573">
        <v>188</v>
      </c>
      <c r="U573">
        <v>4</v>
      </c>
      <c r="V573">
        <v>14</v>
      </c>
      <c r="W573">
        <f>IF('Cleaned Data'!V573&lt;0,"Review",'Cleaned Data'!V573)</f>
        <v>14</v>
      </c>
      <c r="X573">
        <v>2</v>
      </c>
      <c r="Y573" s="7">
        <f>IFERROR('Cleaned Data'!R573/'Cleaned Data'!L573,0)</f>
        <v>122888.765</v>
      </c>
      <c r="Z573" t="str">
        <f>TEXT(EV_Sales[[#This Row],[Order_Date]],"mmm-yyyy")</f>
        <v>Jan-2025</v>
      </c>
      <c r="AA573">
        <f>MONTH(EV_Sales[[#This Row],[Order_Date]])</f>
        <v>1</v>
      </c>
      <c r="AB573" s="12" t="str">
        <f>"Q"&amp;ROUNDUP(MONTH(EV_Sales[[#This Row],[Order_Date]])/3,0)</f>
        <v>Q1</v>
      </c>
    </row>
    <row r="574" spans="1:28" x14ac:dyDescent="0.3">
      <c r="A574" t="s">
        <v>680</v>
      </c>
      <c r="B574" s="2">
        <v>46002</v>
      </c>
      <c r="C574" t="s">
        <v>60</v>
      </c>
      <c r="D574" t="s">
        <v>69</v>
      </c>
      <c r="E574" t="s">
        <v>46</v>
      </c>
      <c r="F574" t="s">
        <v>70</v>
      </c>
      <c r="G574" t="s">
        <v>26</v>
      </c>
      <c r="H574" t="s">
        <v>27</v>
      </c>
      <c r="I574" t="str">
        <f>IF('Cleaned Data'!H574="Emi","EMI",'Cleaned Data'!H574)</f>
        <v>Finance</v>
      </c>
      <c r="J574" t="s">
        <v>36</v>
      </c>
      <c r="K574" t="s">
        <v>148</v>
      </c>
      <c r="L574">
        <v>3</v>
      </c>
      <c r="M574" s="9">
        <v>105651</v>
      </c>
      <c r="N574" s="4">
        <v>2.4E-2</v>
      </c>
      <c r="O574" s="4">
        <f t="shared" si="8"/>
        <v>2.4E-2</v>
      </c>
      <c r="P574" s="11">
        <v>316953</v>
      </c>
      <c r="Q574" s="9">
        <v>7606.87</v>
      </c>
      <c r="R574" s="9">
        <v>309346.13</v>
      </c>
      <c r="S574">
        <v>4</v>
      </c>
      <c r="T574">
        <v>174</v>
      </c>
      <c r="U574">
        <v>4.2</v>
      </c>
      <c r="V574">
        <v>4</v>
      </c>
      <c r="W574">
        <f>IF('Cleaned Data'!V574&lt;0,"Review",'Cleaned Data'!V574)</f>
        <v>4</v>
      </c>
      <c r="X574">
        <v>5</v>
      </c>
      <c r="Y574" s="7">
        <f>IFERROR('Cleaned Data'!R574/'Cleaned Data'!L574,0)</f>
        <v>103115.37666666666</v>
      </c>
      <c r="Z574" t="str">
        <f>TEXT(EV_Sales[[#This Row],[Order_Date]],"mmm-yyyy")</f>
        <v>Dec-2025</v>
      </c>
      <c r="AA574">
        <f>MONTH(EV_Sales[[#This Row],[Order_Date]])</f>
        <v>12</v>
      </c>
      <c r="AB574" s="12" t="str">
        <f>"Q"&amp;ROUNDUP(MONTH(EV_Sales[[#This Row],[Order_Date]])/3,0)</f>
        <v>Q4</v>
      </c>
    </row>
    <row r="575" spans="1:28" x14ac:dyDescent="0.3">
      <c r="A575" t="s">
        <v>681</v>
      </c>
      <c r="B575" s="2">
        <v>45686</v>
      </c>
      <c r="C575" t="s">
        <v>76</v>
      </c>
      <c r="D575" t="s">
        <v>115</v>
      </c>
      <c r="E575" t="s">
        <v>62</v>
      </c>
      <c r="F575" t="s">
        <v>80</v>
      </c>
      <c r="G575" t="s">
        <v>26</v>
      </c>
      <c r="H575" t="s">
        <v>53</v>
      </c>
      <c r="I575" t="str">
        <f>IF('Cleaned Data'!H575="Emi","EMI",'Cleaned Data'!H575)</f>
        <v>Cash</v>
      </c>
      <c r="J575" t="s">
        <v>94</v>
      </c>
      <c r="K575" t="s">
        <v>89</v>
      </c>
      <c r="L575">
        <v>3</v>
      </c>
      <c r="M575" s="9">
        <v>131092</v>
      </c>
      <c r="N575" s="4">
        <v>0.08</v>
      </c>
      <c r="O575" s="4">
        <f t="shared" si="8"/>
        <v>0.08</v>
      </c>
      <c r="P575" s="11">
        <v>393276</v>
      </c>
      <c r="Q575" s="9">
        <v>31462.080000000002</v>
      </c>
      <c r="R575" s="9">
        <v>361813.92</v>
      </c>
      <c r="S575">
        <v>3</v>
      </c>
      <c r="T575">
        <v>162</v>
      </c>
      <c r="U575">
        <v>4</v>
      </c>
      <c r="V575">
        <v>14</v>
      </c>
      <c r="W575">
        <f>IF('Cleaned Data'!V575&lt;0,"Review",'Cleaned Data'!V575)</f>
        <v>14</v>
      </c>
      <c r="X575">
        <v>2</v>
      </c>
      <c r="Y575" s="7">
        <f>IFERROR('Cleaned Data'!R575/'Cleaned Data'!L575,0)</f>
        <v>120604.64</v>
      </c>
      <c r="Z575" t="str">
        <f>TEXT(EV_Sales[[#This Row],[Order_Date]],"mmm-yyyy")</f>
        <v>Jan-2025</v>
      </c>
      <c r="AA575">
        <f>MONTH(EV_Sales[[#This Row],[Order_Date]])</f>
        <v>1</v>
      </c>
      <c r="AB575" s="12" t="str">
        <f>"Q"&amp;ROUNDUP(MONTH(EV_Sales[[#This Row],[Order_Date]])/3,0)</f>
        <v>Q1</v>
      </c>
    </row>
    <row r="576" spans="1:28" x14ac:dyDescent="0.3">
      <c r="A576" t="s">
        <v>682</v>
      </c>
      <c r="B576" s="2">
        <v>45840</v>
      </c>
      <c r="C576" t="s">
        <v>76</v>
      </c>
      <c r="D576" t="s">
        <v>115</v>
      </c>
      <c r="E576" t="s">
        <v>46</v>
      </c>
      <c r="F576" t="s">
        <v>80</v>
      </c>
      <c r="G576" t="s">
        <v>56</v>
      </c>
      <c r="H576" t="s">
        <v>53</v>
      </c>
      <c r="I576" t="str">
        <f>IF('Cleaned Data'!H576="Emi","EMI",'Cleaned Data'!H576)</f>
        <v>Cash</v>
      </c>
      <c r="J576" t="s">
        <v>63</v>
      </c>
      <c r="K576" t="s">
        <v>64</v>
      </c>
      <c r="L576">
        <v>1</v>
      </c>
      <c r="M576" s="9">
        <v>125197</v>
      </c>
      <c r="N576" s="4">
        <v>8.8999999999999996E-2</v>
      </c>
      <c r="O576" s="4">
        <f t="shared" si="8"/>
        <v>8.8999999999999996E-2</v>
      </c>
      <c r="P576" s="11">
        <v>125197</v>
      </c>
      <c r="Q576" s="9">
        <v>11142.53</v>
      </c>
      <c r="R576" s="9">
        <v>114054.47</v>
      </c>
      <c r="S576">
        <v>4</v>
      </c>
      <c r="T576">
        <v>174</v>
      </c>
      <c r="U576">
        <v>3.6</v>
      </c>
      <c r="V576">
        <v>3</v>
      </c>
      <c r="W576">
        <f>IF('Cleaned Data'!V576&lt;0,"Review",'Cleaned Data'!V576)</f>
        <v>3</v>
      </c>
      <c r="X576">
        <v>3</v>
      </c>
      <c r="Y576" s="7">
        <f>IFERROR('Cleaned Data'!R576/'Cleaned Data'!L576,0)</f>
        <v>114054.47</v>
      </c>
      <c r="Z576" t="str">
        <f>TEXT(EV_Sales[[#This Row],[Order_Date]],"mmm-yyyy")</f>
        <v>Jul-2025</v>
      </c>
      <c r="AA576">
        <f>MONTH(EV_Sales[[#This Row],[Order_Date]])</f>
        <v>7</v>
      </c>
      <c r="AB576" s="12" t="str">
        <f>"Q"&amp;ROUNDUP(MONTH(EV_Sales[[#This Row],[Order_Date]])/3,0)</f>
        <v>Q3</v>
      </c>
    </row>
    <row r="577" spans="1:28" x14ac:dyDescent="0.3">
      <c r="A577" t="s">
        <v>683</v>
      </c>
      <c r="B577" s="2">
        <v>45752</v>
      </c>
      <c r="C577" t="s">
        <v>76</v>
      </c>
      <c r="D577" t="s">
        <v>77</v>
      </c>
      <c r="E577" t="s">
        <v>46</v>
      </c>
      <c r="F577" t="s">
        <v>33</v>
      </c>
      <c r="G577" t="s">
        <v>34</v>
      </c>
      <c r="H577" t="s">
        <v>53</v>
      </c>
      <c r="I577" t="str">
        <f>IF('Cleaned Data'!H577="Emi","EMI",'Cleaned Data'!H577)</f>
        <v>Cash</v>
      </c>
      <c r="J577" t="s">
        <v>48</v>
      </c>
      <c r="K577" t="s">
        <v>83</v>
      </c>
      <c r="L577">
        <v>1</v>
      </c>
      <c r="M577" s="9">
        <v>149338</v>
      </c>
      <c r="N577" s="4">
        <v>2.4E-2</v>
      </c>
      <c r="O577" s="4">
        <f t="shared" si="8"/>
        <v>2.4E-2</v>
      </c>
      <c r="P577" s="11">
        <v>149338</v>
      </c>
      <c r="Q577" s="9">
        <v>3584.11</v>
      </c>
      <c r="R577" s="9">
        <v>145753.89000000001</v>
      </c>
      <c r="S577">
        <v>4</v>
      </c>
      <c r="T577">
        <v>182</v>
      </c>
      <c r="U577">
        <v>4.8</v>
      </c>
      <c r="V577">
        <v>10</v>
      </c>
      <c r="W577">
        <f>IF('Cleaned Data'!V577&lt;0,"Review",'Cleaned Data'!V577)</f>
        <v>10</v>
      </c>
      <c r="X577">
        <v>3</v>
      </c>
      <c r="Y577" s="7">
        <f>IFERROR('Cleaned Data'!R577/'Cleaned Data'!L577,0)</f>
        <v>145753.89000000001</v>
      </c>
      <c r="Z577" t="str">
        <f>TEXT(EV_Sales[[#This Row],[Order_Date]],"mmm-yyyy")</f>
        <v>Apr-2025</v>
      </c>
      <c r="AA577">
        <f>MONTH(EV_Sales[[#This Row],[Order_Date]])</f>
        <v>4</v>
      </c>
      <c r="AB577" s="12" t="str">
        <f>"Q"&amp;ROUNDUP(MONTH(EV_Sales[[#This Row],[Order_Date]])/3,0)</f>
        <v>Q2</v>
      </c>
    </row>
    <row r="578" spans="1:28" x14ac:dyDescent="0.3">
      <c r="A578" t="s">
        <v>684</v>
      </c>
      <c r="B578" s="2">
        <v>45864</v>
      </c>
      <c r="C578" t="s">
        <v>31</v>
      </c>
      <c r="D578" t="s">
        <v>97</v>
      </c>
      <c r="E578" t="s">
        <v>46</v>
      </c>
      <c r="F578" t="s">
        <v>25</v>
      </c>
      <c r="G578" t="s">
        <v>67</v>
      </c>
      <c r="H578" t="s">
        <v>53</v>
      </c>
      <c r="I578" t="str">
        <f>IF('Cleaned Data'!H578="Emi","EMI",'Cleaned Data'!H578)</f>
        <v>Cash</v>
      </c>
      <c r="J578" t="s">
        <v>63</v>
      </c>
      <c r="K578" t="s">
        <v>72</v>
      </c>
      <c r="L578">
        <v>3</v>
      </c>
      <c r="M578" s="9">
        <v>125377</v>
      </c>
      <c r="N578" s="4">
        <v>5.1999999999999998E-2</v>
      </c>
      <c r="O578" s="4">
        <f t="shared" ref="O578:O641" si="9">IF(TRIM(N578&amp;"")="","missing",N578)</f>
        <v>5.1999999999999998E-2</v>
      </c>
      <c r="P578" s="11">
        <v>376131</v>
      </c>
      <c r="Q578" s="9">
        <v>19558.810000000001</v>
      </c>
      <c r="R578" s="9">
        <v>356572.19</v>
      </c>
      <c r="S578">
        <v>5</v>
      </c>
      <c r="T578">
        <v>200</v>
      </c>
      <c r="U578">
        <v>4.2</v>
      </c>
      <c r="V578">
        <v>11</v>
      </c>
      <c r="W578">
        <f>IF('Cleaned Data'!V578&lt;0,"Review",'Cleaned Data'!V578)</f>
        <v>11</v>
      </c>
      <c r="X578">
        <v>5</v>
      </c>
      <c r="Y578" s="7">
        <f>IFERROR('Cleaned Data'!R578/'Cleaned Data'!L578,0)</f>
        <v>118857.39666666667</v>
      </c>
      <c r="Z578" t="str">
        <f>TEXT(EV_Sales[[#This Row],[Order_Date]],"mmm-yyyy")</f>
        <v>Jul-2025</v>
      </c>
      <c r="AA578">
        <f>MONTH(EV_Sales[[#This Row],[Order_Date]])</f>
        <v>7</v>
      </c>
      <c r="AB578" s="12" t="str">
        <f>"Q"&amp;ROUNDUP(MONTH(EV_Sales[[#This Row],[Order_Date]])/3,0)</f>
        <v>Q3</v>
      </c>
    </row>
    <row r="579" spans="1:28" x14ac:dyDescent="0.3">
      <c r="A579" t="s">
        <v>685</v>
      </c>
      <c r="B579" s="2">
        <v>45820</v>
      </c>
      <c r="C579" t="s">
        <v>22</v>
      </c>
      <c r="D579" t="s">
        <v>23</v>
      </c>
      <c r="E579" t="s">
        <v>46</v>
      </c>
      <c r="F579" t="s">
        <v>101</v>
      </c>
      <c r="G579" t="s">
        <v>34</v>
      </c>
      <c r="H579" t="s">
        <v>53</v>
      </c>
      <c r="I579" t="str">
        <f>IF('Cleaned Data'!H579="Emi","EMI",'Cleaned Data'!H579)</f>
        <v>Cash</v>
      </c>
      <c r="J579" t="s">
        <v>63</v>
      </c>
      <c r="K579" t="s">
        <v>72</v>
      </c>
      <c r="L579">
        <v>2</v>
      </c>
      <c r="M579" s="9">
        <v>125225</v>
      </c>
      <c r="N579" s="4">
        <v>7.0000000000000007E-2</v>
      </c>
      <c r="O579" s="4">
        <f t="shared" si="9"/>
        <v>7.0000000000000007E-2</v>
      </c>
      <c r="P579" s="11">
        <v>250450</v>
      </c>
      <c r="Q579" s="9">
        <v>17531.5</v>
      </c>
      <c r="R579" s="9">
        <v>232918.5</v>
      </c>
      <c r="S579">
        <v>3</v>
      </c>
      <c r="T579">
        <v>168</v>
      </c>
      <c r="U579">
        <v>3.6</v>
      </c>
      <c r="V579">
        <v>9</v>
      </c>
      <c r="W579">
        <f>IF('Cleaned Data'!V579&lt;0,"Review",'Cleaned Data'!V579)</f>
        <v>9</v>
      </c>
      <c r="X579">
        <v>2</v>
      </c>
      <c r="Y579" s="7">
        <f>IFERROR('Cleaned Data'!R579/'Cleaned Data'!L579,0)</f>
        <v>116459.25</v>
      </c>
      <c r="Z579" t="str">
        <f>TEXT(EV_Sales[[#This Row],[Order_Date]],"mmm-yyyy")</f>
        <v>Jun-2025</v>
      </c>
      <c r="AA579">
        <f>MONTH(EV_Sales[[#This Row],[Order_Date]])</f>
        <v>6</v>
      </c>
      <c r="AB579" s="12" t="str">
        <f>"Q"&amp;ROUNDUP(MONTH(EV_Sales[[#This Row],[Order_Date]])/3,0)</f>
        <v>Q2</v>
      </c>
    </row>
    <row r="580" spans="1:28" x14ac:dyDescent="0.3">
      <c r="A580" t="s">
        <v>686</v>
      </c>
      <c r="B580" s="2">
        <v>45800</v>
      </c>
      <c r="C580" t="s">
        <v>44</v>
      </c>
      <c r="D580" t="s">
        <v>45</v>
      </c>
      <c r="E580" t="s">
        <v>24</v>
      </c>
      <c r="F580" t="s">
        <v>66</v>
      </c>
      <c r="G580" t="s">
        <v>26</v>
      </c>
      <c r="H580" t="s">
        <v>809</v>
      </c>
      <c r="I580" t="str">
        <f>IF('Cleaned Data'!H580="Emi","EMI",'Cleaned Data'!H580)</f>
        <v>EMI</v>
      </c>
      <c r="J580" t="s">
        <v>36</v>
      </c>
      <c r="K580" t="s">
        <v>123</v>
      </c>
      <c r="L580">
        <v>1</v>
      </c>
      <c r="M580" s="9">
        <v>150700</v>
      </c>
      <c r="N580" s="4">
        <v>0.104</v>
      </c>
      <c r="O580" s="4">
        <f t="shared" si="9"/>
        <v>0.104</v>
      </c>
      <c r="P580" s="11">
        <v>150700</v>
      </c>
      <c r="Q580" s="9">
        <v>15672.8</v>
      </c>
      <c r="R580" s="9">
        <v>135027.20000000001</v>
      </c>
      <c r="S580">
        <v>5</v>
      </c>
      <c r="T580">
        <v>210</v>
      </c>
      <c r="U580">
        <v>3.6</v>
      </c>
      <c r="V580">
        <v>6</v>
      </c>
      <c r="W580">
        <f>IF('Cleaned Data'!V580&lt;0,"Review",'Cleaned Data'!V580)</f>
        <v>6</v>
      </c>
      <c r="X580">
        <v>2</v>
      </c>
      <c r="Y580" s="7">
        <f>IFERROR('Cleaned Data'!R580/'Cleaned Data'!L580,0)</f>
        <v>135027.20000000001</v>
      </c>
      <c r="Z580" t="str">
        <f>TEXT(EV_Sales[[#This Row],[Order_Date]],"mmm-yyyy")</f>
        <v>May-2025</v>
      </c>
      <c r="AA580">
        <f>MONTH(EV_Sales[[#This Row],[Order_Date]])</f>
        <v>5</v>
      </c>
      <c r="AB580" s="12" t="str">
        <f>"Q"&amp;ROUNDUP(MONTH(EV_Sales[[#This Row],[Order_Date]])/3,0)</f>
        <v>Q2</v>
      </c>
    </row>
    <row r="581" spans="1:28" x14ac:dyDescent="0.3">
      <c r="A581" t="s">
        <v>687</v>
      </c>
      <c r="B581" s="2">
        <v>45868</v>
      </c>
      <c r="C581" t="s">
        <v>22</v>
      </c>
      <c r="D581" t="s">
        <v>23</v>
      </c>
      <c r="E581" t="s">
        <v>62</v>
      </c>
      <c r="F581" t="s">
        <v>80</v>
      </c>
      <c r="G581" t="s">
        <v>26</v>
      </c>
      <c r="H581" t="s">
        <v>27</v>
      </c>
      <c r="I581" t="str">
        <f>IF('Cleaned Data'!H581="Emi","EMI",'Cleaned Data'!H581)</f>
        <v>Finance</v>
      </c>
      <c r="J581" t="s">
        <v>94</v>
      </c>
      <c r="K581" t="s">
        <v>104</v>
      </c>
      <c r="L581">
        <v>1</v>
      </c>
      <c r="M581" s="9">
        <v>114345</v>
      </c>
      <c r="N581" s="4">
        <v>5.2999999999999999E-2</v>
      </c>
      <c r="O581" s="4">
        <f t="shared" si="9"/>
        <v>5.2999999999999999E-2</v>
      </c>
      <c r="P581" s="11">
        <v>114345</v>
      </c>
      <c r="Q581" s="9">
        <v>6060.28</v>
      </c>
      <c r="R581" s="9">
        <v>108284.72</v>
      </c>
      <c r="S581">
        <v>3</v>
      </c>
      <c r="T581">
        <v>171</v>
      </c>
      <c r="U581">
        <v>3.4</v>
      </c>
      <c r="V581">
        <v>6</v>
      </c>
      <c r="W581">
        <f>IF('Cleaned Data'!V581&lt;0,"Review",'Cleaned Data'!V581)</f>
        <v>6</v>
      </c>
      <c r="X581">
        <v>5</v>
      </c>
      <c r="Y581" s="7">
        <f>IFERROR('Cleaned Data'!R581/'Cleaned Data'!L581,0)</f>
        <v>108284.72</v>
      </c>
      <c r="Z581" t="str">
        <f>TEXT(EV_Sales[[#This Row],[Order_Date]],"mmm-yyyy")</f>
        <v>Jul-2025</v>
      </c>
      <c r="AA581">
        <f>MONTH(EV_Sales[[#This Row],[Order_Date]])</f>
        <v>7</v>
      </c>
      <c r="AB581" s="12" t="str">
        <f>"Q"&amp;ROUNDUP(MONTH(EV_Sales[[#This Row],[Order_Date]])/3,0)</f>
        <v>Q3</v>
      </c>
    </row>
    <row r="582" spans="1:28" x14ac:dyDescent="0.3">
      <c r="A582" t="s">
        <v>688</v>
      </c>
      <c r="B582" s="2">
        <v>45963</v>
      </c>
      <c r="C582" t="s">
        <v>60</v>
      </c>
      <c r="D582" t="s">
        <v>69</v>
      </c>
      <c r="E582" t="s">
        <v>24</v>
      </c>
      <c r="F582" t="s">
        <v>41</v>
      </c>
      <c r="G582" t="s">
        <v>56</v>
      </c>
      <c r="H582" t="s">
        <v>53</v>
      </c>
      <c r="I582" t="str">
        <f>IF('Cleaned Data'!H582="Emi","EMI",'Cleaned Data'!H582)</f>
        <v>Cash</v>
      </c>
      <c r="J582" t="s">
        <v>48</v>
      </c>
      <c r="K582" t="s">
        <v>29</v>
      </c>
      <c r="L582">
        <v>1</v>
      </c>
      <c r="M582" s="9">
        <v>101307</v>
      </c>
      <c r="N582" s="4">
        <v>3.1E-2</v>
      </c>
      <c r="O582" s="4">
        <f t="shared" si="9"/>
        <v>3.1E-2</v>
      </c>
      <c r="P582" s="11">
        <v>101307</v>
      </c>
      <c r="Q582" s="9">
        <v>3140.52</v>
      </c>
      <c r="R582" s="9">
        <v>98166.48</v>
      </c>
      <c r="S582">
        <v>4</v>
      </c>
      <c r="T582">
        <v>202</v>
      </c>
      <c r="U582">
        <v>3.8</v>
      </c>
      <c r="V582">
        <v>4</v>
      </c>
      <c r="W582">
        <f>IF('Cleaned Data'!V582&lt;0,"Review",'Cleaned Data'!V582)</f>
        <v>4</v>
      </c>
      <c r="X582">
        <v>5</v>
      </c>
      <c r="Y582" s="7">
        <f>IFERROR('Cleaned Data'!R582/'Cleaned Data'!L582,0)</f>
        <v>98166.48</v>
      </c>
      <c r="Z582" t="str">
        <f>TEXT(EV_Sales[[#This Row],[Order_Date]],"mmm-yyyy")</f>
        <v>Nov-2025</v>
      </c>
      <c r="AA582">
        <f>MONTH(EV_Sales[[#This Row],[Order_Date]])</f>
        <v>11</v>
      </c>
      <c r="AB582" s="12" t="str">
        <f>"Q"&amp;ROUNDUP(MONTH(EV_Sales[[#This Row],[Order_Date]])/3,0)</f>
        <v>Q4</v>
      </c>
    </row>
    <row r="583" spans="1:28" x14ac:dyDescent="0.3">
      <c r="A583" t="s">
        <v>689</v>
      </c>
      <c r="B583" s="2">
        <v>45983</v>
      </c>
      <c r="C583" t="s">
        <v>31</v>
      </c>
      <c r="D583" t="s">
        <v>97</v>
      </c>
      <c r="E583" t="s">
        <v>62</v>
      </c>
      <c r="F583" t="s">
        <v>52</v>
      </c>
      <c r="G583" t="s">
        <v>56</v>
      </c>
      <c r="H583" t="s">
        <v>27</v>
      </c>
      <c r="I583" t="str">
        <f>IF('Cleaned Data'!H583="Emi","EMI",'Cleaned Data'!H583)</f>
        <v>Finance</v>
      </c>
      <c r="J583" t="s">
        <v>57</v>
      </c>
      <c r="K583" t="s">
        <v>29</v>
      </c>
      <c r="L583">
        <v>2</v>
      </c>
      <c r="M583" s="9">
        <v>131599</v>
      </c>
      <c r="N583" s="4">
        <v>9.2999999999999999E-2</v>
      </c>
      <c r="O583" s="4">
        <f t="shared" si="9"/>
        <v>9.2999999999999999E-2</v>
      </c>
      <c r="P583" s="11">
        <v>263198</v>
      </c>
      <c r="Q583" s="9">
        <v>24477.41</v>
      </c>
      <c r="R583" s="9">
        <v>238720.59</v>
      </c>
      <c r="S583">
        <v>4</v>
      </c>
      <c r="T583">
        <v>187</v>
      </c>
      <c r="U583">
        <v>3.7</v>
      </c>
      <c r="V583">
        <v>9</v>
      </c>
      <c r="W583">
        <f>IF('Cleaned Data'!V583&lt;0,"Review",'Cleaned Data'!V583)</f>
        <v>9</v>
      </c>
      <c r="X583">
        <v>3</v>
      </c>
      <c r="Y583" s="7">
        <f>IFERROR('Cleaned Data'!R583/'Cleaned Data'!L583,0)</f>
        <v>119360.295</v>
      </c>
      <c r="Z583" t="str">
        <f>TEXT(EV_Sales[[#This Row],[Order_Date]],"mmm-yyyy")</f>
        <v>Nov-2025</v>
      </c>
      <c r="AA583">
        <f>MONTH(EV_Sales[[#This Row],[Order_Date]])</f>
        <v>11</v>
      </c>
      <c r="AB583" s="12" t="str">
        <f>"Q"&amp;ROUNDUP(MONTH(EV_Sales[[#This Row],[Order_Date]])/3,0)</f>
        <v>Q4</v>
      </c>
    </row>
    <row r="584" spans="1:28" x14ac:dyDescent="0.3">
      <c r="A584" t="s">
        <v>690</v>
      </c>
      <c r="B584" s="2">
        <v>45723</v>
      </c>
      <c r="C584" t="s">
        <v>76</v>
      </c>
      <c r="D584" t="s">
        <v>77</v>
      </c>
      <c r="E584" t="s">
        <v>24</v>
      </c>
      <c r="F584" t="s">
        <v>80</v>
      </c>
      <c r="G584" t="s">
        <v>67</v>
      </c>
      <c r="H584" t="s">
        <v>53</v>
      </c>
      <c r="I584" t="str">
        <f>IF('Cleaned Data'!H584="Emi","EMI",'Cleaned Data'!H584)</f>
        <v>Cash</v>
      </c>
      <c r="J584" t="s">
        <v>48</v>
      </c>
      <c r="K584" t="s">
        <v>216</v>
      </c>
      <c r="L584">
        <v>4</v>
      </c>
      <c r="M584" s="9">
        <v>138911</v>
      </c>
      <c r="N584" s="4">
        <v>6.5000000000000002E-2</v>
      </c>
      <c r="O584" s="4">
        <f t="shared" si="9"/>
        <v>6.5000000000000002E-2</v>
      </c>
      <c r="P584" s="11">
        <v>555644</v>
      </c>
      <c r="Q584" s="9">
        <v>36116.86</v>
      </c>
      <c r="R584" s="9">
        <v>519527.14</v>
      </c>
      <c r="S584">
        <v>4</v>
      </c>
      <c r="T584">
        <v>182</v>
      </c>
      <c r="U584">
        <v>4.5</v>
      </c>
      <c r="V584">
        <v>11</v>
      </c>
      <c r="W584">
        <f>IF('Cleaned Data'!V584&lt;0,"Review",'Cleaned Data'!V584)</f>
        <v>11</v>
      </c>
      <c r="X584">
        <v>2</v>
      </c>
      <c r="Y584" s="7">
        <f>IFERROR('Cleaned Data'!R584/'Cleaned Data'!L584,0)</f>
        <v>129881.785</v>
      </c>
      <c r="Z584" t="str">
        <f>TEXT(EV_Sales[[#This Row],[Order_Date]],"mmm-yyyy")</f>
        <v>Mar-2025</v>
      </c>
      <c r="AA584">
        <f>MONTH(EV_Sales[[#This Row],[Order_Date]])</f>
        <v>3</v>
      </c>
      <c r="AB584" s="12" t="str">
        <f>"Q"&amp;ROUNDUP(MONTH(EV_Sales[[#This Row],[Order_Date]])/3,0)</f>
        <v>Q1</v>
      </c>
    </row>
    <row r="585" spans="1:28" x14ac:dyDescent="0.3">
      <c r="A585" t="s">
        <v>691</v>
      </c>
      <c r="B585" s="2">
        <v>45833</v>
      </c>
      <c r="C585" t="s">
        <v>99</v>
      </c>
      <c r="D585" t="s">
        <v>121</v>
      </c>
      <c r="E585" t="s">
        <v>46</v>
      </c>
      <c r="F585" t="s">
        <v>66</v>
      </c>
      <c r="G585" t="s">
        <v>26</v>
      </c>
      <c r="H585" t="s">
        <v>27</v>
      </c>
      <c r="I585" t="str">
        <f>IF('Cleaned Data'!H585="Emi","EMI",'Cleaned Data'!H585)</f>
        <v>Finance</v>
      </c>
      <c r="J585" t="s">
        <v>94</v>
      </c>
      <c r="K585" t="s">
        <v>109</v>
      </c>
      <c r="L585">
        <v>1</v>
      </c>
      <c r="M585" s="9">
        <v>104455</v>
      </c>
      <c r="N585" s="4">
        <v>9.0999999999999998E-2</v>
      </c>
      <c r="O585" s="4">
        <f t="shared" si="9"/>
        <v>9.0999999999999998E-2</v>
      </c>
      <c r="P585" s="11">
        <v>104455</v>
      </c>
      <c r="Q585" s="9">
        <v>9505.4</v>
      </c>
      <c r="R585" s="9">
        <v>94949.6</v>
      </c>
      <c r="S585">
        <v>4</v>
      </c>
      <c r="T585">
        <v>164</v>
      </c>
      <c r="U585">
        <v>4.5</v>
      </c>
      <c r="V585">
        <v>8</v>
      </c>
      <c r="W585">
        <f>IF('Cleaned Data'!V585&lt;0,"Review",'Cleaned Data'!V585)</f>
        <v>8</v>
      </c>
      <c r="X585">
        <v>5</v>
      </c>
      <c r="Y585" s="7">
        <f>IFERROR('Cleaned Data'!R585/'Cleaned Data'!L585,0)</f>
        <v>94949.6</v>
      </c>
      <c r="Z585" t="str">
        <f>TEXT(EV_Sales[[#This Row],[Order_Date]],"mmm-yyyy")</f>
        <v>Jun-2025</v>
      </c>
      <c r="AA585">
        <f>MONTH(EV_Sales[[#This Row],[Order_Date]])</f>
        <v>6</v>
      </c>
      <c r="AB585" s="12" t="str">
        <f>"Q"&amp;ROUNDUP(MONTH(EV_Sales[[#This Row],[Order_Date]])/3,0)</f>
        <v>Q2</v>
      </c>
    </row>
    <row r="586" spans="1:28" x14ac:dyDescent="0.3">
      <c r="A586" t="s">
        <v>692</v>
      </c>
      <c r="B586" s="2">
        <v>45705</v>
      </c>
      <c r="C586" t="s">
        <v>76</v>
      </c>
      <c r="D586" t="s">
        <v>77</v>
      </c>
      <c r="E586" t="s">
        <v>24</v>
      </c>
      <c r="F586" t="s">
        <v>52</v>
      </c>
      <c r="G586" t="s">
        <v>34</v>
      </c>
      <c r="H586" t="s">
        <v>53</v>
      </c>
      <c r="I586" t="str">
        <f>IF('Cleaned Data'!H586="Emi","EMI",'Cleaned Data'!H586)</f>
        <v>Cash</v>
      </c>
      <c r="J586" t="s">
        <v>36</v>
      </c>
      <c r="K586" t="s">
        <v>54</v>
      </c>
      <c r="L586">
        <v>4</v>
      </c>
      <c r="M586" s="9">
        <v>140965</v>
      </c>
      <c r="N586" s="4">
        <v>9.5000000000000001E-2</v>
      </c>
      <c r="O586" s="4">
        <f t="shared" si="9"/>
        <v>9.5000000000000001E-2</v>
      </c>
      <c r="P586" s="11">
        <v>563860</v>
      </c>
      <c r="Q586" s="9">
        <v>53566.7</v>
      </c>
      <c r="R586" s="9">
        <v>510293.3</v>
      </c>
      <c r="S586">
        <v>4</v>
      </c>
      <c r="T586">
        <v>177</v>
      </c>
      <c r="U586">
        <v>4.8</v>
      </c>
      <c r="V586">
        <v>11</v>
      </c>
      <c r="W586">
        <f>IF('Cleaned Data'!V586&lt;0,"Review",'Cleaned Data'!V586)</f>
        <v>11</v>
      </c>
      <c r="X586">
        <v>3</v>
      </c>
      <c r="Y586" s="7">
        <f>IFERROR('Cleaned Data'!R586/'Cleaned Data'!L586,0)</f>
        <v>127573.325</v>
      </c>
      <c r="Z586" t="str">
        <f>TEXT(EV_Sales[[#This Row],[Order_Date]],"mmm-yyyy")</f>
        <v>Feb-2025</v>
      </c>
      <c r="AA586">
        <f>MONTH(EV_Sales[[#This Row],[Order_Date]])</f>
        <v>2</v>
      </c>
      <c r="AB586" s="12" t="str">
        <f>"Q"&amp;ROUNDUP(MONTH(EV_Sales[[#This Row],[Order_Date]])/3,0)</f>
        <v>Q1</v>
      </c>
    </row>
    <row r="587" spans="1:28" x14ac:dyDescent="0.3">
      <c r="A587" t="s">
        <v>693</v>
      </c>
      <c r="B587" s="2">
        <v>45664</v>
      </c>
      <c r="C587" t="s">
        <v>22</v>
      </c>
      <c r="D587" t="s">
        <v>23</v>
      </c>
      <c r="E587" t="s">
        <v>24</v>
      </c>
      <c r="F587" t="s">
        <v>33</v>
      </c>
      <c r="G587" t="s">
        <v>56</v>
      </c>
      <c r="H587" t="s">
        <v>53</v>
      </c>
      <c r="I587" t="str">
        <f>IF('Cleaned Data'!H587="Emi","EMI",'Cleaned Data'!H587)</f>
        <v>Cash</v>
      </c>
      <c r="J587" t="s">
        <v>63</v>
      </c>
      <c r="K587" t="s">
        <v>54</v>
      </c>
      <c r="L587">
        <v>1</v>
      </c>
      <c r="M587" s="9">
        <v>118544</v>
      </c>
      <c r="N587" s="4">
        <v>0.112</v>
      </c>
      <c r="O587" s="4">
        <f t="shared" si="9"/>
        <v>0.112</v>
      </c>
      <c r="P587" s="11">
        <v>118544</v>
      </c>
      <c r="Q587" s="9">
        <v>13276.93</v>
      </c>
      <c r="R587" s="9">
        <v>105267.07</v>
      </c>
      <c r="S587">
        <v>2</v>
      </c>
      <c r="T587">
        <v>161</v>
      </c>
      <c r="U587">
        <v>5</v>
      </c>
      <c r="V587">
        <v>13</v>
      </c>
      <c r="W587">
        <f>IF('Cleaned Data'!V587&lt;0,"Review",'Cleaned Data'!V587)</f>
        <v>13</v>
      </c>
      <c r="X587">
        <v>2</v>
      </c>
      <c r="Y587" s="7">
        <f>IFERROR('Cleaned Data'!R587/'Cleaned Data'!L587,0)</f>
        <v>105267.07</v>
      </c>
      <c r="Z587" t="str">
        <f>TEXT(EV_Sales[[#This Row],[Order_Date]],"mmm-yyyy")</f>
        <v>Jan-2025</v>
      </c>
      <c r="AA587">
        <f>MONTH(EV_Sales[[#This Row],[Order_Date]])</f>
        <v>1</v>
      </c>
      <c r="AB587" s="12" t="str">
        <f>"Q"&amp;ROUNDUP(MONTH(EV_Sales[[#This Row],[Order_Date]])/3,0)</f>
        <v>Q1</v>
      </c>
    </row>
    <row r="588" spans="1:28" x14ac:dyDescent="0.3">
      <c r="A588" t="s">
        <v>694</v>
      </c>
      <c r="B588" s="2">
        <v>45970</v>
      </c>
      <c r="C588" t="s">
        <v>87</v>
      </c>
      <c r="D588" t="s">
        <v>88</v>
      </c>
      <c r="E588" t="s">
        <v>62</v>
      </c>
      <c r="F588" t="s">
        <v>101</v>
      </c>
      <c r="G588" t="s">
        <v>67</v>
      </c>
      <c r="H588" t="s">
        <v>809</v>
      </c>
      <c r="I588" t="str">
        <f>IF('Cleaned Data'!H588="Emi","EMI",'Cleaned Data'!H588)</f>
        <v>EMI</v>
      </c>
      <c r="J588" t="s">
        <v>57</v>
      </c>
      <c r="K588" t="s">
        <v>123</v>
      </c>
      <c r="L588">
        <v>1</v>
      </c>
      <c r="M588" s="9">
        <v>146532</v>
      </c>
      <c r="N588" s="4">
        <v>2.4E-2</v>
      </c>
      <c r="O588" s="4">
        <f t="shared" si="9"/>
        <v>2.4E-2</v>
      </c>
      <c r="P588" s="11">
        <v>146532</v>
      </c>
      <c r="Q588" s="9">
        <v>3516.77</v>
      </c>
      <c r="R588" s="9">
        <v>143015.23000000001</v>
      </c>
      <c r="S588">
        <v>3</v>
      </c>
      <c r="T588">
        <v>172</v>
      </c>
      <c r="U588">
        <v>4.3</v>
      </c>
      <c r="V588">
        <v>13</v>
      </c>
      <c r="W588">
        <f>IF('Cleaned Data'!V588&lt;0,"Review",'Cleaned Data'!V588)</f>
        <v>13</v>
      </c>
      <c r="X588">
        <v>5</v>
      </c>
      <c r="Y588" s="7">
        <f>IFERROR('Cleaned Data'!R588/'Cleaned Data'!L588,0)</f>
        <v>143015.23000000001</v>
      </c>
      <c r="Z588" t="str">
        <f>TEXT(EV_Sales[[#This Row],[Order_Date]],"mmm-yyyy")</f>
        <v>Nov-2025</v>
      </c>
      <c r="AA588">
        <f>MONTH(EV_Sales[[#This Row],[Order_Date]])</f>
        <v>11</v>
      </c>
      <c r="AB588" s="12" t="str">
        <f>"Q"&amp;ROUNDUP(MONTH(EV_Sales[[#This Row],[Order_Date]])/3,0)</f>
        <v>Q4</v>
      </c>
    </row>
    <row r="589" spans="1:28" x14ac:dyDescent="0.3">
      <c r="A589" t="s">
        <v>695</v>
      </c>
      <c r="B589" s="2">
        <v>45882</v>
      </c>
      <c r="C589" t="s">
        <v>44</v>
      </c>
      <c r="D589" t="s">
        <v>51</v>
      </c>
      <c r="E589" t="s">
        <v>24</v>
      </c>
      <c r="F589" t="s">
        <v>66</v>
      </c>
      <c r="G589" t="s">
        <v>56</v>
      </c>
      <c r="H589" t="s">
        <v>27</v>
      </c>
      <c r="I589" t="str">
        <f>IF('Cleaned Data'!H589="Emi","EMI",'Cleaned Data'!H589)</f>
        <v>Finance</v>
      </c>
      <c r="J589" t="s">
        <v>28</v>
      </c>
      <c r="K589" t="s">
        <v>95</v>
      </c>
      <c r="L589">
        <v>1</v>
      </c>
      <c r="M589" s="9">
        <v>118890</v>
      </c>
      <c r="N589" s="4">
        <v>7.9000000000000001E-2</v>
      </c>
      <c r="O589" s="4">
        <f t="shared" si="9"/>
        <v>7.9000000000000001E-2</v>
      </c>
      <c r="P589" s="11">
        <v>118890</v>
      </c>
      <c r="Q589" s="9">
        <v>9392.31</v>
      </c>
      <c r="R589" s="9">
        <v>109497.69</v>
      </c>
      <c r="S589">
        <v>4</v>
      </c>
      <c r="T589">
        <v>175</v>
      </c>
      <c r="U589">
        <v>4.2</v>
      </c>
      <c r="V589">
        <v>3</v>
      </c>
      <c r="W589">
        <f>IF('Cleaned Data'!V589&lt;0,"Review",'Cleaned Data'!V589)</f>
        <v>3</v>
      </c>
      <c r="X589">
        <v>2</v>
      </c>
      <c r="Y589" s="7">
        <f>IFERROR('Cleaned Data'!R589/'Cleaned Data'!L589,0)</f>
        <v>109497.69</v>
      </c>
      <c r="Z589" t="str">
        <f>TEXT(EV_Sales[[#This Row],[Order_Date]],"mmm-yyyy")</f>
        <v>Aug-2025</v>
      </c>
      <c r="AA589">
        <f>MONTH(EV_Sales[[#This Row],[Order_Date]])</f>
        <v>8</v>
      </c>
      <c r="AB589" s="12" t="str">
        <f>"Q"&amp;ROUNDUP(MONTH(EV_Sales[[#This Row],[Order_Date]])/3,0)</f>
        <v>Q3</v>
      </c>
    </row>
    <row r="590" spans="1:28" x14ac:dyDescent="0.3">
      <c r="A590" t="s">
        <v>696</v>
      </c>
      <c r="B590" s="2">
        <v>45733</v>
      </c>
      <c r="C590" t="s">
        <v>39</v>
      </c>
      <c r="D590" t="s">
        <v>154</v>
      </c>
      <c r="E590" t="s">
        <v>24</v>
      </c>
      <c r="F590" t="s">
        <v>25</v>
      </c>
      <c r="G590" t="s">
        <v>56</v>
      </c>
      <c r="H590" t="s">
        <v>809</v>
      </c>
      <c r="I590" t="str">
        <f>IF('Cleaned Data'!H590="Emi","EMI",'Cleaned Data'!H590)</f>
        <v>EMI</v>
      </c>
      <c r="J590" t="s">
        <v>57</v>
      </c>
      <c r="K590" t="s">
        <v>72</v>
      </c>
      <c r="L590">
        <v>5</v>
      </c>
      <c r="M590" s="9">
        <v>177665</v>
      </c>
      <c r="N590" s="4">
        <v>7.5999999999999998E-2</v>
      </c>
      <c r="O590" s="4">
        <f t="shared" si="9"/>
        <v>7.5999999999999998E-2</v>
      </c>
      <c r="P590" s="11">
        <v>888325</v>
      </c>
      <c r="Q590" s="9">
        <v>67512.7</v>
      </c>
      <c r="R590" s="9">
        <v>820812.3</v>
      </c>
      <c r="S590">
        <v>2</v>
      </c>
      <c r="T590">
        <v>141</v>
      </c>
      <c r="U590">
        <v>3.5</v>
      </c>
      <c r="V590">
        <v>5</v>
      </c>
      <c r="W590">
        <f>IF('Cleaned Data'!V590&lt;0,"Review",'Cleaned Data'!V590)</f>
        <v>5</v>
      </c>
      <c r="X590">
        <v>3</v>
      </c>
      <c r="Y590" s="7">
        <f>IFERROR('Cleaned Data'!R590/'Cleaned Data'!L590,0)</f>
        <v>164162.46000000002</v>
      </c>
      <c r="Z590" t="str">
        <f>TEXT(EV_Sales[[#This Row],[Order_Date]],"mmm-yyyy")</f>
        <v>Mar-2025</v>
      </c>
      <c r="AA590">
        <f>MONTH(EV_Sales[[#This Row],[Order_Date]])</f>
        <v>3</v>
      </c>
      <c r="AB590" s="12" t="str">
        <f>"Q"&amp;ROUNDUP(MONTH(EV_Sales[[#This Row],[Order_Date]])/3,0)</f>
        <v>Q1</v>
      </c>
    </row>
    <row r="591" spans="1:28" x14ac:dyDescent="0.3">
      <c r="A591" t="s">
        <v>697</v>
      </c>
      <c r="B591" s="2">
        <v>45719</v>
      </c>
      <c r="C591" t="s">
        <v>60</v>
      </c>
      <c r="D591" t="s">
        <v>61</v>
      </c>
      <c r="E591" t="s">
        <v>46</v>
      </c>
      <c r="F591" t="s">
        <v>33</v>
      </c>
      <c r="G591" t="s">
        <v>26</v>
      </c>
      <c r="H591" t="s">
        <v>27</v>
      </c>
      <c r="I591" t="str">
        <f>IF('Cleaned Data'!H591="Emi","EMI",'Cleaned Data'!H591)</f>
        <v>Finance</v>
      </c>
      <c r="J591" t="s">
        <v>94</v>
      </c>
      <c r="K591" t="s">
        <v>203</v>
      </c>
      <c r="L591">
        <v>3</v>
      </c>
      <c r="M591" s="9">
        <v>115684</v>
      </c>
      <c r="N591" s="4">
        <v>6.0999999999999999E-2</v>
      </c>
      <c r="O591" s="4">
        <f t="shared" si="9"/>
        <v>6.0999999999999999E-2</v>
      </c>
      <c r="P591" s="11">
        <v>347052</v>
      </c>
      <c r="Q591" s="9">
        <v>21170.17</v>
      </c>
      <c r="R591" s="9">
        <v>325881.83</v>
      </c>
      <c r="S591">
        <v>3</v>
      </c>
      <c r="T591">
        <v>156</v>
      </c>
      <c r="U591">
        <v>4.3</v>
      </c>
      <c r="V591">
        <v>9</v>
      </c>
      <c r="W591">
        <f>IF('Cleaned Data'!V591&lt;0,"Review",'Cleaned Data'!V591)</f>
        <v>9</v>
      </c>
      <c r="X591">
        <v>5</v>
      </c>
      <c r="Y591" s="7">
        <f>IFERROR('Cleaned Data'!R591/'Cleaned Data'!L591,0)</f>
        <v>108627.27666666667</v>
      </c>
      <c r="Z591" t="str">
        <f>TEXT(EV_Sales[[#This Row],[Order_Date]],"mmm-yyyy")</f>
        <v>Mar-2025</v>
      </c>
      <c r="AA591">
        <f>MONTH(EV_Sales[[#This Row],[Order_Date]])</f>
        <v>3</v>
      </c>
      <c r="AB591" s="12" t="str">
        <f>"Q"&amp;ROUNDUP(MONTH(EV_Sales[[#This Row],[Order_Date]])/3,0)</f>
        <v>Q1</v>
      </c>
    </row>
    <row r="592" spans="1:28" x14ac:dyDescent="0.3">
      <c r="A592" t="s">
        <v>698</v>
      </c>
      <c r="B592" s="2">
        <v>45955</v>
      </c>
      <c r="C592" t="s">
        <v>76</v>
      </c>
      <c r="D592" t="s">
        <v>115</v>
      </c>
      <c r="E592" t="s">
        <v>62</v>
      </c>
      <c r="F592" t="s">
        <v>66</v>
      </c>
      <c r="G592" t="s">
        <v>26</v>
      </c>
      <c r="H592" t="s">
        <v>809</v>
      </c>
      <c r="I592" t="str">
        <f>IF('Cleaned Data'!H592="Emi","EMI",'Cleaned Data'!H592)</f>
        <v>EMI</v>
      </c>
      <c r="J592" t="s">
        <v>48</v>
      </c>
      <c r="K592" t="s">
        <v>104</v>
      </c>
      <c r="L592">
        <v>2</v>
      </c>
      <c r="M592" s="9">
        <v>136582</v>
      </c>
      <c r="N592" s="4">
        <v>0.05</v>
      </c>
      <c r="O592" s="4">
        <f t="shared" si="9"/>
        <v>0.05</v>
      </c>
      <c r="P592" s="11">
        <v>273164</v>
      </c>
      <c r="Q592" s="9">
        <v>13658.2</v>
      </c>
      <c r="R592" s="9">
        <v>259505.8</v>
      </c>
      <c r="S592">
        <v>3</v>
      </c>
      <c r="T592">
        <v>142</v>
      </c>
      <c r="U592">
        <v>3.4</v>
      </c>
      <c r="V592">
        <v>14</v>
      </c>
      <c r="W592">
        <f>IF('Cleaned Data'!V592&lt;0,"Review",'Cleaned Data'!V592)</f>
        <v>14</v>
      </c>
      <c r="X592">
        <v>2</v>
      </c>
      <c r="Y592" s="7">
        <f>IFERROR('Cleaned Data'!R592/'Cleaned Data'!L592,0)</f>
        <v>129752.9</v>
      </c>
      <c r="Z592" t="str">
        <f>TEXT(EV_Sales[[#This Row],[Order_Date]],"mmm-yyyy")</f>
        <v>Oct-2025</v>
      </c>
      <c r="AA592">
        <f>MONTH(EV_Sales[[#This Row],[Order_Date]])</f>
        <v>10</v>
      </c>
      <c r="AB592" s="12" t="str">
        <f>"Q"&amp;ROUNDUP(MONTH(EV_Sales[[#This Row],[Order_Date]])/3,0)</f>
        <v>Q4</v>
      </c>
    </row>
    <row r="593" spans="1:28" x14ac:dyDescent="0.3">
      <c r="A593" t="s">
        <v>699</v>
      </c>
      <c r="B593" s="2">
        <v>45842</v>
      </c>
      <c r="C593" t="s">
        <v>31</v>
      </c>
      <c r="D593" t="s">
        <v>32</v>
      </c>
      <c r="E593" t="s">
        <v>46</v>
      </c>
      <c r="F593" t="s">
        <v>41</v>
      </c>
      <c r="G593" t="s">
        <v>26</v>
      </c>
      <c r="H593" t="s">
        <v>27</v>
      </c>
      <c r="I593" t="str">
        <f>IF('Cleaned Data'!H593="Emi","EMI",'Cleaned Data'!H593)</f>
        <v>Finance</v>
      </c>
      <c r="J593" t="s">
        <v>48</v>
      </c>
      <c r="K593" t="s">
        <v>138</v>
      </c>
      <c r="L593">
        <v>1</v>
      </c>
      <c r="M593" s="9">
        <v>118386</v>
      </c>
      <c r="N593" s="4">
        <v>3.9E-2</v>
      </c>
      <c r="O593" s="4">
        <f t="shared" si="9"/>
        <v>3.9E-2</v>
      </c>
      <c r="P593" s="11">
        <v>118386</v>
      </c>
      <c r="Q593" s="9">
        <v>4617.05</v>
      </c>
      <c r="R593" s="9">
        <v>113768.95</v>
      </c>
      <c r="S593">
        <v>3</v>
      </c>
      <c r="T593">
        <v>191</v>
      </c>
      <c r="U593">
        <v>4.9000000000000004</v>
      </c>
      <c r="V593">
        <v>3</v>
      </c>
      <c r="W593">
        <f>IF('Cleaned Data'!V593&lt;0,"Review",'Cleaned Data'!V593)</f>
        <v>3</v>
      </c>
      <c r="X593">
        <v>3</v>
      </c>
      <c r="Y593" s="7">
        <f>IFERROR('Cleaned Data'!R593/'Cleaned Data'!L593,0)</f>
        <v>113768.95</v>
      </c>
      <c r="Z593" t="str">
        <f>TEXT(EV_Sales[[#This Row],[Order_Date]],"mmm-yyyy")</f>
        <v>Jul-2025</v>
      </c>
      <c r="AA593">
        <f>MONTH(EV_Sales[[#This Row],[Order_Date]])</f>
        <v>7</v>
      </c>
      <c r="AB593" s="12" t="str">
        <f>"Q"&amp;ROUNDUP(MONTH(EV_Sales[[#This Row],[Order_Date]])/3,0)</f>
        <v>Q3</v>
      </c>
    </row>
    <row r="594" spans="1:28" x14ac:dyDescent="0.3">
      <c r="A594" t="s">
        <v>700</v>
      </c>
      <c r="B594" s="2">
        <v>45873</v>
      </c>
      <c r="C594" t="s">
        <v>99</v>
      </c>
      <c r="D594" t="s">
        <v>141</v>
      </c>
      <c r="E594" t="s">
        <v>62</v>
      </c>
      <c r="F594" t="s">
        <v>66</v>
      </c>
      <c r="G594" t="s">
        <v>56</v>
      </c>
      <c r="H594" t="s">
        <v>53</v>
      </c>
      <c r="I594" t="str">
        <f>IF('Cleaned Data'!H594="Emi","EMI",'Cleaned Data'!H594)</f>
        <v>Cash</v>
      </c>
      <c r="J594" t="s">
        <v>28</v>
      </c>
      <c r="K594" t="s">
        <v>72</v>
      </c>
      <c r="L594">
        <v>4</v>
      </c>
      <c r="M594" s="9">
        <v>133651</v>
      </c>
      <c r="N594" s="4">
        <v>0.10199999999999999</v>
      </c>
      <c r="O594" s="4">
        <f t="shared" si="9"/>
        <v>0.10199999999999999</v>
      </c>
      <c r="P594" s="11">
        <v>534604</v>
      </c>
      <c r="Q594" s="9">
        <v>54529.61</v>
      </c>
      <c r="R594" s="9">
        <v>480074.39</v>
      </c>
      <c r="S594">
        <v>3</v>
      </c>
      <c r="T594">
        <v>144</v>
      </c>
      <c r="U594">
        <v>3.7</v>
      </c>
      <c r="V594">
        <v>2</v>
      </c>
      <c r="W594">
        <f>IF('Cleaned Data'!V594&lt;0,"Review",'Cleaned Data'!V594)</f>
        <v>2</v>
      </c>
      <c r="X594">
        <v>2</v>
      </c>
      <c r="Y594" s="7">
        <f>IFERROR('Cleaned Data'!R594/'Cleaned Data'!L594,0)</f>
        <v>120018.5975</v>
      </c>
      <c r="Z594" t="str">
        <f>TEXT(EV_Sales[[#This Row],[Order_Date]],"mmm-yyyy")</f>
        <v>Aug-2025</v>
      </c>
      <c r="AA594">
        <f>MONTH(EV_Sales[[#This Row],[Order_Date]])</f>
        <v>8</v>
      </c>
      <c r="AB594" s="12" t="str">
        <f>"Q"&amp;ROUNDUP(MONTH(EV_Sales[[#This Row],[Order_Date]])/3,0)</f>
        <v>Q3</v>
      </c>
    </row>
    <row r="595" spans="1:28" x14ac:dyDescent="0.3">
      <c r="A595" t="s">
        <v>701</v>
      </c>
      <c r="B595" s="2">
        <v>46015</v>
      </c>
      <c r="C595" t="s">
        <v>44</v>
      </c>
      <c r="D595" t="s">
        <v>45</v>
      </c>
      <c r="E595" t="s">
        <v>46</v>
      </c>
      <c r="F595" t="s">
        <v>33</v>
      </c>
      <c r="G595" t="s">
        <v>67</v>
      </c>
      <c r="H595" t="s">
        <v>53</v>
      </c>
      <c r="I595" t="str">
        <f>IF('Cleaned Data'!H595="Emi","EMI",'Cleaned Data'!H595)</f>
        <v>Cash</v>
      </c>
      <c r="J595" t="s">
        <v>36</v>
      </c>
      <c r="K595" t="s">
        <v>143</v>
      </c>
      <c r="L595">
        <v>1</v>
      </c>
      <c r="M595" s="9">
        <v>146411</v>
      </c>
      <c r="N595" s="4">
        <v>0.108</v>
      </c>
      <c r="O595" s="4">
        <f t="shared" si="9"/>
        <v>0.108</v>
      </c>
      <c r="P595" s="11">
        <v>146411</v>
      </c>
      <c r="Q595" s="9">
        <v>15812.39</v>
      </c>
      <c r="R595" s="9">
        <v>130598.61</v>
      </c>
      <c r="S595">
        <v>4</v>
      </c>
      <c r="T595">
        <v>173</v>
      </c>
      <c r="U595">
        <v>3.7</v>
      </c>
      <c r="V595">
        <v>14</v>
      </c>
      <c r="W595">
        <f>IF('Cleaned Data'!V595&lt;0,"Review",'Cleaned Data'!V595)</f>
        <v>14</v>
      </c>
      <c r="X595">
        <v>5</v>
      </c>
      <c r="Y595" s="7">
        <f>IFERROR('Cleaned Data'!R595/'Cleaned Data'!L595,0)</f>
        <v>130598.61</v>
      </c>
      <c r="Z595" t="str">
        <f>TEXT(EV_Sales[[#This Row],[Order_Date]],"mmm-yyyy")</f>
        <v>Dec-2025</v>
      </c>
      <c r="AA595">
        <f>MONTH(EV_Sales[[#This Row],[Order_Date]])</f>
        <v>12</v>
      </c>
      <c r="AB595" s="12" t="str">
        <f>"Q"&amp;ROUNDUP(MONTH(EV_Sales[[#This Row],[Order_Date]])/3,0)</f>
        <v>Q4</v>
      </c>
    </row>
    <row r="596" spans="1:28" x14ac:dyDescent="0.3">
      <c r="A596" t="s">
        <v>702</v>
      </c>
      <c r="B596" s="2">
        <v>45841</v>
      </c>
      <c r="C596" t="s">
        <v>31</v>
      </c>
      <c r="D596" t="s">
        <v>97</v>
      </c>
      <c r="E596" t="s">
        <v>62</v>
      </c>
      <c r="F596" t="s">
        <v>41</v>
      </c>
      <c r="G596" t="s">
        <v>26</v>
      </c>
      <c r="H596" t="s">
        <v>810</v>
      </c>
      <c r="I596" t="str">
        <f>IF('Cleaned Data'!H596="Emi","EMI",'Cleaned Data'!H596)</f>
        <v xml:space="preserve"> Emi </v>
      </c>
      <c r="J596" t="s">
        <v>36</v>
      </c>
      <c r="K596" t="s">
        <v>109</v>
      </c>
      <c r="L596">
        <v>1</v>
      </c>
      <c r="M596" s="9">
        <v>131982</v>
      </c>
      <c r="N596" s="4">
        <v>2.5000000000000001E-2</v>
      </c>
      <c r="O596" s="4">
        <f t="shared" si="9"/>
        <v>2.5000000000000001E-2</v>
      </c>
      <c r="P596" s="11">
        <v>131982</v>
      </c>
      <c r="Q596" s="9">
        <v>3299.55</v>
      </c>
      <c r="R596" s="9">
        <v>128682.45</v>
      </c>
      <c r="S596">
        <v>2</v>
      </c>
      <c r="T596">
        <v>155</v>
      </c>
      <c r="U596">
        <v>3.6</v>
      </c>
      <c r="V596">
        <v>8</v>
      </c>
      <c r="W596">
        <f>IF('Cleaned Data'!V596&lt;0,"Review",'Cleaned Data'!V596)</f>
        <v>8</v>
      </c>
      <c r="X596">
        <v>2</v>
      </c>
      <c r="Y596" s="7">
        <f>IFERROR('Cleaned Data'!R596/'Cleaned Data'!L596,0)</f>
        <v>128682.45</v>
      </c>
      <c r="Z596" t="str">
        <f>TEXT(EV_Sales[[#This Row],[Order_Date]],"mmm-yyyy")</f>
        <v>Jul-2025</v>
      </c>
      <c r="AA596">
        <f>MONTH(EV_Sales[[#This Row],[Order_Date]])</f>
        <v>7</v>
      </c>
      <c r="AB596" s="12" t="str">
        <f>"Q"&amp;ROUNDUP(MONTH(EV_Sales[[#This Row],[Order_Date]])/3,0)</f>
        <v>Q3</v>
      </c>
    </row>
    <row r="597" spans="1:28" x14ac:dyDescent="0.3">
      <c r="A597" t="s">
        <v>703</v>
      </c>
      <c r="B597" s="2">
        <v>45708</v>
      </c>
      <c r="C597" t="s">
        <v>44</v>
      </c>
      <c r="D597" t="s">
        <v>45</v>
      </c>
      <c r="E597" t="s">
        <v>24</v>
      </c>
      <c r="F597" t="s">
        <v>74</v>
      </c>
      <c r="G597" t="s">
        <v>56</v>
      </c>
      <c r="H597" t="s">
        <v>809</v>
      </c>
      <c r="I597" t="str">
        <f>IF('Cleaned Data'!H597="Emi","EMI",'Cleaned Data'!H597)</f>
        <v>EMI</v>
      </c>
      <c r="J597" t="s">
        <v>94</v>
      </c>
      <c r="K597" t="s">
        <v>104</v>
      </c>
      <c r="L597">
        <v>1</v>
      </c>
      <c r="M597" s="9">
        <v>154302</v>
      </c>
      <c r="N597" s="4">
        <v>3.1E-2</v>
      </c>
      <c r="O597" s="4">
        <f t="shared" si="9"/>
        <v>3.1E-2</v>
      </c>
      <c r="P597" s="11">
        <v>154302</v>
      </c>
      <c r="Q597" s="9">
        <v>4783.3599999999997</v>
      </c>
      <c r="R597" s="9">
        <v>149518.64000000001</v>
      </c>
      <c r="S597">
        <v>4</v>
      </c>
      <c r="T597">
        <v>171</v>
      </c>
      <c r="U597">
        <v>4.5999999999999996</v>
      </c>
      <c r="V597">
        <v>13</v>
      </c>
      <c r="W597">
        <f>IF('Cleaned Data'!V597&lt;0,"Review",'Cleaned Data'!V597)</f>
        <v>13</v>
      </c>
      <c r="X597">
        <v>5</v>
      </c>
      <c r="Y597" s="7">
        <f>IFERROR('Cleaned Data'!R597/'Cleaned Data'!L597,0)</f>
        <v>149518.64000000001</v>
      </c>
      <c r="Z597" t="str">
        <f>TEXT(EV_Sales[[#This Row],[Order_Date]],"mmm-yyyy")</f>
        <v>Feb-2025</v>
      </c>
      <c r="AA597">
        <f>MONTH(EV_Sales[[#This Row],[Order_Date]])</f>
        <v>2</v>
      </c>
      <c r="AB597" s="12" t="str">
        <f>"Q"&amp;ROUNDUP(MONTH(EV_Sales[[#This Row],[Order_Date]])/3,0)</f>
        <v>Q1</v>
      </c>
    </row>
    <row r="598" spans="1:28" x14ac:dyDescent="0.3">
      <c r="A598" t="s">
        <v>704</v>
      </c>
      <c r="B598" s="2">
        <v>45864</v>
      </c>
      <c r="C598" t="s">
        <v>60</v>
      </c>
      <c r="D598" t="s">
        <v>61</v>
      </c>
      <c r="E598" t="s">
        <v>24</v>
      </c>
      <c r="F598" t="s">
        <v>101</v>
      </c>
      <c r="G598" t="s">
        <v>56</v>
      </c>
      <c r="H598" t="s">
        <v>809</v>
      </c>
      <c r="I598" t="str">
        <f>IF('Cleaned Data'!H598="Emi","EMI",'Cleaned Data'!H598)</f>
        <v>EMI</v>
      </c>
      <c r="J598" t="s">
        <v>94</v>
      </c>
      <c r="K598" t="s">
        <v>29</v>
      </c>
      <c r="L598">
        <v>1</v>
      </c>
      <c r="M598" s="9">
        <v>113952</v>
      </c>
      <c r="N598" s="4">
        <v>8.4000000000000005E-2</v>
      </c>
      <c r="O598" s="4">
        <f t="shared" si="9"/>
        <v>8.4000000000000005E-2</v>
      </c>
      <c r="P598" s="11">
        <v>113952</v>
      </c>
      <c r="Q598" s="9">
        <v>9571.9699999999993</v>
      </c>
      <c r="R598" s="9">
        <v>104380.03</v>
      </c>
      <c r="S598">
        <v>5</v>
      </c>
      <c r="T598">
        <v>195</v>
      </c>
      <c r="U598">
        <v>3.6</v>
      </c>
      <c r="V598">
        <v>13</v>
      </c>
      <c r="W598">
        <f>IF('Cleaned Data'!V598&lt;0,"Review",'Cleaned Data'!V598)</f>
        <v>13</v>
      </c>
      <c r="X598">
        <v>2</v>
      </c>
      <c r="Y598" s="7">
        <f>IFERROR('Cleaned Data'!R598/'Cleaned Data'!L598,0)</f>
        <v>104380.03</v>
      </c>
      <c r="Z598" t="str">
        <f>TEXT(EV_Sales[[#This Row],[Order_Date]],"mmm-yyyy")</f>
        <v>Jul-2025</v>
      </c>
      <c r="AA598">
        <f>MONTH(EV_Sales[[#This Row],[Order_Date]])</f>
        <v>7</v>
      </c>
      <c r="AB598" s="12" t="str">
        <f>"Q"&amp;ROUNDUP(MONTH(EV_Sales[[#This Row],[Order_Date]])/3,0)</f>
        <v>Q3</v>
      </c>
    </row>
    <row r="599" spans="1:28" x14ac:dyDescent="0.3">
      <c r="A599" t="s">
        <v>705</v>
      </c>
      <c r="B599" s="2">
        <v>45811</v>
      </c>
      <c r="C599" t="s">
        <v>44</v>
      </c>
      <c r="D599" t="s">
        <v>45</v>
      </c>
      <c r="E599" t="s">
        <v>24</v>
      </c>
      <c r="F599" t="s">
        <v>66</v>
      </c>
      <c r="G599" t="s">
        <v>34</v>
      </c>
      <c r="H599" t="s">
        <v>53</v>
      </c>
      <c r="I599" t="str">
        <f>IF('Cleaned Data'!H599="Emi","EMI",'Cleaned Data'!H599)</f>
        <v>Cash</v>
      </c>
      <c r="J599" t="s">
        <v>36</v>
      </c>
      <c r="K599" t="s">
        <v>42</v>
      </c>
      <c r="L599">
        <v>2</v>
      </c>
      <c r="M599" s="9">
        <v>142199</v>
      </c>
      <c r="N599" s="4">
        <v>0.109</v>
      </c>
      <c r="O599" s="4">
        <f t="shared" si="9"/>
        <v>0.109</v>
      </c>
      <c r="P599" s="11">
        <v>284398</v>
      </c>
      <c r="Q599" s="9">
        <v>30999.38</v>
      </c>
      <c r="R599" s="9">
        <v>253398.62</v>
      </c>
      <c r="S599">
        <v>4</v>
      </c>
      <c r="T599">
        <v>193</v>
      </c>
      <c r="U599">
        <v>4.3</v>
      </c>
      <c r="V599">
        <v>12</v>
      </c>
      <c r="W599">
        <f>IF('Cleaned Data'!V599&lt;0,"Review",'Cleaned Data'!V599)</f>
        <v>12</v>
      </c>
      <c r="X599">
        <v>3</v>
      </c>
      <c r="Y599" s="7">
        <f>IFERROR('Cleaned Data'!R599/'Cleaned Data'!L599,0)</f>
        <v>126699.31</v>
      </c>
      <c r="Z599" t="str">
        <f>TEXT(EV_Sales[[#This Row],[Order_Date]],"mmm-yyyy")</f>
        <v>Jun-2025</v>
      </c>
      <c r="AA599">
        <f>MONTH(EV_Sales[[#This Row],[Order_Date]])</f>
        <v>6</v>
      </c>
      <c r="AB599" s="12" t="str">
        <f>"Q"&amp;ROUNDUP(MONTH(EV_Sales[[#This Row],[Order_Date]])/3,0)</f>
        <v>Q2</v>
      </c>
    </row>
    <row r="600" spans="1:28" x14ac:dyDescent="0.3">
      <c r="A600" t="s">
        <v>706</v>
      </c>
      <c r="B600" s="2">
        <v>45750</v>
      </c>
      <c r="C600" t="s">
        <v>44</v>
      </c>
      <c r="D600" t="s">
        <v>51</v>
      </c>
      <c r="E600" t="s">
        <v>24</v>
      </c>
      <c r="F600" t="s">
        <v>66</v>
      </c>
      <c r="G600" t="s">
        <v>67</v>
      </c>
      <c r="H600" t="s">
        <v>53</v>
      </c>
      <c r="I600" t="str">
        <f>IF('Cleaned Data'!H600="Emi","EMI",'Cleaned Data'!H600)</f>
        <v>Cash</v>
      </c>
      <c r="J600" t="s">
        <v>57</v>
      </c>
      <c r="K600" t="s">
        <v>148</v>
      </c>
      <c r="L600">
        <v>1</v>
      </c>
      <c r="M600" s="9">
        <v>113239</v>
      </c>
      <c r="N600" s="4">
        <v>8.8999999999999996E-2</v>
      </c>
      <c r="O600" s="4">
        <f t="shared" si="9"/>
        <v>8.8999999999999996E-2</v>
      </c>
      <c r="P600" s="11">
        <v>113239</v>
      </c>
      <c r="Q600" s="9">
        <v>10078.27</v>
      </c>
      <c r="R600" s="9">
        <v>103160.73</v>
      </c>
      <c r="S600">
        <v>4</v>
      </c>
      <c r="T600">
        <v>179</v>
      </c>
      <c r="U600">
        <v>3.9</v>
      </c>
      <c r="V600">
        <v>4</v>
      </c>
      <c r="W600">
        <f>IF('Cleaned Data'!V600&lt;0,"Review",'Cleaned Data'!V600)</f>
        <v>4</v>
      </c>
      <c r="X600">
        <v>5</v>
      </c>
      <c r="Y600" s="7">
        <f>IFERROR('Cleaned Data'!R600/'Cleaned Data'!L600,0)</f>
        <v>103160.73</v>
      </c>
      <c r="Z600" t="str">
        <f>TEXT(EV_Sales[[#This Row],[Order_Date]],"mmm-yyyy")</f>
        <v>Apr-2025</v>
      </c>
      <c r="AA600">
        <f>MONTH(EV_Sales[[#This Row],[Order_Date]])</f>
        <v>4</v>
      </c>
      <c r="AB600" s="12" t="str">
        <f>"Q"&amp;ROUNDUP(MONTH(EV_Sales[[#This Row],[Order_Date]])/3,0)</f>
        <v>Q2</v>
      </c>
    </row>
    <row r="601" spans="1:28" x14ac:dyDescent="0.3">
      <c r="A601" t="s">
        <v>707</v>
      </c>
      <c r="B601" s="2">
        <v>46019</v>
      </c>
      <c r="C601" t="s">
        <v>60</v>
      </c>
      <c r="D601" t="s">
        <v>69</v>
      </c>
      <c r="E601" t="s">
        <v>62</v>
      </c>
      <c r="F601" t="s">
        <v>33</v>
      </c>
      <c r="G601" t="s">
        <v>67</v>
      </c>
      <c r="H601" t="s">
        <v>27</v>
      </c>
      <c r="I601" t="str">
        <f>IF('Cleaned Data'!H601="Emi","EMI",'Cleaned Data'!H601)</f>
        <v>Finance</v>
      </c>
      <c r="J601" t="s">
        <v>94</v>
      </c>
      <c r="K601" t="s">
        <v>148</v>
      </c>
      <c r="L601">
        <v>1</v>
      </c>
      <c r="M601" s="9">
        <v>110529</v>
      </c>
      <c r="N601" s="4">
        <v>8.2000000000000003E-2</v>
      </c>
      <c r="O601" s="4">
        <f t="shared" si="9"/>
        <v>8.2000000000000003E-2</v>
      </c>
      <c r="P601" s="11">
        <v>110529</v>
      </c>
      <c r="Q601" s="9">
        <v>9063.3799999999992</v>
      </c>
      <c r="R601" s="9">
        <v>101465.62</v>
      </c>
      <c r="S601">
        <v>4</v>
      </c>
      <c r="T601">
        <v>159</v>
      </c>
      <c r="U601">
        <v>3.9</v>
      </c>
      <c r="V601">
        <v>11</v>
      </c>
      <c r="W601">
        <f>IF('Cleaned Data'!V601&lt;0,"Review",'Cleaned Data'!V601)</f>
        <v>11</v>
      </c>
      <c r="X601">
        <v>2</v>
      </c>
      <c r="Y601" s="7">
        <f>IFERROR('Cleaned Data'!R601/'Cleaned Data'!L601,0)</f>
        <v>101465.62</v>
      </c>
      <c r="Z601" t="str">
        <f>TEXT(EV_Sales[[#This Row],[Order_Date]],"mmm-yyyy")</f>
        <v>Dec-2025</v>
      </c>
      <c r="AA601">
        <f>MONTH(EV_Sales[[#This Row],[Order_Date]])</f>
        <v>12</v>
      </c>
      <c r="AB601" s="12" t="str">
        <f>"Q"&amp;ROUNDUP(MONTH(EV_Sales[[#This Row],[Order_Date]])/3,0)</f>
        <v>Q4</v>
      </c>
    </row>
    <row r="602" spans="1:28" x14ac:dyDescent="0.3">
      <c r="A602" t="s">
        <v>708</v>
      </c>
      <c r="B602" s="2">
        <v>45806</v>
      </c>
      <c r="C602" t="s">
        <v>87</v>
      </c>
      <c r="D602" t="s">
        <v>88</v>
      </c>
      <c r="E602" t="s">
        <v>46</v>
      </c>
      <c r="F602" t="s">
        <v>47</v>
      </c>
      <c r="G602" t="s">
        <v>26</v>
      </c>
      <c r="H602" t="s">
        <v>809</v>
      </c>
      <c r="I602" t="str">
        <f>IF('Cleaned Data'!H602="Emi","EMI",'Cleaned Data'!H602)</f>
        <v>EMI</v>
      </c>
      <c r="J602" t="s">
        <v>94</v>
      </c>
      <c r="K602" t="s">
        <v>92</v>
      </c>
      <c r="L602">
        <v>1</v>
      </c>
      <c r="M602" s="9">
        <v>147611</v>
      </c>
      <c r="N602" s="4">
        <v>3.2000000000000001E-2</v>
      </c>
      <c r="O602" s="4">
        <f t="shared" si="9"/>
        <v>3.2000000000000001E-2</v>
      </c>
      <c r="P602" s="11">
        <v>147611</v>
      </c>
      <c r="Q602" s="9">
        <v>4723.55</v>
      </c>
      <c r="R602" s="9">
        <v>142887.45000000001</v>
      </c>
      <c r="S602">
        <v>3</v>
      </c>
      <c r="T602">
        <v>161</v>
      </c>
      <c r="U602">
        <v>3.5</v>
      </c>
      <c r="V602">
        <v>10</v>
      </c>
      <c r="W602">
        <f>IF('Cleaned Data'!V602&lt;0,"Review",'Cleaned Data'!V602)</f>
        <v>10</v>
      </c>
      <c r="X602">
        <v>3</v>
      </c>
      <c r="Y602" s="7">
        <f>IFERROR('Cleaned Data'!R602/'Cleaned Data'!L602,0)</f>
        <v>142887.45000000001</v>
      </c>
      <c r="Z602" t="str">
        <f>TEXT(EV_Sales[[#This Row],[Order_Date]],"mmm-yyyy")</f>
        <v>May-2025</v>
      </c>
      <c r="AA602">
        <f>MONTH(EV_Sales[[#This Row],[Order_Date]])</f>
        <v>5</v>
      </c>
      <c r="AB602" s="12" t="str">
        <f>"Q"&amp;ROUNDUP(MONTH(EV_Sales[[#This Row],[Order_Date]])/3,0)</f>
        <v>Q2</v>
      </c>
    </row>
    <row r="603" spans="1:28" x14ac:dyDescent="0.3">
      <c r="A603" t="s">
        <v>709</v>
      </c>
      <c r="B603" s="2">
        <v>45936</v>
      </c>
      <c r="C603" t="s">
        <v>99</v>
      </c>
      <c r="D603" t="s">
        <v>141</v>
      </c>
      <c r="E603" t="s">
        <v>62</v>
      </c>
      <c r="F603" t="s">
        <v>52</v>
      </c>
      <c r="G603" t="s">
        <v>26</v>
      </c>
      <c r="H603" t="s">
        <v>27</v>
      </c>
      <c r="I603" t="str">
        <f>IF('Cleaned Data'!H603="Emi","EMI",'Cleaned Data'!H603)</f>
        <v>Finance</v>
      </c>
      <c r="J603" t="s">
        <v>28</v>
      </c>
      <c r="K603" t="s">
        <v>83</v>
      </c>
      <c r="L603">
        <v>1</v>
      </c>
      <c r="M603" s="9">
        <v>146428</v>
      </c>
      <c r="N603" s="4">
        <v>4.5999999999999999E-2</v>
      </c>
      <c r="O603" s="4">
        <f t="shared" si="9"/>
        <v>4.5999999999999999E-2</v>
      </c>
      <c r="P603" s="11">
        <v>146428</v>
      </c>
      <c r="Q603" s="9">
        <v>6735.69</v>
      </c>
      <c r="R603" s="9">
        <v>139692.31</v>
      </c>
      <c r="S603">
        <v>4</v>
      </c>
      <c r="T603">
        <v>206</v>
      </c>
      <c r="U603">
        <v>3.7</v>
      </c>
      <c r="V603">
        <v>4</v>
      </c>
      <c r="W603">
        <f>IF('Cleaned Data'!V603&lt;0,"Review",'Cleaned Data'!V603)</f>
        <v>4</v>
      </c>
      <c r="X603">
        <v>3</v>
      </c>
      <c r="Y603" s="7">
        <f>IFERROR('Cleaned Data'!R603/'Cleaned Data'!L603,0)</f>
        <v>139692.31</v>
      </c>
      <c r="Z603" t="str">
        <f>TEXT(EV_Sales[[#This Row],[Order_Date]],"mmm-yyyy")</f>
        <v>Oct-2025</v>
      </c>
      <c r="AA603">
        <f>MONTH(EV_Sales[[#This Row],[Order_Date]])</f>
        <v>10</v>
      </c>
      <c r="AB603" s="12" t="str">
        <f>"Q"&amp;ROUNDUP(MONTH(EV_Sales[[#This Row],[Order_Date]])/3,0)</f>
        <v>Q4</v>
      </c>
    </row>
    <row r="604" spans="1:28" x14ac:dyDescent="0.3">
      <c r="A604" t="s">
        <v>710</v>
      </c>
      <c r="B604" s="2">
        <v>45891</v>
      </c>
      <c r="C604" t="s">
        <v>44</v>
      </c>
      <c r="D604" t="s">
        <v>45</v>
      </c>
      <c r="E604" t="s">
        <v>46</v>
      </c>
      <c r="F604" t="s">
        <v>52</v>
      </c>
      <c r="G604" t="s">
        <v>56</v>
      </c>
      <c r="H604" t="s">
        <v>27</v>
      </c>
      <c r="I604" t="str">
        <f>IF('Cleaned Data'!H604="Emi","EMI",'Cleaned Data'!H604)</f>
        <v>Finance</v>
      </c>
      <c r="J604" t="s">
        <v>63</v>
      </c>
      <c r="K604" t="s">
        <v>175</v>
      </c>
      <c r="L604">
        <v>1</v>
      </c>
      <c r="M604" s="9">
        <v>158677</v>
      </c>
      <c r="N604" s="4">
        <v>0.1</v>
      </c>
      <c r="O604" s="4">
        <f t="shared" si="9"/>
        <v>0.1</v>
      </c>
      <c r="P604" s="11">
        <v>158677</v>
      </c>
      <c r="Q604" s="9">
        <v>15867.7</v>
      </c>
      <c r="R604" s="9">
        <v>142809.29999999999</v>
      </c>
      <c r="S604">
        <v>3</v>
      </c>
      <c r="T604">
        <v>158</v>
      </c>
      <c r="U604">
        <v>3.5</v>
      </c>
      <c r="V604">
        <v>6</v>
      </c>
      <c r="W604">
        <f>IF('Cleaned Data'!V604&lt;0,"Review",'Cleaned Data'!V604)</f>
        <v>6</v>
      </c>
      <c r="X604">
        <v>2</v>
      </c>
      <c r="Y604" s="7">
        <f>IFERROR('Cleaned Data'!R604/'Cleaned Data'!L604,0)</f>
        <v>142809.29999999999</v>
      </c>
      <c r="Z604" t="str">
        <f>TEXT(EV_Sales[[#This Row],[Order_Date]],"mmm-yyyy")</f>
        <v>Aug-2025</v>
      </c>
      <c r="AA604">
        <f>MONTH(EV_Sales[[#This Row],[Order_Date]])</f>
        <v>8</v>
      </c>
      <c r="AB604" s="12" t="str">
        <f>"Q"&amp;ROUNDUP(MONTH(EV_Sales[[#This Row],[Order_Date]])/3,0)</f>
        <v>Q3</v>
      </c>
    </row>
    <row r="605" spans="1:28" x14ac:dyDescent="0.3">
      <c r="A605" t="s">
        <v>711</v>
      </c>
      <c r="B605" s="2">
        <v>45906</v>
      </c>
      <c r="C605" t="s">
        <v>99</v>
      </c>
      <c r="D605" t="s">
        <v>121</v>
      </c>
      <c r="E605" t="s">
        <v>46</v>
      </c>
      <c r="F605" t="s">
        <v>74</v>
      </c>
      <c r="G605" t="s">
        <v>34</v>
      </c>
      <c r="H605" t="s">
        <v>27</v>
      </c>
      <c r="I605" t="str">
        <f>IF('Cleaned Data'!H605="Emi","EMI",'Cleaned Data'!H605)</f>
        <v>Finance</v>
      </c>
      <c r="J605" t="s">
        <v>48</v>
      </c>
      <c r="K605" t="s">
        <v>157</v>
      </c>
      <c r="L605">
        <v>1</v>
      </c>
      <c r="M605" s="9">
        <v>110377</v>
      </c>
      <c r="N605" s="4">
        <v>0.03</v>
      </c>
      <c r="O605" s="4">
        <f t="shared" si="9"/>
        <v>0.03</v>
      </c>
      <c r="P605" s="11">
        <v>110377</v>
      </c>
      <c r="Q605" s="9">
        <v>3311.31</v>
      </c>
      <c r="R605" s="9">
        <v>107065.69</v>
      </c>
      <c r="S605">
        <v>3</v>
      </c>
      <c r="T605">
        <v>159</v>
      </c>
      <c r="U605">
        <v>4.5</v>
      </c>
      <c r="V605">
        <v>13</v>
      </c>
      <c r="W605">
        <f>IF('Cleaned Data'!V605&lt;0,"Review",'Cleaned Data'!V605)</f>
        <v>13</v>
      </c>
      <c r="X605">
        <v>5</v>
      </c>
      <c r="Y605" s="7">
        <f>IFERROR('Cleaned Data'!R605/'Cleaned Data'!L605,0)</f>
        <v>107065.69</v>
      </c>
      <c r="Z605" t="str">
        <f>TEXT(EV_Sales[[#This Row],[Order_Date]],"mmm-yyyy")</f>
        <v>Sep-2025</v>
      </c>
      <c r="AA605">
        <f>MONTH(EV_Sales[[#This Row],[Order_Date]])</f>
        <v>9</v>
      </c>
      <c r="AB605" s="12" t="str">
        <f>"Q"&amp;ROUNDUP(MONTH(EV_Sales[[#This Row],[Order_Date]])/3,0)</f>
        <v>Q3</v>
      </c>
    </row>
    <row r="606" spans="1:28" x14ac:dyDescent="0.3">
      <c r="A606" t="s">
        <v>712</v>
      </c>
      <c r="B606" s="2">
        <v>45690</v>
      </c>
      <c r="C606" t="s">
        <v>22</v>
      </c>
      <c r="D606" t="s">
        <v>107</v>
      </c>
      <c r="E606" t="s">
        <v>24</v>
      </c>
      <c r="F606" t="s">
        <v>52</v>
      </c>
      <c r="G606" t="s">
        <v>34</v>
      </c>
      <c r="H606" t="s">
        <v>53</v>
      </c>
      <c r="I606" t="str">
        <f>IF('Cleaned Data'!H606="Emi","EMI",'Cleaned Data'!H606)</f>
        <v>Cash</v>
      </c>
      <c r="J606" t="s">
        <v>57</v>
      </c>
      <c r="K606" t="s">
        <v>109</v>
      </c>
      <c r="L606">
        <v>1</v>
      </c>
      <c r="M606" s="9">
        <v>145467</v>
      </c>
      <c r="N606" s="4">
        <v>2.3E-2</v>
      </c>
      <c r="O606" s="4">
        <f t="shared" si="9"/>
        <v>2.3E-2</v>
      </c>
      <c r="P606" s="11">
        <v>145467</v>
      </c>
      <c r="Q606" s="9">
        <v>3345.74</v>
      </c>
      <c r="R606" s="9">
        <v>142121.26</v>
      </c>
      <c r="S606">
        <v>5</v>
      </c>
      <c r="T606">
        <v>211</v>
      </c>
      <c r="U606">
        <v>4.4000000000000004</v>
      </c>
      <c r="V606">
        <v>2</v>
      </c>
      <c r="W606">
        <f>IF('Cleaned Data'!V606&lt;0,"Review",'Cleaned Data'!V606)</f>
        <v>2</v>
      </c>
      <c r="X606">
        <v>5</v>
      </c>
      <c r="Y606" s="7">
        <f>IFERROR('Cleaned Data'!R606/'Cleaned Data'!L606,0)</f>
        <v>142121.26</v>
      </c>
      <c r="Z606" t="str">
        <f>TEXT(EV_Sales[[#This Row],[Order_Date]],"mmm-yyyy")</f>
        <v>Feb-2025</v>
      </c>
      <c r="AA606">
        <f>MONTH(EV_Sales[[#This Row],[Order_Date]])</f>
        <v>2</v>
      </c>
      <c r="AB606" s="12" t="str">
        <f>"Q"&amp;ROUNDUP(MONTH(EV_Sales[[#This Row],[Order_Date]])/3,0)</f>
        <v>Q1</v>
      </c>
    </row>
    <row r="607" spans="1:28" x14ac:dyDescent="0.3">
      <c r="A607" t="s">
        <v>713</v>
      </c>
      <c r="B607" s="2">
        <v>45936</v>
      </c>
      <c r="C607" t="s">
        <v>44</v>
      </c>
      <c r="D607" t="s">
        <v>45</v>
      </c>
      <c r="E607" t="s">
        <v>62</v>
      </c>
      <c r="F607" t="s">
        <v>47</v>
      </c>
      <c r="G607" t="s">
        <v>56</v>
      </c>
      <c r="H607" t="s">
        <v>27</v>
      </c>
      <c r="I607" t="str">
        <f>IF('Cleaned Data'!H607="Emi","EMI",'Cleaned Data'!H607)</f>
        <v>Finance</v>
      </c>
      <c r="J607" t="s">
        <v>57</v>
      </c>
      <c r="K607" t="s">
        <v>157</v>
      </c>
      <c r="L607">
        <v>1</v>
      </c>
      <c r="M607" s="9">
        <v>150102</v>
      </c>
      <c r="N607" s="4">
        <v>0.06</v>
      </c>
      <c r="O607" s="4">
        <f t="shared" si="9"/>
        <v>0.06</v>
      </c>
      <c r="P607" s="11">
        <v>150102</v>
      </c>
      <c r="Q607" s="9">
        <v>9006.1200000000008</v>
      </c>
      <c r="R607" s="9">
        <v>141095.88</v>
      </c>
      <c r="S607">
        <v>5</v>
      </c>
      <c r="T607">
        <v>208</v>
      </c>
      <c r="U607">
        <v>3.9</v>
      </c>
      <c r="V607">
        <v>5</v>
      </c>
      <c r="W607">
        <f>IF('Cleaned Data'!V607&lt;0,"Review",'Cleaned Data'!V607)</f>
        <v>5</v>
      </c>
      <c r="X607">
        <v>3</v>
      </c>
      <c r="Y607" s="7">
        <f>IFERROR('Cleaned Data'!R607/'Cleaned Data'!L607,0)</f>
        <v>141095.88</v>
      </c>
      <c r="Z607" t="str">
        <f>TEXT(EV_Sales[[#This Row],[Order_Date]],"mmm-yyyy")</f>
        <v>Oct-2025</v>
      </c>
      <c r="AA607">
        <f>MONTH(EV_Sales[[#This Row],[Order_Date]])</f>
        <v>10</v>
      </c>
      <c r="AB607" s="12" t="str">
        <f>"Q"&amp;ROUNDUP(MONTH(EV_Sales[[#This Row],[Order_Date]])/3,0)</f>
        <v>Q4</v>
      </c>
    </row>
    <row r="608" spans="1:28" x14ac:dyDescent="0.3">
      <c r="A608" t="s">
        <v>714</v>
      </c>
      <c r="B608" s="2">
        <v>45976</v>
      </c>
      <c r="C608" t="s">
        <v>99</v>
      </c>
      <c r="D608" t="s">
        <v>141</v>
      </c>
      <c r="E608" t="s">
        <v>46</v>
      </c>
      <c r="F608" t="s">
        <v>70</v>
      </c>
      <c r="G608" t="s">
        <v>26</v>
      </c>
      <c r="H608" t="s">
        <v>53</v>
      </c>
      <c r="I608" t="str">
        <f>IF('Cleaned Data'!H608="Emi","EMI",'Cleaned Data'!H608)</f>
        <v>Cash</v>
      </c>
      <c r="J608" t="s">
        <v>36</v>
      </c>
      <c r="K608" t="s">
        <v>89</v>
      </c>
      <c r="L608">
        <v>3</v>
      </c>
      <c r="M608" s="9">
        <v>136499</v>
      </c>
      <c r="N608" s="4">
        <v>8.1000000000000003E-2</v>
      </c>
      <c r="O608" s="4">
        <f t="shared" si="9"/>
        <v>8.1000000000000003E-2</v>
      </c>
      <c r="P608" s="11">
        <v>409497</v>
      </c>
      <c r="Q608" s="9">
        <v>33169.26</v>
      </c>
      <c r="R608" s="9">
        <v>376327.74</v>
      </c>
      <c r="S608">
        <v>4</v>
      </c>
      <c r="T608">
        <v>179</v>
      </c>
      <c r="U608">
        <v>3.1</v>
      </c>
      <c r="V608">
        <v>8</v>
      </c>
      <c r="W608">
        <f>IF('Cleaned Data'!V608&lt;0,"Review",'Cleaned Data'!V608)</f>
        <v>8</v>
      </c>
      <c r="X608">
        <v>5</v>
      </c>
      <c r="Y608" s="7">
        <f>IFERROR('Cleaned Data'!R608/'Cleaned Data'!L608,0)</f>
        <v>125442.58</v>
      </c>
      <c r="Z608" t="str">
        <f>TEXT(EV_Sales[[#This Row],[Order_Date]],"mmm-yyyy")</f>
        <v>Nov-2025</v>
      </c>
      <c r="AA608">
        <f>MONTH(EV_Sales[[#This Row],[Order_Date]])</f>
        <v>11</v>
      </c>
      <c r="AB608" s="12" t="str">
        <f>"Q"&amp;ROUNDUP(MONTH(EV_Sales[[#This Row],[Order_Date]])/3,0)</f>
        <v>Q4</v>
      </c>
    </row>
    <row r="609" spans="1:28" x14ac:dyDescent="0.3">
      <c r="A609" t="s">
        <v>715</v>
      </c>
      <c r="B609" s="2">
        <v>45752</v>
      </c>
      <c r="C609" t="s">
        <v>39</v>
      </c>
      <c r="D609" t="s">
        <v>40</v>
      </c>
      <c r="E609" t="s">
        <v>46</v>
      </c>
      <c r="F609" t="s">
        <v>33</v>
      </c>
      <c r="G609" t="s">
        <v>34</v>
      </c>
      <c r="H609" t="s">
        <v>27</v>
      </c>
      <c r="I609" t="str">
        <f>IF('Cleaned Data'!H609="Emi","EMI",'Cleaned Data'!H609)</f>
        <v>Finance</v>
      </c>
      <c r="J609" t="s">
        <v>94</v>
      </c>
      <c r="K609" t="s">
        <v>54</v>
      </c>
      <c r="L609">
        <v>4</v>
      </c>
      <c r="M609" s="9">
        <v>121519</v>
      </c>
      <c r="N609" s="4">
        <v>4.3999999999999997E-2</v>
      </c>
      <c r="O609" s="4">
        <f t="shared" si="9"/>
        <v>4.3999999999999997E-2</v>
      </c>
      <c r="P609" s="11">
        <v>486076</v>
      </c>
      <c r="Q609" s="9">
        <v>21387.34</v>
      </c>
      <c r="R609" s="9">
        <v>464688.66</v>
      </c>
      <c r="S609">
        <v>3</v>
      </c>
      <c r="T609">
        <v>168</v>
      </c>
      <c r="U609">
        <v>3.4</v>
      </c>
      <c r="V609">
        <v>11</v>
      </c>
      <c r="W609">
        <f>IF('Cleaned Data'!V609&lt;0,"Review",'Cleaned Data'!V609)</f>
        <v>11</v>
      </c>
      <c r="X609">
        <v>5</v>
      </c>
      <c r="Y609" s="7">
        <f>IFERROR('Cleaned Data'!R609/'Cleaned Data'!L609,0)</f>
        <v>116172.16499999999</v>
      </c>
      <c r="Z609" t="str">
        <f>TEXT(EV_Sales[[#This Row],[Order_Date]],"mmm-yyyy")</f>
        <v>Apr-2025</v>
      </c>
      <c r="AA609">
        <f>MONTH(EV_Sales[[#This Row],[Order_Date]])</f>
        <v>4</v>
      </c>
      <c r="AB609" s="12" t="str">
        <f>"Q"&amp;ROUNDUP(MONTH(EV_Sales[[#This Row],[Order_Date]])/3,0)</f>
        <v>Q2</v>
      </c>
    </row>
    <row r="610" spans="1:28" x14ac:dyDescent="0.3">
      <c r="A610" t="s">
        <v>716</v>
      </c>
      <c r="B610" s="2">
        <v>45978</v>
      </c>
      <c r="C610" t="s">
        <v>87</v>
      </c>
      <c r="D610" t="s">
        <v>130</v>
      </c>
      <c r="E610" t="s">
        <v>24</v>
      </c>
      <c r="F610" t="s">
        <v>25</v>
      </c>
      <c r="G610" t="s">
        <v>26</v>
      </c>
      <c r="H610" t="s">
        <v>27</v>
      </c>
      <c r="I610" t="str">
        <f>IF('Cleaned Data'!H610="Emi","EMI",'Cleaned Data'!H610)</f>
        <v>Finance</v>
      </c>
      <c r="J610" t="s">
        <v>48</v>
      </c>
      <c r="K610" t="s">
        <v>89</v>
      </c>
      <c r="L610">
        <v>1</v>
      </c>
      <c r="M610" s="9">
        <v>115833</v>
      </c>
      <c r="N610" s="4">
        <v>9.6000000000000002E-2</v>
      </c>
      <c r="O610" s="4">
        <f t="shared" si="9"/>
        <v>9.6000000000000002E-2</v>
      </c>
      <c r="P610" s="11">
        <v>115833</v>
      </c>
      <c r="Q610" s="9">
        <v>11119.97</v>
      </c>
      <c r="R610" s="9">
        <v>104713.03</v>
      </c>
      <c r="S610">
        <v>3</v>
      </c>
      <c r="T610">
        <v>163</v>
      </c>
      <c r="U610">
        <v>4.3</v>
      </c>
      <c r="V610">
        <v>5</v>
      </c>
      <c r="W610">
        <f>IF('Cleaned Data'!V610&lt;0,"Review",'Cleaned Data'!V610)</f>
        <v>5</v>
      </c>
      <c r="X610">
        <v>3</v>
      </c>
      <c r="Y610" s="7">
        <f>IFERROR('Cleaned Data'!R610/'Cleaned Data'!L610,0)</f>
        <v>104713.03</v>
      </c>
      <c r="Z610" t="str">
        <f>TEXT(EV_Sales[[#This Row],[Order_Date]],"mmm-yyyy")</f>
        <v>Nov-2025</v>
      </c>
      <c r="AA610">
        <f>MONTH(EV_Sales[[#This Row],[Order_Date]])</f>
        <v>11</v>
      </c>
      <c r="AB610" s="12" t="str">
        <f>"Q"&amp;ROUNDUP(MONTH(EV_Sales[[#This Row],[Order_Date]])/3,0)</f>
        <v>Q4</v>
      </c>
    </row>
    <row r="611" spans="1:28" x14ac:dyDescent="0.3">
      <c r="A611" t="s">
        <v>717</v>
      </c>
      <c r="B611" s="2">
        <v>45699</v>
      </c>
      <c r="C611" t="s">
        <v>87</v>
      </c>
      <c r="D611" t="s">
        <v>130</v>
      </c>
      <c r="E611" t="s">
        <v>62</v>
      </c>
      <c r="F611" t="s">
        <v>25</v>
      </c>
      <c r="G611" t="s">
        <v>67</v>
      </c>
      <c r="H611" t="s">
        <v>809</v>
      </c>
      <c r="I611" t="str">
        <f>IF('Cleaned Data'!H611="Emi","EMI",'Cleaned Data'!H611)</f>
        <v>EMI</v>
      </c>
      <c r="J611" t="s">
        <v>57</v>
      </c>
      <c r="K611" t="s">
        <v>203</v>
      </c>
      <c r="L611">
        <v>2</v>
      </c>
      <c r="M611" s="9">
        <v>109686</v>
      </c>
      <c r="N611" s="4">
        <v>4.8000000000000001E-2</v>
      </c>
      <c r="O611" s="4">
        <f t="shared" si="9"/>
        <v>4.8000000000000001E-2</v>
      </c>
      <c r="P611" s="11">
        <v>219372</v>
      </c>
      <c r="Q611" s="9">
        <v>10529.86</v>
      </c>
      <c r="R611" s="9">
        <v>208842.14</v>
      </c>
      <c r="S611">
        <v>4</v>
      </c>
      <c r="T611">
        <v>173</v>
      </c>
      <c r="U611">
        <v>3.9</v>
      </c>
      <c r="V611">
        <v>-10</v>
      </c>
      <c r="W611" t="str">
        <f>IF('Cleaned Data'!V611&lt;0,"Review",'Cleaned Data'!V611)</f>
        <v>Review</v>
      </c>
      <c r="X611">
        <v>3</v>
      </c>
      <c r="Y611" s="7">
        <f>IFERROR('Cleaned Data'!R611/'Cleaned Data'!L611,0)</f>
        <v>104421.07</v>
      </c>
      <c r="Z611" t="str">
        <f>TEXT(EV_Sales[[#This Row],[Order_Date]],"mmm-yyyy")</f>
        <v>Feb-2025</v>
      </c>
      <c r="AA611">
        <f>MONTH(EV_Sales[[#This Row],[Order_Date]])</f>
        <v>2</v>
      </c>
      <c r="AB611" s="12" t="str">
        <f>"Q"&amp;ROUNDUP(MONTH(EV_Sales[[#This Row],[Order_Date]])/3,0)</f>
        <v>Q1</v>
      </c>
    </row>
    <row r="612" spans="1:28" x14ac:dyDescent="0.3">
      <c r="A612" t="s">
        <v>718</v>
      </c>
      <c r="B612" s="2">
        <v>45780</v>
      </c>
      <c r="C612" t="s">
        <v>76</v>
      </c>
      <c r="D612" t="s">
        <v>117</v>
      </c>
      <c r="E612" t="s">
        <v>46</v>
      </c>
      <c r="F612" t="s">
        <v>41</v>
      </c>
      <c r="G612" t="s">
        <v>67</v>
      </c>
      <c r="H612" t="s">
        <v>53</v>
      </c>
      <c r="I612" t="str">
        <f>IF('Cleaned Data'!H612="Emi","EMI",'Cleaned Data'!H612)</f>
        <v>Cash</v>
      </c>
      <c r="J612" t="s">
        <v>94</v>
      </c>
      <c r="K612" t="s">
        <v>109</v>
      </c>
      <c r="L612">
        <v>5</v>
      </c>
      <c r="M612" s="9">
        <v>143293</v>
      </c>
      <c r="N612" s="4">
        <v>4.2999999999999997E-2</v>
      </c>
      <c r="O612" s="4">
        <f t="shared" si="9"/>
        <v>4.2999999999999997E-2</v>
      </c>
      <c r="P612" s="11">
        <v>716465</v>
      </c>
      <c r="Q612" s="9">
        <v>30807.99</v>
      </c>
      <c r="R612" s="9">
        <v>685657.01</v>
      </c>
      <c r="S612">
        <v>4</v>
      </c>
      <c r="T612">
        <v>186</v>
      </c>
      <c r="U612">
        <v>4.0999999999999996</v>
      </c>
      <c r="V612">
        <v>6</v>
      </c>
      <c r="W612">
        <f>IF('Cleaned Data'!V612&lt;0,"Review",'Cleaned Data'!V612)</f>
        <v>6</v>
      </c>
      <c r="X612">
        <v>3</v>
      </c>
      <c r="Y612" s="7">
        <f>IFERROR('Cleaned Data'!R612/'Cleaned Data'!L612,0)</f>
        <v>137131.402</v>
      </c>
      <c r="Z612" t="str">
        <f>TEXT(EV_Sales[[#This Row],[Order_Date]],"mmm-yyyy")</f>
        <v>May-2025</v>
      </c>
      <c r="AA612">
        <f>MONTH(EV_Sales[[#This Row],[Order_Date]])</f>
        <v>5</v>
      </c>
      <c r="AB612" s="12" t="str">
        <f>"Q"&amp;ROUNDUP(MONTH(EV_Sales[[#This Row],[Order_Date]])/3,0)</f>
        <v>Q2</v>
      </c>
    </row>
    <row r="613" spans="1:28" x14ac:dyDescent="0.3">
      <c r="A613" t="s">
        <v>719</v>
      </c>
      <c r="B613" s="2">
        <v>45865</v>
      </c>
      <c r="C613" t="s">
        <v>39</v>
      </c>
      <c r="D613" t="s">
        <v>154</v>
      </c>
      <c r="E613" t="s">
        <v>62</v>
      </c>
      <c r="F613" t="s">
        <v>47</v>
      </c>
      <c r="G613" t="s">
        <v>67</v>
      </c>
      <c r="H613" t="s">
        <v>809</v>
      </c>
      <c r="I613" t="str">
        <f>IF('Cleaned Data'!H613="Emi","EMI",'Cleaned Data'!H613)</f>
        <v>EMI</v>
      </c>
      <c r="J613" t="s">
        <v>63</v>
      </c>
      <c r="K613" t="s">
        <v>81</v>
      </c>
      <c r="L613">
        <v>1</v>
      </c>
      <c r="M613" s="9">
        <v>186928</v>
      </c>
      <c r="N613" s="4">
        <v>8.4000000000000005E-2</v>
      </c>
      <c r="O613" s="4">
        <f t="shared" si="9"/>
        <v>8.4000000000000005E-2</v>
      </c>
      <c r="P613" s="11">
        <v>186928</v>
      </c>
      <c r="Q613" s="9">
        <v>15701.95</v>
      </c>
      <c r="R613" s="9">
        <v>171226.05</v>
      </c>
      <c r="S613">
        <v>3</v>
      </c>
      <c r="T613">
        <v>169</v>
      </c>
      <c r="U613">
        <v>4</v>
      </c>
      <c r="V613">
        <v>10</v>
      </c>
      <c r="W613">
        <f>IF('Cleaned Data'!V613&lt;0,"Review",'Cleaned Data'!V613)</f>
        <v>10</v>
      </c>
      <c r="X613">
        <v>5</v>
      </c>
      <c r="Y613" s="7">
        <f>IFERROR('Cleaned Data'!R613/'Cleaned Data'!L613,0)</f>
        <v>171226.05</v>
      </c>
      <c r="Z613" t="str">
        <f>TEXT(EV_Sales[[#This Row],[Order_Date]],"mmm-yyyy")</f>
        <v>Jul-2025</v>
      </c>
      <c r="AA613">
        <f>MONTH(EV_Sales[[#This Row],[Order_Date]])</f>
        <v>7</v>
      </c>
      <c r="AB613" s="12" t="str">
        <f>"Q"&amp;ROUNDUP(MONTH(EV_Sales[[#This Row],[Order_Date]])/3,0)</f>
        <v>Q3</v>
      </c>
    </row>
    <row r="614" spans="1:28" x14ac:dyDescent="0.3">
      <c r="A614" t="s">
        <v>720</v>
      </c>
      <c r="B614" s="2">
        <v>45691</v>
      </c>
      <c r="C614" t="s">
        <v>39</v>
      </c>
      <c r="D614" t="s">
        <v>154</v>
      </c>
      <c r="E614" t="s">
        <v>62</v>
      </c>
      <c r="F614" t="s">
        <v>66</v>
      </c>
      <c r="G614" t="s">
        <v>26</v>
      </c>
      <c r="H614" t="s">
        <v>809</v>
      </c>
      <c r="I614" t="str">
        <f>IF('Cleaned Data'!H614="Emi","EMI",'Cleaned Data'!H614)</f>
        <v>EMI</v>
      </c>
      <c r="J614" t="s">
        <v>63</v>
      </c>
      <c r="K614" t="s">
        <v>49</v>
      </c>
      <c r="L614">
        <v>1</v>
      </c>
      <c r="M614" s="9">
        <v>179337</v>
      </c>
      <c r="N614" s="4">
        <v>9.8000000000000004E-2</v>
      </c>
      <c r="O614" s="4">
        <f t="shared" si="9"/>
        <v>9.8000000000000004E-2</v>
      </c>
      <c r="P614" s="11">
        <v>179337</v>
      </c>
      <c r="Q614" s="9">
        <v>17575.03</v>
      </c>
      <c r="R614" s="9">
        <v>161761.97</v>
      </c>
      <c r="S614">
        <v>5</v>
      </c>
      <c r="T614">
        <v>197</v>
      </c>
      <c r="U614">
        <v>3.6</v>
      </c>
      <c r="V614">
        <v>10</v>
      </c>
      <c r="W614">
        <f>IF('Cleaned Data'!V614&lt;0,"Review",'Cleaned Data'!V614)</f>
        <v>10</v>
      </c>
      <c r="X614">
        <v>2</v>
      </c>
      <c r="Y614" s="7">
        <f>IFERROR('Cleaned Data'!R614/'Cleaned Data'!L614,0)</f>
        <v>161761.97</v>
      </c>
      <c r="Z614" t="str">
        <f>TEXT(EV_Sales[[#This Row],[Order_Date]],"mmm-yyyy")</f>
        <v>Feb-2025</v>
      </c>
      <c r="AA614">
        <f>MONTH(EV_Sales[[#This Row],[Order_Date]])</f>
        <v>2</v>
      </c>
      <c r="AB614" s="12" t="str">
        <f>"Q"&amp;ROUNDUP(MONTH(EV_Sales[[#This Row],[Order_Date]])/3,0)</f>
        <v>Q1</v>
      </c>
    </row>
    <row r="615" spans="1:28" x14ac:dyDescent="0.3">
      <c r="A615" t="s">
        <v>721</v>
      </c>
      <c r="B615" s="2">
        <v>45978</v>
      </c>
      <c r="C615" t="s">
        <v>39</v>
      </c>
      <c r="D615" t="s">
        <v>40</v>
      </c>
      <c r="E615" t="s">
        <v>62</v>
      </c>
      <c r="F615" t="s">
        <v>25</v>
      </c>
      <c r="G615" t="s">
        <v>34</v>
      </c>
      <c r="H615" t="s">
        <v>53</v>
      </c>
      <c r="I615" t="str">
        <f>IF('Cleaned Data'!H615="Emi","EMI",'Cleaned Data'!H615)</f>
        <v>Cash</v>
      </c>
      <c r="J615" t="s">
        <v>57</v>
      </c>
      <c r="K615" t="s">
        <v>138</v>
      </c>
      <c r="L615">
        <v>3</v>
      </c>
      <c r="M615" s="9">
        <v>131544</v>
      </c>
      <c r="N615" s="4">
        <v>6.9000000000000006E-2</v>
      </c>
      <c r="O615" s="4">
        <f t="shared" si="9"/>
        <v>6.9000000000000006E-2</v>
      </c>
      <c r="P615" s="11">
        <v>394632</v>
      </c>
      <c r="Q615" s="9">
        <v>27229.61</v>
      </c>
      <c r="R615" s="9">
        <v>367402.39</v>
      </c>
      <c r="S615">
        <v>3</v>
      </c>
      <c r="T615">
        <v>147</v>
      </c>
      <c r="U615">
        <v>4.5</v>
      </c>
      <c r="V615">
        <v>9</v>
      </c>
      <c r="W615">
        <f>IF('Cleaned Data'!V615&lt;0,"Review",'Cleaned Data'!V615)</f>
        <v>9</v>
      </c>
      <c r="X615">
        <v>2</v>
      </c>
      <c r="Y615" s="7">
        <f>IFERROR('Cleaned Data'!R615/'Cleaned Data'!L615,0)</f>
        <v>122467.46333333333</v>
      </c>
      <c r="Z615" t="str">
        <f>TEXT(EV_Sales[[#This Row],[Order_Date]],"mmm-yyyy")</f>
        <v>Nov-2025</v>
      </c>
      <c r="AA615">
        <f>MONTH(EV_Sales[[#This Row],[Order_Date]])</f>
        <v>11</v>
      </c>
      <c r="AB615" s="12" t="str">
        <f>"Q"&amp;ROUNDUP(MONTH(EV_Sales[[#This Row],[Order_Date]])/3,0)</f>
        <v>Q4</v>
      </c>
    </row>
    <row r="616" spans="1:28" x14ac:dyDescent="0.3">
      <c r="A616" t="s">
        <v>722</v>
      </c>
      <c r="B616" s="2">
        <v>45969</v>
      </c>
      <c r="C616" t="s">
        <v>39</v>
      </c>
      <c r="D616" t="s">
        <v>40</v>
      </c>
      <c r="E616" t="s">
        <v>24</v>
      </c>
      <c r="F616" t="s">
        <v>74</v>
      </c>
      <c r="G616" t="s">
        <v>26</v>
      </c>
      <c r="H616" t="s">
        <v>53</v>
      </c>
      <c r="I616" t="str">
        <f>IF('Cleaned Data'!H616="Emi","EMI",'Cleaned Data'!H616)</f>
        <v>Cash</v>
      </c>
      <c r="J616" t="s">
        <v>94</v>
      </c>
      <c r="K616" t="s">
        <v>85</v>
      </c>
      <c r="L616">
        <v>5</v>
      </c>
      <c r="M616" s="9">
        <v>126661</v>
      </c>
      <c r="N616" s="4">
        <v>0.04</v>
      </c>
      <c r="O616" s="4">
        <f t="shared" si="9"/>
        <v>0.04</v>
      </c>
      <c r="P616" s="11">
        <v>633305</v>
      </c>
      <c r="Q616" s="9">
        <v>25332.2</v>
      </c>
      <c r="R616" s="9">
        <v>607972.80000000005</v>
      </c>
      <c r="S616">
        <v>3</v>
      </c>
      <c r="T616">
        <v>168</v>
      </c>
      <c r="U616">
        <v>3.8</v>
      </c>
      <c r="V616">
        <v>3</v>
      </c>
      <c r="W616">
        <f>IF('Cleaned Data'!V616&lt;0,"Review",'Cleaned Data'!V616)</f>
        <v>3</v>
      </c>
      <c r="X616">
        <v>3</v>
      </c>
      <c r="Y616" s="7">
        <f>IFERROR('Cleaned Data'!R616/'Cleaned Data'!L616,0)</f>
        <v>121594.56000000001</v>
      </c>
      <c r="Z616" t="str">
        <f>TEXT(EV_Sales[[#This Row],[Order_Date]],"mmm-yyyy")</f>
        <v>Nov-2025</v>
      </c>
      <c r="AA616">
        <f>MONTH(EV_Sales[[#This Row],[Order_Date]])</f>
        <v>11</v>
      </c>
      <c r="AB616" s="12" t="str">
        <f>"Q"&amp;ROUNDUP(MONTH(EV_Sales[[#This Row],[Order_Date]])/3,0)</f>
        <v>Q4</v>
      </c>
    </row>
    <row r="617" spans="1:28" x14ac:dyDescent="0.3">
      <c r="A617" t="s">
        <v>723</v>
      </c>
      <c r="B617" s="2">
        <v>45692</v>
      </c>
      <c r="C617" t="s">
        <v>31</v>
      </c>
      <c r="D617" t="s">
        <v>97</v>
      </c>
      <c r="E617" t="s">
        <v>62</v>
      </c>
      <c r="F617" t="s">
        <v>101</v>
      </c>
      <c r="G617" t="s">
        <v>34</v>
      </c>
      <c r="H617" t="s">
        <v>809</v>
      </c>
      <c r="I617" t="str">
        <f>IF('Cleaned Data'!H617="Emi","EMI",'Cleaned Data'!H617)</f>
        <v>EMI</v>
      </c>
      <c r="J617" t="s">
        <v>94</v>
      </c>
      <c r="K617" t="s">
        <v>104</v>
      </c>
      <c r="L617">
        <v>5</v>
      </c>
      <c r="M617" s="9">
        <v>124218</v>
      </c>
      <c r="N617" s="4">
        <v>6.0999999999999999E-2</v>
      </c>
      <c r="O617" s="4">
        <f t="shared" si="9"/>
        <v>6.0999999999999999E-2</v>
      </c>
      <c r="P617" s="11">
        <v>621090</v>
      </c>
      <c r="Q617" s="9">
        <v>37886.49</v>
      </c>
      <c r="R617" s="9">
        <v>583203.51</v>
      </c>
      <c r="S617">
        <v>4</v>
      </c>
      <c r="T617">
        <v>189</v>
      </c>
      <c r="U617">
        <v>4.0999999999999996</v>
      </c>
      <c r="V617">
        <v>10</v>
      </c>
      <c r="W617">
        <f>IF('Cleaned Data'!V617&lt;0,"Review",'Cleaned Data'!V617)</f>
        <v>10</v>
      </c>
      <c r="X617">
        <v>3</v>
      </c>
      <c r="Y617" s="7">
        <f>IFERROR('Cleaned Data'!R617/'Cleaned Data'!L617,0)</f>
        <v>116640.702</v>
      </c>
      <c r="Z617" t="str">
        <f>TEXT(EV_Sales[[#This Row],[Order_Date]],"mmm-yyyy")</f>
        <v>Feb-2025</v>
      </c>
      <c r="AA617">
        <f>MONTH(EV_Sales[[#This Row],[Order_Date]])</f>
        <v>2</v>
      </c>
      <c r="AB617" s="12" t="str">
        <f>"Q"&amp;ROUNDUP(MONTH(EV_Sales[[#This Row],[Order_Date]])/3,0)</f>
        <v>Q1</v>
      </c>
    </row>
    <row r="618" spans="1:28" x14ac:dyDescent="0.3">
      <c r="A618" t="s">
        <v>724</v>
      </c>
      <c r="B618" s="2">
        <v>45961</v>
      </c>
      <c r="C618" t="s">
        <v>44</v>
      </c>
      <c r="D618" t="s">
        <v>51</v>
      </c>
      <c r="E618" t="s">
        <v>62</v>
      </c>
      <c r="F618" t="s">
        <v>33</v>
      </c>
      <c r="G618" t="s">
        <v>56</v>
      </c>
      <c r="H618" t="s">
        <v>53</v>
      </c>
      <c r="I618" t="str">
        <f>IF('Cleaned Data'!H618="Emi","EMI",'Cleaned Data'!H618)</f>
        <v>Cash</v>
      </c>
      <c r="J618" t="s">
        <v>48</v>
      </c>
      <c r="K618" t="s">
        <v>72</v>
      </c>
      <c r="L618">
        <v>1</v>
      </c>
      <c r="M618" s="9">
        <v>122255</v>
      </c>
      <c r="N618" s="4">
        <v>5.0999999999999997E-2</v>
      </c>
      <c r="O618" s="4">
        <f t="shared" si="9"/>
        <v>5.0999999999999997E-2</v>
      </c>
      <c r="P618" s="11">
        <v>122255</v>
      </c>
      <c r="Q618" s="9">
        <v>6235</v>
      </c>
      <c r="R618" s="9">
        <v>116020</v>
      </c>
      <c r="S618">
        <v>3</v>
      </c>
      <c r="T618">
        <v>171</v>
      </c>
      <c r="U618">
        <v>4.3</v>
      </c>
      <c r="V618">
        <v>7</v>
      </c>
      <c r="W618">
        <f>IF('Cleaned Data'!V618&lt;0,"Review",'Cleaned Data'!V618)</f>
        <v>7</v>
      </c>
      <c r="X618">
        <v>3</v>
      </c>
      <c r="Y618" s="7">
        <f>IFERROR('Cleaned Data'!R618/'Cleaned Data'!L618,0)</f>
        <v>116020</v>
      </c>
      <c r="Z618" t="str">
        <f>TEXT(EV_Sales[[#This Row],[Order_Date]],"mmm-yyyy")</f>
        <v>Oct-2025</v>
      </c>
      <c r="AA618">
        <f>MONTH(EV_Sales[[#This Row],[Order_Date]])</f>
        <v>10</v>
      </c>
      <c r="AB618" s="12" t="str">
        <f>"Q"&amp;ROUNDUP(MONTH(EV_Sales[[#This Row],[Order_Date]])/3,0)</f>
        <v>Q4</v>
      </c>
    </row>
    <row r="619" spans="1:28" x14ac:dyDescent="0.3">
      <c r="A619" t="s">
        <v>725</v>
      </c>
      <c r="B619" s="2">
        <v>45716</v>
      </c>
      <c r="C619" t="s">
        <v>76</v>
      </c>
      <c r="D619" t="s">
        <v>115</v>
      </c>
      <c r="E619" t="s">
        <v>46</v>
      </c>
      <c r="F619" t="s">
        <v>811</v>
      </c>
      <c r="G619" t="s">
        <v>26</v>
      </c>
      <c r="H619" t="s">
        <v>27</v>
      </c>
      <c r="I619" t="str">
        <f>IF('Cleaned Data'!H619="Emi","EMI",'Cleaned Data'!H619)</f>
        <v>Finance</v>
      </c>
      <c r="J619" t="s">
        <v>48</v>
      </c>
      <c r="K619" t="s">
        <v>72</v>
      </c>
      <c r="L619">
        <v>1</v>
      </c>
      <c r="M619" s="9">
        <v>132925</v>
      </c>
      <c r="N619" s="4">
        <v>7.2999999999999995E-2</v>
      </c>
      <c r="O619" s="4">
        <f t="shared" si="9"/>
        <v>7.2999999999999995E-2</v>
      </c>
      <c r="P619" s="11">
        <v>132925</v>
      </c>
      <c r="Q619" s="9">
        <v>9703.52</v>
      </c>
      <c r="R619" s="9">
        <v>123221.48</v>
      </c>
      <c r="S619">
        <v>3</v>
      </c>
      <c r="T619">
        <v>180</v>
      </c>
      <c r="U619">
        <v>4</v>
      </c>
      <c r="V619">
        <v>14</v>
      </c>
      <c r="W619">
        <f>IF('Cleaned Data'!V619&lt;0,"Review",'Cleaned Data'!V619)</f>
        <v>14</v>
      </c>
      <c r="X619">
        <v>3</v>
      </c>
      <c r="Y619" s="7">
        <f>IFERROR('Cleaned Data'!R619/'Cleaned Data'!L619,0)</f>
        <v>123221.48</v>
      </c>
      <c r="Z619" t="str">
        <f>TEXT(EV_Sales[[#This Row],[Order_Date]],"mmm-yyyy")</f>
        <v>Feb-2025</v>
      </c>
      <c r="AA619">
        <f>MONTH(EV_Sales[[#This Row],[Order_Date]])</f>
        <v>2</v>
      </c>
      <c r="AB619" s="12" t="str">
        <f>"Q"&amp;ROUNDUP(MONTH(EV_Sales[[#This Row],[Order_Date]])/3,0)</f>
        <v>Q1</v>
      </c>
    </row>
    <row r="620" spans="1:28" x14ac:dyDescent="0.3">
      <c r="A620" t="s">
        <v>726</v>
      </c>
      <c r="B620" s="2">
        <v>45771</v>
      </c>
      <c r="C620" t="s">
        <v>76</v>
      </c>
      <c r="D620" t="s">
        <v>115</v>
      </c>
      <c r="E620" t="s">
        <v>62</v>
      </c>
      <c r="F620" t="s">
        <v>41</v>
      </c>
      <c r="G620" t="s">
        <v>56</v>
      </c>
      <c r="H620" t="s">
        <v>27</v>
      </c>
      <c r="I620" t="str">
        <f>IF('Cleaned Data'!H620="Emi","EMI",'Cleaned Data'!H620)</f>
        <v>Finance</v>
      </c>
      <c r="J620" t="s">
        <v>48</v>
      </c>
      <c r="K620" t="s">
        <v>157</v>
      </c>
      <c r="L620">
        <v>2</v>
      </c>
      <c r="M620" s="9">
        <v>135493</v>
      </c>
      <c r="N620" s="4">
        <v>6.5000000000000002E-2</v>
      </c>
      <c r="O620" s="4">
        <f t="shared" si="9"/>
        <v>6.5000000000000002E-2</v>
      </c>
      <c r="P620" s="11">
        <v>270986</v>
      </c>
      <c r="Q620" s="9">
        <v>17614.09</v>
      </c>
      <c r="R620" s="9">
        <v>253371.91</v>
      </c>
      <c r="S620">
        <v>4</v>
      </c>
      <c r="T620">
        <v>198</v>
      </c>
      <c r="U620">
        <v>3.6</v>
      </c>
      <c r="V620">
        <v>4</v>
      </c>
      <c r="W620">
        <f>IF('Cleaned Data'!V620&lt;0,"Review",'Cleaned Data'!V620)</f>
        <v>4</v>
      </c>
      <c r="X620">
        <v>5</v>
      </c>
      <c r="Y620" s="7">
        <f>IFERROR('Cleaned Data'!R620/'Cleaned Data'!L620,0)</f>
        <v>126685.955</v>
      </c>
      <c r="Z620" t="str">
        <f>TEXT(EV_Sales[[#This Row],[Order_Date]],"mmm-yyyy")</f>
        <v>Apr-2025</v>
      </c>
      <c r="AA620">
        <f>MONTH(EV_Sales[[#This Row],[Order_Date]])</f>
        <v>4</v>
      </c>
      <c r="AB620" s="12" t="str">
        <f>"Q"&amp;ROUNDUP(MONTH(EV_Sales[[#This Row],[Order_Date]])/3,0)</f>
        <v>Q2</v>
      </c>
    </row>
    <row r="621" spans="1:28" x14ac:dyDescent="0.3">
      <c r="A621" t="s">
        <v>727</v>
      </c>
      <c r="B621" s="2">
        <v>45811</v>
      </c>
      <c r="C621" t="s">
        <v>44</v>
      </c>
      <c r="D621" t="s">
        <v>51</v>
      </c>
      <c r="E621" t="s">
        <v>62</v>
      </c>
      <c r="F621" t="s">
        <v>33</v>
      </c>
      <c r="G621" t="s">
        <v>56</v>
      </c>
      <c r="H621" t="s">
        <v>27</v>
      </c>
      <c r="I621" t="str">
        <f>IF('Cleaned Data'!H621="Emi","EMI",'Cleaned Data'!H621)</f>
        <v>Finance</v>
      </c>
      <c r="J621" t="s">
        <v>36</v>
      </c>
      <c r="K621" t="s">
        <v>81</v>
      </c>
      <c r="L621">
        <v>1</v>
      </c>
      <c r="M621" s="9">
        <v>115835</v>
      </c>
      <c r="N621" s="4">
        <v>3.3000000000000002E-2</v>
      </c>
      <c r="O621" s="4">
        <f t="shared" si="9"/>
        <v>3.3000000000000002E-2</v>
      </c>
      <c r="P621" s="11">
        <v>115835</v>
      </c>
      <c r="Q621" s="9">
        <v>3822.56</v>
      </c>
      <c r="R621" s="9">
        <v>112012.44</v>
      </c>
      <c r="S621">
        <v>3</v>
      </c>
      <c r="T621">
        <v>163</v>
      </c>
      <c r="U621">
        <v>3.4</v>
      </c>
      <c r="V621">
        <v>12</v>
      </c>
      <c r="W621">
        <f>IF('Cleaned Data'!V621&lt;0,"Review",'Cleaned Data'!V621)</f>
        <v>12</v>
      </c>
      <c r="X621">
        <v>3</v>
      </c>
      <c r="Y621" s="7">
        <f>IFERROR('Cleaned Data'!R621/'Cleaned Data'!L621,0)</f>
        <v>112012.44</v>
      </c>
      <c r="Z621" t="str">
        <f>TEXT(EV_Sales[[#This Row],[Order_Date]],"mmm-yyyy")</f>
        <v>Jun-2025</v>
      </c>
      <c r="AA621">
        <f>MONTH(EV_Sales[[#This Row],[Order_Date]])</f>
        <v>6</v>
      </c>
      <c r="AB621" s="12" t="str">
        <f>"Q"&amp;ROUNDUP(MONTH(EV_Sales[[#This Row],[Order_Date]])/3,0)</f>
        <v>Q2</v>
      </c>
    </row>
    <row r="622" spans="1:28" x14ac:dyDescent="0.3">
      <c r="A622" t="s">
        <v>728</v>
      </c>
      <c r="B622" s="2">
        <v>45890</v>
      </c>
      <c r="C622" t="s">
        <v>60</v>
      </c>
      <c r="D622" t="s">
        <v>61</v>
      </c>
      <c r="E622" t="s">
        <v>62</v>
      </c>
      <c r="F622" t="s">
        <v>74</v>
      </c>
      <c r="G622" t="s">
        <v>67</v>
      </c>
      <c r="H622" t="s">
        <v>53</v>
      </c>
      <c r="I622" t="str">
        <f>IF('Cleaned Data'!H622="Emi","EMI",'Cleaned Data'!H622)</f>
        <v>Cash</v>
      </c>
      <c r="J622" t="s">
        <v>57</v>
      </c>
      <c r="K622" t="s">
        <v>29</v>
      </c>
      <c r="L622">
        <v>2</v>
      </c>
      <c r="M622" s="9">
        <v>113613</v>
      </c>
      <c r="N622" s="4">
        <v>3.1E-2</v>
      </c>
      <c r="O622" s="4">
        <f t="shared" si="9"/>
        <v>3.1E-2</v>
      </c>
      <c r="P622" s="11">
        <v>227226</v>
      </c>
      <c r="Q622" s="9">
        <v>7044.01</v>
      </c>
      <c r="R622" s="9">
        <v>220181.99</v>
      </c>
      <c r="S622">
        <v>2</v>
      </c>
      <c r="T622">
        <v>153</v>
      </c>
      <c r="U622">
        <v>5</v>
      </c>
      <c r="V622">
        <v>11</v>
      </c>
      <c r="W622">
        <f>IF('Cleaned Data'!V622&lt;0,"Review",'Cleaned Data'!V622)</f>
        <v>11</v>
      </c>
      <c r="X622">
        <v>5</v>
      </c>
      <c r="Y622" s="7">
        <f>IFERROR('Cleaned Data'!R622/'Cleaned Data'!L622,0)</f>
        <v>110090.995</v>
      </c>
      <c r="Z622" t="str">
        <f>TEXT(EV_Sales[[#This Row],[Order_Date]],"mmm-yyyy")</f>
        <v>Aug-2025</v>
      </c>
      <c r="AA622">
        <f>MONTH(EV_Sales[[#This Row],[Order_Date]])</f>
        <v>8</v>
      </c>
      <c r="AB622" s="12" t="str">
        <f>"Q"&amp;ROUNDUP(MONTH(EV_Sales[[#This Row],[Order_Date]])/3,0)</f>
        <v>Q3</v>
      </c>
    </row>
    <row r="623" spans="1:28" x14ac:dyDescent="0.3">
      <c r="A623" t="s">
        <v>729</v>
      </c>
      <c r="B623" s="2">
        <v>45922</v>
      </c>
      <c r="C623" t="s">
        <v>60</v>
      </c>
      <c r="D623" t="s">
        <v>61</v>
      </c>
      <c r="E623" t="s">
        <v>24</v>
      </c>
      <c r="F623" t="s">
        <v>41</v>
      </c>
      <c r="G623" t="s">
        <v>34</v>
      </c>
      <c r="H623" t="s">
        <v>53</v>
      </c>
      <c r="I623" t="str">
        <f>IF('Cleaned Data'!H623="Emi","EMI",'Cleaned Data'!H623)</f>
        <v>Cash</v>
      </c>
      <c r="J623" t="s">
        <v>94</v>
      </c>
      <c r="K623" t="s">
        <v>104</v>
      </c>
      <c r="L623">
        <v>1</v>
      </c>
      <c r="M623" s="9">
        <v>119739</v>
      </c>
      <c r="N623" s="4">
        <v>0.10100000000000001</v>
      </c>
      <c r="O623" s="4">
        <f t="shared" si="9"/>
        <v>0.10100000000000001</v>
      </c>
      <c r="P623" s="11">
        <v>119739</v>
      </c>
      <c r="Q623" s="9">
        <v>12093.64</v>
      </c>
      <c r="R623" s="9">
        <v>107645.36</v>
      </c>
      <c r="S623">
        <v>4</v>
      </c>
      <c r="T623">
        <v>190</v>
      </c>
      <c r="U623">
        <v>4.2</v>
      </c>
      <c r="V623">
        <v>6</v>
      </c>
      <c r="W623">
        <f>IF('Cleaned Data'!V623&lt;0,"Review",'Cleaned Data'!V623)</f>
        <v>6</v>
      </c>
      <c r="X623">
        <v>3</v>
      </c>
      <c r="Y623" s="7">
        <f>IFERROR('Cleaned Data'!R623/'Cleaned Data'!L623,0)</f>
        <v>107645.36</v>
      </c>
      <c r="Z623" t="str">
        <f>TEXT(EV_Sales[[#This Row],[Order_Date]],"mmm-yyyy")</f>
        <v>Sep-2025</v>
      </c>
      <c r="AA623">
        <f>MONTH(EV_Sales[[#This Row],[Order_Date]])</f>
        <v>9</v>
      </c>
      <c r="AB623" s="12" t="str">
        <f>"Q"&amp;ROUNDUP(MONTH(EV_Sales[[#This Row],[Order_Date]])/3,0)</f>
        <v>Q3</v>
      </c>
    </row>
    <row r="624" spans="1:28" x14ac:dyDescent="0.3">
      <c r="A624" t="s">
        <v>730</v>
      </c>
      <c r="B624" s="2">
        <v>46012</v>
      </c>
      <c r="C624" t="s">
        <v>44</v>
      </c>
      <c r="D624" t="s">
        <v>51</v>
      </c>
      <c r="E624" t="s">
        <v>46</v>
      </c>
      <c r="F624" t="s">
        <v>74</v>
      </c>
      <c r="G624" t="s">
        <v>34</v>
      </c>
      <c r="H624" t="s">
        <v>27</v>
      </c>
      <c r="I624" t="str">
        <f>IF('Cleaned Data'!H624="Emi","EMI",'Cleaned Data'!H624)</f>
        <v>Finance</v>
      </c>
      <c r="J624" t="s">
        <v>28</v>
      </c>
      <c r="K624" t="s">
        <v>123</v>
      </c>
      <c r="L624">
        <v>5</v>
      </c>
      <c r="M624" s="9">
        <v>124530</v>
      </c>
      <c r="N624" s="4">
        <v>4.1000000000000002E-2</v>
      </c>
      <c r="O624" s="4">
        <f t="shared" si="9"/>
        <v>4.1000000000000002E-2</v>
      </c>
      <c r="P624" s="11">
        <v>622650</v>
      </c>
      <c r="Q624" s="9">
        <v>25528.65</v>
      </c>
      <c r="R624" s="9">
        <v>597121.35</v>
      </c>
      <c r="S624">
        <v>2</v>
      </c>
      <c r="T624">
        <v>169</v>
      </c>
      <c r="U624">
        <v>3</v>
      </c>
      <c r="V624">
        <v>7</v>
      </c>
      <c r="W624">
        <f>IF('Cleaned Data'!V624&lt;0,"Review",'Cleaned Data'!V624)</f>
        <v>7</v>
      </c>
      <c r="X624">
        <v>5</v>
      </c>
      <c r="Y624" s="7">
        <f>IFERROR('Cleaned Data'!R624/'Cleaned Data'!L624,0)</f>
        <v>119424.26999999999</v>
      </c>
      <c r="Z624" t="str">
        <f>TEXT(EV_Sales[[#This Row],[Order_Date]],"mmm-yyyy")</f>
        <v>Dec-2025</v>
      </c>
      <c r="AA624">
        <f>MONTH(EV_Sales[[#This Row],[Order_Date]])</f>
        <v>12</v>
      </c>
      <c r="AB624" s="12" t="str">
        <f>"Q"&amp;ROUNDUP(MONTH(EV_Sales[[#This Row],[Order_Date]])/3,0)</f>
        <v>Q4</v>
      </c>
    </row>
    <row r="625" spans="1:28" x14ac:dyDescent="0.3">
      <c r="A625" t="s">
        <v>731</v>
      </c>
      <c r="B625" s="2">
        <v>45772</v>
      </c>
      <c r="C625" t="s">
        <v>39</v>
      </c>
      <c r="D625" t="s">
        <v>154</v>
      </c>
      <c r="E625" t="s">
        <v>62</v>
      </c>
      <c r="F625" t="s">
        <v>70</v>
      </c>
      <c r="G625" t="s">
        <v>56</v>
      </c>
      <c r="H625" t="s">
        <v>27</v>
      </c>
      <c r="I625" t="str">
        <f>IF('Cleaned Data'!H625="Emi","EMI",'Cleaned Data'!H625)</f>
        <v>Finance</v>
      </c>
      <c r="J625" t="s">
        <v>36</v>
      </c>
      <c r="K625" t="s">
        <v>58</v>
      </c>
      <c r="L625">
        <v>1</v>
      </c>
      <c r="M625" s="9">
        <v>181214</v>
      </c>
      <c r="N625" s="4">
        <v>4.7E-2</v>
      </c>
      <c r="O625" s="4">
        <f t="shared" si="9"/>
        <v>4.7E-2</v>
      </c>
      <c r="P625" s="11">
        <v>181214</v>
      </c>
      <c r="Q625" s="9">
        <v>8517.06</v>
      </c>
      <c r="R625" s="9">
        <v>172696.94</v>
      </c>
      <c r="S625">
        <v>2</v>
      </c>
      <c r="T625">
        <v>127</v>
      </c>
      <c r="U625">
        <v>4.8</v>
      </c>
      <c r="V625">
        <v>8</v>
      </c>
      <c r="W625">
        <f>IF('Cleaned Data'!V625&lt;0,"Review",'Cleaned Data'!V625)</f>
        <v>8</v>
      </c>
      <c r="X625">
        <v>5</v>
      </c>
      <c r="Y625" s="7">
        <f>IFERROR('Cleaned Data'!R625/'Cleaned Data'!L625,0)</f>
        <v>172696.94</v>
      </c>
      <c r="Z625" t="str">
        <f>TEXT(EV_Sales[[#This Row],[Order_Date]],"mmm-yyyy")</f>
        <v>Apr-2025</v>
      </c>
      <c r="AA625">
        <f>MONTH(EV_Sales[[#This Row],[Order_Date]])</f>
        <v>4</v>
      </c>
      <c r="AB625" s="12" t="str">
        <f>"Q"&amp;ROUNDUP(MONTH(EV_Sales[[#This Row],[Order_Date]])/3,0)</f>
        <v>Q2</v>
      </c>
    </row>
    <row r="626" spans="1:28" x14ac:dyDescent="0.3">
      <c r="A626" t="s">
        <v>732</v>
      </c>
      <c r="B626" s="2">
        <v>45937</v>
      </c>
      <c r="C626" t="s">
        <v>44</v>
      </c>
      <c r="D626" t="s">
        <v>45</v>
      </c>
      <c r="E626" t="s">
        <v>24</v>
      </c>
      <c r="F626" t="s">
        <v>25</v>
      </c>
      <c r="G626" t="s">
        <v>67</v>
      </c>
      <c r="H626" t="s">
        <v>27</v>
      </c>
      <c r="I626" t="str">
        <f>IF('Cleaned Data'!H626="Emi","EMI",'Cleaned Data'!H626)</f>
        <v>Finance</v>
      </c>
      <c r="J626" t="s">
        <v>48</v>
      </c>
      <c r="K626" t="s">
        <v>104</v>
      </c>
      <c r="L626">
        <v>1</v>
      </c>
      <c r="M626" s="9">
        <v>150265</v>
      </c>
      <c r="N626" s="4">
        <v>2.7E-2</v>
      </c>
      <c r="O626" s="4">
        <f t="shared" si="9"/>
        <v>2.7E-2</v>
      </c>
      <c r="P626" s="11">
        <v>150265</v>
      </c>
      <c r="Q626" s="9">
        <v>4057.15</v>
      </c>
      <c r="R626" s="9">
        <v>146207.85</v>
      </c>
      <c r="S626">
        <v>4</v>
      </c>
      <c r="T626">
        <v>180</v>
      </c>
      <c r="U626">
        <v>4.5999999999999996</v>
      </c>
      <c r="V626">
        <v>7</v>
      </c>
      <c r="W626">
        <f>IF('Cleaned Data'!V626&lt;0,"Review",'Cleaned Data'!V626)</f>
        <v>7</v>
      </c>
      <c r="X626">
        <v>2</v>
      </c>
      <c r="Y626" s="7">
        <f>IFERROR('Cleaned Data'!R626/'Cleaned Data'!L626,0)</f>
        <v>146207.85</v>
      </c>
      <c r="Z626" t="str">
        <f>TEXT(EV_Sales[[#This Row],[Order_Date]],"mmm-yyyy")</f>
        <v>Oct-2025</v>
      </c>
      <c r="AA626">
        <f>MONTH(EV_Sales[[#This Row],[Order_Date]])</f>
        <v>10</v>
      </c>
      <c r="AB626" s="12" t="str">
        <f>"Q"&amp;ROUNDUP(MONTH(EV_Sales[[#This Row],[Order_Date]])/3,0)</f>
        <v>Q4</v>
      </c>
    </row>
    <row r="627" spans="1:28" x14ac:dyDescent="0.3">
      <c r="A627" t="s">
        <v>733</v>
      </c>
      <c r="B627" s="2">
        <v>45729</v>
      </c>
      <c r="C627" t="s">
        <v>22</v>
      </c>
      <c r="D627" t="s">
        <v>23</v>
      </c>
      <c r="E627" t="s">
        <v>24</v>
      </c>
      <c r="F627" t="s">
        <v>41</v>
      </c>
      <c r="G627" t="s">
        <v>67</v>
      </c>
      <c r="H627" t="s">
        <v>27</v>
      </c>
      <c r="I627" t="str">
        <f>IF('Cleaned Data'!H627="Emi","EMI",'Cleaned Data'!H627)</f>
        <v>Finance</v>
      </c>
      <c r="J627" t="s">
        <v>57</v>
      </c>
      <c r="K627" t="s">
        <v>175</v>
      </c>
      <c r="L627">
        <v>1</v>
      </c>
      <c r="M627" s="9">
        <v>118433</v>
      </c>
      <c r="N627" s="4">
        <v>8.1000000000000003E-2</v>
      </c>
      <c r="O627" s="4">
        <f t="shared" si="9"/>
        <v>8.1000000000000003E-2</v>
      </c>
      <c r="P627" s="11">
        <v>118433</v>
      </c>
      <c r="Q627" s="9">
        <v>9593.07</v>
      </c>
      <c r="R627" s="9">
        <v>108839.93</v>
      </c>
      <c r="S627">
        <v>4</v>
      </c>
      <c r="T627">
        <v>189</v>
      </c>
      <c r="U627">
        <v>4.3</v>
      </c>
      <c r="V627">
        <v>3</v>
      </c>
      <c r="W627">
        <f>IF('Cleaned Data'!V627&lt;0,"Review",'Cleaned Data'!V627)</f>
        <v>3</v>
      </c>
      <c r="X627">
        <v>2</v>
      </c>
      <c r="Y627" s="7">
        <f>IFERROR('Cleaned Data'!R627/'Cleaned Data'!L627,0)</f>
        <v>108839.93</v>
      </c>
      <c r="Z627" t="str">
        <f>TEXT(EV_Sales[[#This Row],[Order_Date]],"mmm-yyyy")</f>
        <v>Mar-2025</v>
      </c>
      <c r="AA627">
        <f>MONTH(EV_Sales[[#This Row],[Order_Date]])</f>
        <v>3</v>
      </c>
      <c r="AB627" s="12" t="str">
        <f>"Q"&amp;ROUNDUP(MONTH(EV_Sales[[#This Row],[Order_Date]])/3,0)</f>
        <v>Q1</v>
      </c>
    </row>
    <row r="628" spans="1:28" x14ac:dyDescent="0.3">
      <c r="A628" t="s">
        <v>734</v>
      </c>
      <c r="B628" s="2">
        <v>45892</v>
      </c>
      <c r="C628" t="s">
        <v>31</v>
      </c>
      <c r="D628" t="s">
        <v>32</v>
      </c>
      <c r="E628" t="s">
        <v>46</v>
      </c>
      <c r="F628" t="s">
        <v>41</v>
      </c>
      <c r="G628" t="s">
        <v>26</v>
      </c>
      <c r="H628" t="s">
        <v>27</v>
      </c>
      <c r="I628" t="str">
        <f>IF('Cleaned Data'!H628="Emi","EMI",'Cleaned Data'!H628)</f>
        <v>Finance</v>
      </c>
      <c r="J628" t="s">
        <v>57</v>
      </c>
      <c r="K628" t="s">
        <v>54</v>
      </c>
      <c r="L628">
        <v>4</v>
      </c>
      <c r="M628" s="9">
        <v>110645</v>
      </c>
      <c r="N628" s="4">
        <v>7.2999999999999995E-2</v>
      </c>
      <c r="O628" s="4">
        <f t="shared" si="9"/>
        <v>7.2999999999999995E-2</v>
      </c>
      <c r="P628" s="11">
        <v>442580</v>
      </c>
      <c r="Q628" s="9">
        <v>32308.34</v>
      </c>
      <c r="R628" s="9">
        <v>410271.66</v>
      </c>
      <c r="S628">
        <v>5</v>
      </c>
      <c r="T628">
        <v>195</v>
      </c>
      <c r="U628">
        <v>4.5999999999999996</v>
      </c>
      <c r="V628">
        <v>7</v>
      </c>
      <c r="W628">
        <f>IF('Cleaned Data'!V628&lt;0,"Review",'Cleaned Data'!V628)</f>
        <v>7</v>
      </c>
      <c r="X628">
        <v>2</v>
      </c>
      <c r="Y628" s="7">
        <f>IFERROR('Cleaned Data'!R628/'Cleaned Data'!L628,0)</f>
        <v>102567.91499999999</v>
      </c>
      <c r="Z628" t="str">
        <f>TEXT(EV_Sales[[#This Row],[Order_Date]],"mmm-yyyy")</f>
        <v>Aug-2025</v>
      </c>
      <c r="AA628">
        <f>MONTH(EV_Sales[[#This Row],[Order_Date]])</f>
        <v>8</v>
      </c>
      <c r="AB628" s="12" t="str">
        <f>"Q"&amp;ROUNDUP(MONTH(EV_Sales[[#This Row],[Order_Date]])/3,0)</f>
        <v>Q3</v>
      </c>
    </row>
    <row r="629" spans="1:28" x14ac:dyDescent="0.3">
      <c r="A629" t="s">
        <v>735</v>
      </c>
      <c r="B629" s="2">
        <v>45728</v>
      </c>
      <c r="C629" t="s">
        <v>76</v>
      </c>
      <c r="D629" t="s">
        <v>115</v>
      </c>
      <c r="E629" t="s">
        <v>62</v>
      </c>
      <c r="F629" t="s">
        <v>52</v>
      </c>
      <c r="G629" t="s">
        <v>56</v>
      </c>
      <c r="H629" t="s">
        <v>809</v>
      </c>
      <c r="I629" t="str">
        <f>IF('Cleaned Data'!H629="Emi","EMI",'Cleaned Data'!H629)</f>
        <v>EMI</v>
      </c>
      <c r="J629" t="s">
        <v>63</v>
      </c>
      <c r="K629" t="s">
        <v>212</v>
      </c>
      <c r="L629">
        <v>1</v>
      </c>
      <c r="M629" s="9">
        <v>125045</v>
      </c>
      <c r="N629" s="4">
        <v>6.4000000000000001E-2</v>
      </c>
      <c r="O629" s="4">
        <f t="shared" si="9"/>
        <v>6.4000000000000001E-2</v>
      </c>
      <c r="P629" s="11">
        <v>125045</v>
      </c>
      <c r="Q629" s="9">
        <v>8002.88</v>
      </c>
      <c r="R629" s="9">
        <v>117042.12</v>
      </c>
      <c r="S629">
        <v>3</v>
      </c>
      <c r="T629">
        <v>170</v>
      </c>
      <c r="U629">
        <v>4.8</v>
      </c>
      <c r="V629">
        <v>3</v>
      </c>
      <c r="W629">
        <f>IF('Cleaned Data'!V629&lt;0,"Review",'Cleaned Data'!V629)</f>
        <v>3</v>
      </c>
      <c r="X629">
        <v>3</v>
      </c>
      <c r="Y629" s="7">
        <f>IFERROR('Cleaned Data'!R629/'Cleaned Data'!L629,0)</f>
        <v>117042.12</v>
      </c>
      <c r="Z629" t="str">
        <f>TEXT(EV_Sales[[#This Row],[Order_Date]],"mmm-yyyy")</f>
        <v>Mar-2025</v>
      </c>
      <c r="AA629">
        <f>MONTH(EV_Sales[[#This Row],[Order_Date]])</f>
        <v>3</v>
      </c>
      <c r="AB629" s="12" t="str">
        <f>"Q"&amp;ROUNDUP(MONTH(EV_Sales[[#This Row],[Order_Date]])/3,0)</f>
        <v>Q1</v>
      </c>
    </row>
    <row r="630" spans="1:28" x14ac:dyDescent="0.3">
      <c r="A630" t="s">
        <v>736</v>
      </c>
      <c r="B630" s="2">
        <v>46000</v>
      </c>
      <c r="C630" t="s">
        <v>60</v>
      </c>
      <c r="D630" t="s">
        <v>69</v>
      </c>
      <c r="E630" t="s">
        <v>62</v>
      </c>
      <c r="F630" t="s">
        <v>80</v>
      </c>
      <c r="G630" t="s">
        <v>34</v>
      </c>
      <c r="H630" t="s">
        <v>809</v>
      </c>
      <c r="I630" t="str">
        <f>IF('Cleaned Data'!H630="Emi","EMI",'Cleaned Data'!H630)</f>
        <v>EMI</v>
      </c>
      <c r="J630" t="s">
        <v>63</v>
      </c>
      <c r="K630" t="s">
        <v>203</v>
      </c>
      <c r="L630">
        <v>4</v>
      </c>
      <c r="M630" s="9">
        <v>102491</v>
      </c>
      <c r="N630" s="4">
        <v>6.9000000000000006E-2</v>
      </c>
      <c r="O630" s="4">
        <f t="shared" si="9"/>
        <v>6.9000000000000006E-2</v>
      </c>
      <c r="P630" s="11">
        <v>409964</v>
      </c>
      <c r="Q630" s="9">
        <v>28287.52</v>
      </c>
      <c r="R630" s="9">
        <v>381676.48</v>
      </c>
      <c r="S630">
        <v>5</v>
      </c>
      <c r="T630">
        <v>211</v>
      </c>
      <c r="U630">
        <v>3.3</v>
      </c>
      <c r="V630">
        <v>4</v>
      </c>
      <c r="W630">
        <f>IF('Cleaned Data'!V630&lt;0,"Review",'Cleaned Data'!V630)</f>
        <v>4</v>
      </c>
      <c r="X630">
        <v>3</v>
      </c>
      <c r="Y630" s="7">
        <f>IFERROR('Cleaned Data'!R630/'Cleaned Data'!L630,0)</f>
        <v>95419.12</v>
      </c>
      <c r="Z630" t="str">
        <f>TEXT(EV_Sales[[#This Row],[Order_Date]],"mmm-yyyy")</f>
        <v>Dec-2025</v>
      </c>
      <c r="AA630">
        <f>MONTH(EV_Sales[[#This Row],[Order_Date]])</f>
        <v>12</v>
      </c>
      <c r="AB630" s="12" t="str">
        <f>"Q"&amp;ROUNDUP(MONTH(EV_Sales[[#This Row],[Order_Date]])/3,0)</f>
        <v>Q4</v>
      </c>
    </row>
    <row r="631" spans="1:28" x14ac:dyDescent="0.3">
      <c r="A631" t="s">
        <v>737</v>
      </c>
      <c r="B631" s="2">
        <v>45769</v>
      </c>
      <c r="C631" t="s">
        <v>39</v>
      </c>
      <c r="D631" t="s">
        <v>40</v>
      </c>
      <c r="E631" t="s">
        <v>46</v>
      </c>
      <c r="F631" t="s">
        <v>101</v>
      </c>
      <c r="G631" t="s">
        <v>26</v>
      </c>
      <c r="H631" t="s">
        <v>809</v>
      </c>
      <c r="I631" t="str">
        <f>IF('Cleaned Data'!H631="Emi","EMI",'Cleaned Data'!H631)</f>
        <v>EMI</v>
      </c>
      <c r="J631" t="s">
        <v>94</v>
      </c>
      <c r="K631" t="s">
        <v>81</v>
      </c>
      <c r="L631">
        <v>2</v>
      </c>
      <c r="M631" s="9">
        <v>127820</v>
      </c>
      <c r="N631" s="4">
        <v>6.5000000000000002E-2</v>
      </c>
      <c r="O631" s="4">
        <f t="shared" si="9"/>
        <v>6.5000000000000002E-2</v>
      </c>
      <c r="P631" s="11">
        <v>255640</v>
      </c>
      <c r="Q631" s="9">
        <v>16616.599999999999</v>
      </c>
      <c r="R631" s="9">
        <v>239023.4</v>
      </c>
      <c r="S631">
        <v>5</v>
      </c>
      <c r="T631">
        <v>199</v>
      </c>
      <c r="U631">
        <v>4.4000000000000004</v>
      </c>
      <c r="V631">
        <v>11</v>
      </c>
      <c r="W631">
        <f>IF('Cleaned Data'!V631&lt;0,"Review",'Cleaned Data'!V631)</f>
        <v>11</v>
      </c>
      <c r="X631">
        <v>5</v>
      </c>
      <c r="Y631" s="7">
        <f>IFERROR('Cleaned Data'!R631/'Cleaned Data'!L631,0)</f>
        <v>119511.7</v>
      </c>
      <c r="Z631" t="str">
        <f>TEXT(EV_Sales[[#This Row],[Order_Date]],"mmm-yyyy")</f>
        <v>Apr-2025</v>
      </c>
      <c r="AA631">
        <f>MONTH(EV_Sales[[#This Row],[Order_Date]])</f>
        <v>4</v>
      </c>
      <c r="AB631" s="12" t="str">
        <f>"Q"&amp;ROUNDUP(MONTH(EV_Sales[[#This Row],[Order_Date]])/3,0)</f>
        <v>Q2</v>
      </c>
    </row>
    <row r="632" spans="1:28" x14ac:dyDescent="0.3">
      <c r="A632" t="s">
        <v>738</v>
      </c>
      <c r="B632" s="2">
        <v>45694</v>
      </c>
      <c r="C632" t="s">
        <v>87</v>
      </c>
      <c r="D632" t="s">
        <v>130</v>
      </c>
      <c r="E632" t="s">
        <v>62</v>
      </c>
      <c r="F632" t="s">
        <v>70</v>
      </c>
      <c r="G632" t="s">
        <v>56</v>
      </c>
      <c r="H632" t="s">
        <v>53</v>
      </c>
      <c r="I632" t="str">
        <f>IF('Cleaned Data'!H632="Emi","EMI",'Cleaned Data'!H632)</f>
        <v>Cash</v>
      </c>
      <c r="J632" t="s">
        <v>36</v>
      </c>
      <c r="K632" t="s">
        <v>118</v>
      </c>
      <c r="L632">
        <v>1</v>
      </c>
      <c r="M632" s="9">
        <v>111249</v>
      </c>
      <c r="N632" s="4">
        <v>5.8000000000000003E-2</v>
      </c>
      <c r="O632" s="4">
        <f t="shared" si="9"/>
        <v>5.8000000000000003E-2</v>
      </c>
      <c r="P632" s="11">
        <v>111249</v>
      </c>
      <c r="Q632" s="9">
        <v>6452.44</v>
      </c>
      <c r="R632" s="9">
        <v>104796.56</v>
      </c>
      <c r="S632">
        <v>3</v>
      </c>
      <c r="T632">
        <v>150</v>
      </c>
      <c r="U632">
        <v>4</v>
      </c>
      <c r="V632">
        <v>5</v>
      </c>
      <c r="W632">
        <f>IF('Cleaned Data'!V632&lt;0,"Review",'Cleaned Data'!V632)</f>
        <v>5</v>
      </c>
      <c r="X632">
        <v>5</v>
      </c>
      <c r="Y632" s="7">
        <f>IFERROR('Cleaned Data'!R632/'Cleaned Data'!L632,0)</f>
        <v>104796.56</v>
      </c>
      <c r="Z632" t="str">
        <f>TEXT(EV_Sales[[#This Row],[Order_Date]],"mmm-yyyy")</f>
        <v>Feb-2025</v>
      </c>
      <c r="AA632">
        <f>MONTH(EV_Sales[[#This Row],[Order_Date]])</f>
        <v>2</v>
      </c>
      <c r="AB632" s="12" t="str">
        <f>"Q"&amp;ROUNDUP(MONTH(EV_Sales[[#This Row],[Order_Date]])/3,0)</f>
        <v>Q1</v>
      </c>
    </row>
    <row r="633" spans="1:28" x14ac:dyDescent="0.3">
      <c r="A633" t="s">
        <v>739</v>
      </c>
      <c r="B633" s="2">
        <v>45683</v>
      </c>
      <c r="C633" t="s">
        <v>44</v>
      </c>
      <c r="D633" t="s">
        <v>51</v>
      </c>
      <c r="E633" t="s">
        <v>46</v>
      </c>
      <c r="F633" t="s">
        <v>52</v>
      </c>
      <c r="G633" t="s">
        <v>34</v>
      </c>
      <c r="H633" t="s">
        <v>27</v>
      </c>
      <c r="I633" t="str">
        <f>IF('Cleaned Data'!H633="Emi","EMI",'Cleaned Data'!H633)</f>
        <v>Finance</v>
      </c>
      <c r="J633" t="s">
        <v>94</v>
      </c>
      <c r="K633" t="s">
        <v>72</v>
      </c>
      <c r="L633">
        <v>1</v>
      </c>
      <c r="M633" s="9">
        <v>114989</v>
      </c>
      <c r="N633" s="4">
        <v>5.0999999999999997E-2</v>
      </c>
      <c r="O633" s="4">
        <f t="shared" si="9"/>
        <v>5.0999999999999997E-2</v>
      </c>
      <c r="P633" s="11">
        <v>114989</v>
      </c>
      <c r="Q633" s="9">
        <v>5864.44</v>
      </c>
      <c r="R633" s="9">
        <v>109124.56</v>
      </c>
      <c r="S633">
        <v>2</v>
      </c>
      <c r="T633">
        <v>142</v>
      </c>
      <c r="U633">
        <v>3.9</v>
      </c>
      <c r="V633">
        <v>12</v>
      </c>
      <c r="W633">
        <f>IF('Cleaned Data'!V633&lt;0,"Review",'Cleaned Data'!V633)</f>
        <v>12</v>
      </c>
      <c r="X633">
        <v>2</v>
      </c>
      <c r="Y633" s="7">
        <f>IFERROR('Cleaned Data'!R633/'Cleaned Data'!L633,0)</f>
        <v>109124.56</v>
      </c>
      <c r="Z633" t="str">
        <f>TEXT(EV_Sales[[#This Row],[Order_Date]],"mmm-yyyy")</f>
        <v>Jan-2025</v>
      </c>
      <c r="AA633">
        <f>MONTH(EV_Sales[[#This Row],[Order_Date]])</f>
        <v>1</v>
      </c>
      <c r="AB633" s="12" t="str">
        <f>"Q"&amp;ROUNDUP(MONTH(EV_Sales[[#This Row],[Order_Date]])/3,0)</f>
        <v>Q1</v>
      </c>
    </row>
    <row r="634" spans="1:28" x14ac:dyDescent="0.3">
      <c r="A634" t="s">
        <v>740</v>
      </c>
      <c r="B634" s="2">
        <v>45912</v>
      </c>
      <c r="C634" t="s">
        <v>44</v>
      </c>
      <c r="D634" t="s">
        <v>51</v>
      </c>
      <c r="E634" t="s">
        <v>46</v>
      </c>
      <c r="F634" t="s">
        <v>52</v>
      </c>
      <c r="G634" t="s">
        <v>34</v>
      </c>
      <c r="H634" t="s">
        <v>27</v>
      </c>
      <c r="I634" t="str">
        <f>IF('Cleaned Data'!H634="Emi","EMI",'Cleaned Data'!H634)</f>
        <v>Finance</v>
      </c>
      <c r="J634" t="s">
        <v>57</v>
      </c>
      <c r="K634" t="s">
        <v>89</v>
      </c>
      <c r="L634">
        <v>2</v>
      </c>
      <c r="M634" s="9">
        <v>119753</v>
      </c>
      <c r="N634" s="4">
        <v>4.7E-2</v>
      </c>
      <c r="O634" s="4">
        <f t="shared" si="9"/>
        <v>4.7E-2</v>
      </c>
      <c r="P634" s="11">
        <v>239506</v>
      </c>
      <c r="Q634" s="9">
        <v>11256.78</v>
      </c>
      <c r="R634" s="9">
        <v>228249.22</v>
      </c>
      <c r="S634">
        <v>3</v>
      </c>
      <c r="T634">
        <v>152</v>
      </c>
      <c r="U634">
        <v>4.9000000000000004</v>
      </c>
      <c r="V634">
        <v>14</v>
      </c>
      <c r="W634">
        <f>IF('Cleaned Data'!V634&lt;0,"Review",'Cleaned Data'!V634)</f>
        <v>14</v>
      </c>
      <c r="X634">
        <v>3</v>
      </c>
      <c r="Y634" s="7">
        <f>IFERROR('Cleaned Data'!R634/'Cleaned Data'!L634,0)</f>
        <v>114124.61</v>
      </c>
      <c r="Z634" t="str">
        <f>TEXT(EV_Sales[[#This Row],[Order_Date]],"mmm-yyyy")</f>
        <v>Sep-2025</v>
      </c>
      <c r="AA634">
        <f>MONTH(EV_Sales[[#This Row],[Order_Date]])</f>
        <v>9</v>
      </c>
      <c r="AB634" s="12" t="str">
        <f>"Q"&amp;ROUNDUP(MONTH(EV_Sales[[#This Row],[Order_Date]])/3,0)</f>
        <v>Q3</v>
      </c>
    </row>
    <row r="635" spans="1:28" x14ac:dyDescent="0.3">
      <c r="A635" t="s">
        <v>741</v>
      </c>
      <c r="B635" s="2">
        <v>45864</v>
      </c>
      <c r="C635" t="s">
        <v>99</v>
      </c>
      <c r="D635" t="s">
        <v>121</v>
      </c>
      <c r="E635" t="s">
        <v>46</v>
      </c>
      <c r="F635" t="s">
        <v>66</v>
      </c>
      <c r="G635" t="s">
        <v>67</v>
      </c>
      <c r="H635" t="s">
        <v>809</v>
      </c>
      <c r="I635" t="str">
        <f>IF('Cleaned Data'!H635="Emi","EMI",'Cleaned Data'!H635)</f>
        <v>EMI</v>
      </c>
      <c r="J635" t="s">
        <v>57</v>
      </c>
      <c r="K635" t="s">
        <v>109</v>
      </c>
      <c r="L635">
        <v>1</v>
      </c>
      <c r="M635" s="9">
        <v>108913</v>
      </c>
      <c r="N635" s="4">
        <v>6.4000000000000001E-2</v>
      </c>
      <c r="O635" s="4">
        <f t="shared" si="9"/>
        <v>6.4000000000000001E-2</v>
      </c>
      <c r="P635" s="11">
        <v>108913</v>
      </c>
      <c r="Q635" s="9">
        <v>6970.43</v>
      </c>
      <c r="R635" s="9">
        <v>101942.57</v>
      </c>
      <c r="S635">
        <v>5</v>
      </c>
      <c r="T635">
        <v>204</v>
      </c>
      <c r="U635">
        <v>3.7</v>
      </c>
      <c r="V635">
        <v>4</v>
      </c>
      <c r="W635">
        <f>IF('Cleaned Data'!V635&lt;0,"Review",'Cleaned Data'!V635)</f>
        <v>4</v>
      </c>
      <c r="X635">
        <v>2</v>
      </c>
      <c r="Y635" s="7">
        <f>IFERROR('Cleaned Data'!R635/'Cleaned Data'!L635,0)</f>
        <v>101942.57</v>
      </c>
      <c r="Z635" t="str">
        <f>TEXT(EV_Sales[[#This Row],[Order_Date]],"mmm-yyyy")</f>
        <v>Jul-2025</v>
      </c>
      <c r="AA635">
        <f>MONTH(EV_Sales[[#This Row],[Order_Date]])</f>
        <v>7</v>
      </c>
      <c r="AB635" s="12" t="str">
        <f>"Q"&amp;ROUNDUP(MONTH(EV_Sales[[#This Row],[Order_Date]])/3,0)</f>
        <v>Q3</v>
      </c>
    </row>
    <row r="636" spans="1:28" x14ac:dyDescent="0.3">
      <c r="A636" t="s">
        <v>742</v>
      </c>
      <c r="B636" s="2">
        <v>45844</v>
      </c>
      <c r="C636" t="s">
        <v>22</v>
      </c>
      <c r="D636" t="s">
        <v>23</v>
      </c>
      <c r="E636" t="s">
        <v>24</v>
      </c>
      <c r="F636" t="s">
        <v>25</v>
      </c>
      <c r="G636" t="s">
        <v>56</v>
      </c>
      <c r="H636" t="s">
        <v>809</v>
      </c>
      <c r="I636" t="str">
        <f>IF('Cleaned Data'!H636="Emi","EMI",'Cleaned Data'!H636)</f>
        <v>EMI</v>
      </c>
      <c r="J636" t="s">
        <v>94</v>
      </c>
      <c r="K636" t="s">
        <v>109</v>
      </c>
      <c r="L636">
        <v>5</v>
      </c>
      <c r="M636" s="9">
        <v>114498</v>
      </c>
      <c r="N636" s="4">
        <v>5.0999999999999997E-2</v>
      </c>
      <c r="O636" s="4">
        <f t="shared" si="9"/>
        <v>5.0999999999999997E-2</v>
      </c>
      <c r="P636" s="11">
        <v>572490</v>
      </c>
      <c r="Q636" s="9">
        <v>29196.99</v>
      </c>
      <c r="R636" s="9">
        <v>543293.01</v>
      </c>
      <c r="S636">
        <v>4</v>
      </c>
      <c r="T636">
        <v>193</v>
      </c>
      <c r="U636">
        <v>4.5999999999999996</v>
      </c>
      <c r="V636">
        <v>7</v>
      </c>
      <c r="W636">
        <f>IF('Cleaned Data'!V636&lt;0,"Review",'Cleaned Data'!V636)</f>
        <v>7</v>
      </c>
      <c r="X636">
        <v>2</v>
      </c>
      <c r="Y636" s="7">
        <f>IFERROR('Cleaned Data'!R636/'Cleaned Data'!L636,0)</f>
        <v>108658.602</v>
      </c>
      <c r="Z636" t="str">
        <f>TEXT(EV_Sales[[#This Row],[Order_Date]],"mmm-yyyy")</f>
        <v>Jul-2025</v>
      </c>
      <c r="AA636">
        <f>MONTH(EV_Sales[[#This Row],[Order_Date]])</f>
        <v>7</v>
      </c>
      <c r="AB636" s="12" t="str">
        <f>"Q"&amp;ROUNDUP(MONTH(EV_Sales[[#This Row],[Order_Date]])/3,0)</f>
        <v>Q3</v>
      </c>
    </row>
    <row r="637" spans="1:28" x14ac:dyDescent="0.3">
      <c r="A637" t="s">
        <v>743</v>
      </c>
      <c r="B637" s="2">
        <v>45666</v>
      </c>
      <c r="C637" t="s">
        <v>60</v>
      </c>
      <c r="D637" t="s">
        <v>69</v>
      </c>
      <c r="E637" t="s">
        <v>24</v>
      </c>
      <c r="F637" t="s">
        <v>74</v>
      </c>
      <c r="G637" t="s">
        <v>34</v>
      </c>
      <c r="H637" t="s">
        <v>27</v>
      </c>
      <c r="I637" t="str">
        <f>IF('Cleaned Data'!H637="Emi","EMI",'Cleaned Data'!H637)</f>
        <v>Finance</v>
      </c>
      <c r="J637" t="s">
        <v>36</v>
      </c>
      <c r="K637" t="s">
        <v>85</v>
      </c>
      <c r="L637">
        <v>1</v>
      </c>
      <c r="M637" s="9">
        <v>103352</v>
      </c>
      <c r="N637" s="4">
        <v>2.4E-2</v>
      </c>
      <c r="O637" s="4">
        <f t="shared" si="9"/>
        <v>2.4E-2</v>
      </c>
      <c r="P637" s="11">
        <v>103352</v>
      </c>
      <c r="Q637" s="9">
        <v>2480.4499999999998</v>
      </c>
      <c r="R637" s="9">
        <v>100871.55</v>
      </c>
      <c r="S637">
        <v>3</v>
      </c>
      <c r="T637">
        <v>165</v>
      </c>
      <c r="U637">
        <v>4.0999999999999996</v>
      </c>
      <c r="V637">
        <v>6</v>
      </c>
      <c r="W637">
        <f>IF('Cleaned Data'!V637&lt;0,"Review",'Cleaned Data'!V637)</f>
        <v>6</v>
      </c>
      <c r="X637">
        <v>2</v>
      </c>
      <c r="Y637" s="7">
        <f>IFERROR('Cleaned Data'!R637/'Cleaned Data'!L637,0)</f>
        <v>100871.55</v>
      </c>
      <c r="Z637" t="str">
        <f>TEXT(EV_Sales[[#This Row],[Order_Date]],"mmm-yyyy")</f>
        <v>Jan-2025</v>
      </c>
      <c r="AA637">
        <f>MONTH(EV_Sales[[#This Row],[Order_Date]])</f>
        <v>1</v>
      </c>
      <c r="AB637" s="12" t="str">
        <f>"Q"&amp;ROUNDUP(MONTH(EV_Sales[[#This Row],[Order_Date]])/3,0)</f>
        <v>Q1</v>
      </c>
    </row>
    <row r="638" spans="1:28" x14ac:dyDescent="0.3">
      <c r="A638" t="s">
        <v>744</v>
      </c>
      <c r="B638" s="2">
        <v>45916</v>
      </c>
      <c r="C638" t="s">
        <v>60</v>
      </c>
      <c r="D638" t="s">
        <v>69</v>
      </c>
      <c r="E638" t="s">
        <v>46</v>
      </c>
      <c r="F638" t="s">
        <v>80</v>
      </c>
      <c r="G638" t="s">
        <v>34</v>
      </c>
      <c r="H638" t="s">
        <v>53</v>
      </c>
      <c r="I638" t="str">
        <f>IF('Cleaned Data'!H638="Emi","EMI",'Cleaned Data'!H638)</f>
        <v>Cash</v>
      </c>
      <c r="J638" t="s">
        <v>57</v>
      </c>
      <c r="K638" t="s">
        <v>95</v>
      </c>
      <c r="L638">
        <v>1</v>
      </c>
      <c r="M638" s="9">
        <v>103247</v>
      </c>
      <c r="N638" s="4">
        <v>4.8000000000000001E-2</v>
      </c>
      <c r="O638" s="4">
        <f t="shared" si="9"/>
        <v>4.8000000000000001E-2</v>
      </c>
      <c r="P638" s="11">
        <v>103247</v>
      </c>
      <c r="Q638" s="9">
        <v>4955.8599999999997</v>
      </c>
      <c r="R638" s="9">
        <v>98291.14</v>
      </c>
      <c r="S638">
        <v>5</v>
      </c>
      <c r="T638">
        <v>205</v>
      </c>
      <c r="U638">
        <v>3.8</v>
      </c>
      <c r="V638">
        <v>14</v>
      </c>
      <c r="W638">
        <f>IF('Cleaned Data'!V638&lt;0,"Review",'Cleaned Data'!V638)</f>
        <v>14</v>
      </c>
      <c r="X638">
        <v>2</v>
      </c>
      <c r="Y638" s="7">
        <f>IFERROR('Cleaned Data'!R638/'Cleaned Data'!L638,0)</f>
        <v>98291.14</v>
      </c>
      <c r="Z638" t="str">
        <f>TEXT(EV_Sales[[#This Row],[Order_Date]],"mmm-yyyy")</f>
        <v>Sep-2025</v>
      </c>
      <c r="AA638">
        <f>MONTH(EV_Sales[[#This Row],[Order_Date]])</f>
        <v>9</v>
      </c>
      <c r="AB638" s="12" t="str">
        <f>"Q"&amp;ROUNDUP(MONTH(EV_Sales[[#This Row],[Order_Date]])/3,0)</f>
        <v>Q3</v>
      </c>
    </row>
    <row r="639" spans="1:28" x14ac:dyDescent="0.3">
      <c r="A639" t="s">
        <v>745</v>
      </c>
      <c r="B639" s="2">
        <v>45796</v>
      </c>
      <c r="C639" t="s">
        <v>39</v>
      </c>
      <c r="D639" t="s">
        <v>154</v>
      </c>
      <c r="E639" t="s">
        <v>62</v>
      </c>
      <c r="F639" t="s">
        <v>25</v>
      </c>
      <c r="G639" t="s">
        <v>67</v>
      </c>
      <c r="H639" t="s">
        <v>27</v>
      </c>
      <c r="I639" t="str">
        <f>IF('Cleaned Data'!H639="Emi","EMI",'Cleaned Data'!H639)</f>
        <v>Finance</v>
      </c>
      <c r="J639" t="s">
        <v>48</v>
      </c>
      <c r="K639" t="s">
        <v>83</v>
      </c>
      <c r="L639">
        <v>2</v>
      </c>
      <c r="M639" s="9">
        <v>186538</v>
      </c>
      <c r="N639" s="4">
        <v>5.1999999999999998E-2</v>
      </c>
      <c r="O639" s="4">
        <f t="shared" si="9"/>
        <v>5.1999999999999998E-2</v>
      </c>
      <c r="P639" s="11">
        <v>373076</v>
      </c>
      <c r="Q639" s="9">
        <v>19399.95</v>
      </c>
      <c r="R639" s="9">
        <v>353676.05</v>
      </c>
      <c r="S639">
        <v>3</v>
      </c>
      <c r="T639">
        <v>178</v>
      </c>
      <c r="U639">
        <v>4</v>
      </c>
      <c r="V639">
        <v>4</v>
      </c>
      <c r="W639">
        <f>IF('Cleaned Data'!V639&lt;0,"Review",'Cleaned Data'!V639)</f>
        <v>4</v>
      </c>
      <c r="X639">
        <v>3</v>
      </c>
      <c r="Y639" s="7">
        <f>IFERROR('Cleaned Data'!R639/'Cleaned Data'!L639,0)</f>
        <v>176838.02499999999</v>
      </c>
      <c r="Z639" t="str">
        <f>TEXT(EV_Sales[[#This Row],[Order_Date]],"mmm-yyyy")</f>
        <v>May-2025</v>
      </c>
      <c r="AA639">
        <f>MONTH(EV_Sales[[#This Row],[Order_Date]])</f>
        <v>5</v>
      </c>
      <c r="AB639" s="12" t="str">
        <f>"Q"&amp;ROUNDUP(MONTH(EV_Sales[[#This Row],[Order_Date]])/3,0)</f>
        <v>Q2</v>
      </c>
    </row>
    <row r="640" spans="1:28" x14ac:dyDescent="0.3">
      <c r="A640" t="s">
        <v>746</v>
      </c>
      <c r="B640" s="2">
        <v>45661</v>
      </c>
      <c r="C640" t="s">
        <v>31</v>
      </c>
      <c r="D640" t="s">
        <v>32</v>
      </c>
      <c r="E640" t="s">
        <v>24</v>
      </c>
      <c r="F640" t="s">
        <v>41</v>
      </c>
      <c r="G640" t="s">
        <v>67</v>
      </c>
      <c r="H640" t="s">
        <v>27</v>
      </c>
      <c r="I640" t="str">
        <f>IF('Cleaned Data'!H640="Emi","EMI",'Cleaned Data'!H640)</f>
        <v>Finance</v>
      </c>
      <c r="J640" t="s">
        <v>36</v>
      </c>
      <c r="K640" t="s">
        <v>64</v>
      </c>
      <c r="L640">
        <v>1</v>
      </c>
      <c r="M640" s="9">
        <v>112977</v>
      </c>
      <c r="N640" s="4">
        <v>0.11700000000000001</v>
      </c>
      <c r="O640" s="4">
        <f t="shared" si="9"/>
        <v>0.11700000000000001</v>
      </c>
      <c r="P640" s="11">
        <v>112977</v>
      </c>
      <c r="Q640" s="9">
        <v>13218.31</v>
      </c>
      <c r="R640" s="9">
        <v>99758.69</v>
      </c>
      <c r="S640">
        <v>2</v>
      </c>
      <c r="T640">
        <v>128</v>
      </c>
      <c r="U640">
        <v>3.3</v>
      </c>
      <c r="V640">
        <v>6</v>
      </c>
      <c r="W640">
        <f>IF('Cleaned Data'!V640&lt;0,"Review",'Cleaned Data'!V640)</f>
        <v>6</v>
      </c>
      <c r="X640">
        <v>2</v>
      </c>
      <c r="Y640" s="7">
        <f>IFERROR('Cleaned Data'!R640/'Cleaned Data'!L640,0)</f>
        <v>99758.69</v>
      </c>
      <c r="Z640" t="str">
        <f>TEXT(EV_Sales[[#This Row],[Order_Date]],"mmm-yyyy")</f>
        <v>Jan-2025</v>
      </c>
      <c r="AA640">
        <f>MONTH(EV_Sales[[#This Row],[Order_Date]])</f>
        <v>1</v>
      </c>
      <c r="AB640" s="12" t="str">
        <f>"Q"&amp;ROUNDUP(MONTH(EV_Sales[[#This Row],[Order_Date]])/3,0)</f>
        <v>Q1</v>
      </c>
    </row>
    <row r="641" spans="1:28" x14ac:dyDescent="0.3">
      <c r="A641" t="s">
        <v>747</v>
      </c>
      <c r="B641" s="2">
        <v>45854</v>
      </c>
      <c r="C641" t="s">
        <v>31</v>
      </c>
      <c r="D641" t="s">
        <v>32</v>
      </c>
      <c r="E641" t="s">
        <v>62</v>
      </c>
      <c r="F641" t="s">
        <v>74</v>
      </c>
      <c r="G641" t="s">
        <v>67</v>
      </c>
      <c r="H641" t="s">
        <v>809</v>
      </c>
      <c r="I641" t="str">
        <f>IF('Cleaned Data'!H641="Emi","EMI",'Cleaned Data'!H641)</f>
        <v>EMI</v>
      </c>
      <c r="J641" t="s">
        <v>28</v>
      </c>
      <c r="K641" t="s">
        <v>83</v>
      </c>
      <c r="L641">
        <v>1</v>
      </c>
      <c r="M641" s="9">
        <v>116633</v>
      </c>
      <c r="N641" s="4">
        <v>7.9000000000000001E-2</v>
      </c>
      <c r="O641" s="4">
        <f t="shared" si="9"/>
        <v>7.9000000000000001E-2</v>
      </c>
      <c r="P641" s="11">
        <v>116633</v>
      </c>
      <c r="Q641" s="9">
        <v>9214.01</v>
      </c>
      <c r="R641" s="9">
        <v>107418.99</v>
      </c>
      <c r="S641">
        <v>3</v>
      </c>
      <c r="T641">
        <v>170</v>
      </c>
      <c r="U641">
        <v>4.3</v>
      </c>
      <c r="V641">
        <v>8</v>
      </c>
      <c r="W641">
        <f>IF('Cleaned Data'!V641&lt;0,"Review",'Cleaned Data'!V641)</f>
        <v>8</v>
      </c>
      <c r="X641">
        <v>2</v>
      </c>
      <c r="Y641" s="7">
        <f>IFERROR('Cleaned Data'!R641/'Cleaned Data'!L641,0)</f>
        <v>107418.99</v>
      </c>
      <c r="Z641" t="str">
        <f>TEXT(EV_Sales[[#This Row],[Order_Date]],"mmm-yyyy")</f>
        <v>Jul-2025</v>
      </c>
      <c r="AA641">
        <f>MONTH(EV_Sales[[#This Row],[Order_Date]])</f>
        <v>7</v>
      </c>
      <c r="AB641" s="12" t="str">
        <f>"Q"&amp;ROUNDUP(MONTH(EV_Sales[[#This Row],[Order_Date]])/3,0)</f>
        <v>Q3</v>
      </c>
    </row>
    <row r="642" spans="1:28" x14ac:dyDescent="0.3">
      <c r="A642" t="s">
        <v>748</v>
      </c>
      <c r="B642" s="2">
        <v>45672</v>
      </c>
      <c r="C642" t="s">
        <v>44</v>
      </c>
      <c r="D642" t="s">
        <v>51</v>
      </c>
      <c r="E642" t="s">
        <v>62</v>
      </c>
      <c r="F642" t="s">
        <v>66</v>
      </c>
      <c r="G642" t="s">
        <v>67</v>
      </c>
      <c r="H642" t="s">
        <v>27</v>
      </c>
      <c r="I642" t="str">
        <f>IF('Cleaned Data'!H642="Emi","EMI",'Cleaned Data'!H642)</f>
        <v>Finance</v>
      </c>
      <c r="J642" t="s">
        <v>36</v>
      </c>
      <c r="K642" t="s">
        <v>131</v>
      </c>
      <c r="L642">
        <v>1</v>
      </c>
      <c r="M642" s="9">
        <v>117641</v>
      </c>
      <c r="N642" s="4">
        <v>4.5999999999999999E-2</v>
      </c>
      <c r="O642" s="4">
        <f t="shared" ref="O642:O705" si="10">IF(TRIM(N642&amp;"")="","missing",N642)</f>
        <v>4.5999999999999999E-2</v>
      </c>
      <c r="P642" s="11">
        <v>117641</v>
      </c>
      <c r="Q642" s="9">
        <v>5411.49</v>
      </c>
      <c r="R642" s="9">
        <v>112229.51</v>
      </c>
      <c r="S642">
        <v>4</v>
      </c>
      <c r="T642">
        <v>187</v>
      </c>
      <c r="U642">
        <v>4.0999999999999996</v>
      </c>
      <c r="V642">
        <v>10</v>
      </c>
      <c r="W642">
        <f>IF('Cleaned Data'!V642&lt;0,"Review",'Cleaned Data'!V642)</f>
        <v>10</v>
      </c>
      <c r="X642">
        <v>5</v>
      </c>
      <c r="Y642" s="7">
        <f>IFERROR('Cleaned Data'!R642/'Cleaned Data'!L642,0)</f>
        <v>112229.51</v>
      </c>
      <c r="Z642" t="str">
        <f>TEXT(EV_Sales[[#This Row],[Order_Date]],"mmm-yyyy")</f>
        <v>Jan-2025</v>
      </c>
      <c r="AA642">
        <f>MONTH(EV_Sales[[#This Row],[Order_Date]])</f>
        <v>1</v>
      </c>
      <c r="AB642" s="12" t="str">
        <f>"Q"&amp;ROUNDUP(MONTH(EV_Sales[[#This Row],[Order_Date]])/3,0)</f>
        <v>Q1</v>
      </c>
    </row>
    <row r="643" spans="1:28" x14ac:dyDescent="0.3">
      <c r="A643" t="s">
        <v>749</v>
      </c>
      <c r="B643" s="2">
        <v>45912</v>
      </c>
      <c r="C643" t="s">
        <v>60</v>
      </c>
      <c r="D643" t="s">
        <v>69</v>
      </c>
      <c r="E643" t="s">
        <v>62</v>
      </c>
      <c r="F643" t="s">
        <v>25</v>
      </c>
      <c r="G643" t="s">
        <v>26</v>
      </c>
      <c r="H643" t="s">
        <v>53</v>
      </c>
      <c r="I643" t="str">
        <f>IF('Cleaned Data'!H643="Emi","EMI",'Cleaned Data'!H643)</f>
        <v>Cash</v>
      </c>
      <c r="J643" t="s">
        <v>57</v>
      </c>
      <c r="K643" t="s">
        <v>81</v>
      </c>
      <c r="L643">
        <v>1</v>
      </c>
      <c r="M643" s="9">
        <v>104479</v>
      </c>
      <c r="N643" s="4">
        <v>5.8999999999999997E-2</v>
      </c>
      <c r="O643" s="4">
        <f t="shared" si="10"/>
        <v>5.8999999999999997E-2</v>
      </c>
      <c r="P643" s="11">
        <v>104479</v>
      </c>
      <c r="Q643" s="9">
        <v>6164.26</v>
      </c>
      <c r="R643" s="9">
        <v>98314.74</v>
      </c>
      <c r="S643">
        <v>3</v>
      </c>
      <c r="T643">
        <v>171</v>
      </c>
      <c r="U643">
        <v>3.9</v>
      </c>
      <c r="V643">
        <v>6</v>
      </c>
      <c r="W643">
        <f>IF('Cleaned Data'!V643&lt;0,"Review",'Cleaned Data'!V643)</f>
        <v>6</v>
      </c>
      <c r="X643">
        <v>3</v>
      </c>
      <c r="Y643" s="7">
        <f>IFERROR('Cleaned Data'!R643/'Cleaned Data'!L643,0)</f>
        <v>98314.74</v>
      </c>
      <c r="Z643" t="str">
        <f>TEXT(EV_Sales[[#This Row],[Order_Date]],"mmm-yyyy")</f>
        <v>Sep-2025</v>
      </c>
      <c r="AA643">
        <f>MONTH(EV_Sales[[#This Row],[Order_Date]])</f>
        <v>9</v>
      </c>
      <c r="AB643" s="12" t="str">
        <f>"Q"&amp;ROUNDUP(MONTH(EV_Sales[[#This Row],[Order_Date]])/3,0)</f>
        <v>Q3</v>
      </c>
    </row>
    <row r="644" spans="1:28" x14ac:dyDescent="0.3">
      <c r="A644" t="s">
        <v>750</v>
      </c>
      <c r="B644" s="2">
        <v>45739</v>
      </c>
      <c r="C644" t="s">
        <v>44</v>
      </c>
      <c r="D644" t="s">
        <v>51</v>
      </c>
      <c r="E644" t="s">
        <v>46</v>
      </c>
      <c r="F644" t="s">
        <v>33</v>
      </c>
      <c r="G644" t="s">
        <v>56</v>
      </c>
      <c r="H644" t="s">
        <v>809</v>
      </c>
      <c r="I644" t="str">
        <f>IF('Cleaned Data'!H644="Emi","EMI",'Cleaned Data'!H644)</f>
        <v>EMI</v>
      </c>
      <c r="J644" t="s">
        <v>28</v>
      </c>
      <c r="K644" t="s">
        <v>203</v>
      </c>
      <c r="L644">
        <v>3</v>
      </c>
      <c r="M644" s="9">
        <v>127668</v>
      </c>
      <c r="N644" s="4">
        <v>4.2000000000000003E-2</v>
      </c>
      <c r="O644" s="4">
        <f t="shared" si="10"/>
        <v>4.2000000000000003E-2</v>
      </c>
      <c r="P644" s="11">
        <v>383004</v>
      </c>
      <c r="Q644" s="9">
        <v>16086.17</v>
      </c>
      <c r="R644" s="9">
        <v>366917.83</v>
      </c>
      <c r="S644">
        <v>3</v>
      </c>
      <c r="T644">
        <v>176</v>
      </c>
      <c r="U644">
        <v>4.0999999999999996</v>
      </c>
      <c r="V644">
        <v>10</v>
      </c>
      <c r="W644">
        <f>IF('Cleaned Data'!V644&lt;0,"Review",'Cleaned Data'!V644)</f>
        <v>10</v>
      </c>
      <c r="X644">
        <v>2</v>
      </c>
      <c r="Y644" s="7">
        <f>IFERROR('Cleaned Data'!R644/'Cleaned Data'!L644,0)</f>
        <v>122305.94333333334</v>
      </c>
      <c r="Z644" t="str">
        <f>TEXT(EV_Sales[[#This Row],[Order_Date]],"mmm-yyyy")</f>
        <v>Mar-2025</v>
      </c>
      <c r="AA644">
        <f>MONTH(EV_Sales[[#This Row],[Order_Date]])</f>
        <v>3</v>
      </c>
      <c r="AB644" s="12" t="str">
        <f>"Q"&amp;ROUNDUP(MONTH(EV_Sales[[#This Row],[Order_Date]])/3,0)</f>
        <v>Q1</v>
      </c>
    </row>
    <row r="645" spans="1:28" x14ac:dyDescent="0.3">
      <c r="A645" t="s">
        <v>751</v>
      </c>
      <c r="B645" s="2">
        <v>45702</v>
      </c>
      <c r="C645" t="s">
        <v>31</v>
      </c>
      <c r="D645" t="s">
        <v>97</v>
      </c>
      <c r="E645" t="s">
        <v>62</v>
      </c>
      <c r="F645" t="s">
        <v>101</v>
      </c>
      <c r="G645" t="s">
        <v>56</v>
      </c>
      <c r="H645" t="s">
        <v>27</v>
      </c>
      <c r="I645" t="str">
        <f>IF('Cleaned Data'!H645="Emi","EMI",'Cleaned Data'!H645)</f>
        <v>Finance</v>
      </c>
      <c r="J645" t="s">
        <v>48</v>
      </c>
      <c r="K645" t="s">
        <v>197</v>
      </c>
      <c r="L645">
        <v>2</v>
      </c>
      <c r="M645" s="9">
        <v>132079</v>
      </c>
      <c r="N645" s="4">
        <v>7.2999999999999995E-2</v>
      </c>
      <c r="O645" s="4">
        <f t="shared" si="10"/>
        <v>7.2999999999999995E-2</v>
      </c>
      <c r="P645" s="11">
        <v>264158</v>
      </c>
      <c r="Q645" s="9">
        <v>19283.53</v>
      </c>
      <c r="R645" s="9">
        <v>244874.47</v>
      </c>
      <c r="S645">
        <v>3</v>
      </c>
      <c r="T645">
        <v>189</v>
      </c>
      <c r="U645">
        <v>4.2</v>
      </c>
      <c r="V645">
        <v>11</v>
      </c>
      <c r="W645">
        <f>IF('Cleaned Data'!V645&lt;0,"Review",'Cleaned Data'!V645)</f>
        <v>11</v>
      </c>
      <c r="X645">
        <v>2</v>
      </c>
      <c r="Y645" s="7">
        <f>IFERROR('Cleaned Data'!R645/'Cleaned Data'!L645,0)</f>
        <v>122437.235</v>
      </c>
      <c r="Z645" t="str">
        <f>TEXT(EV_Sales[[#This Row],[Order_Date]],"mmm-yyyy")</f>
        <v>Feb-2025</v>
      </c>
      <c r="AA645">
        <f>MONTH(EV_Sales[[#This Row],[Order_Date]])</f>
        <v>2</v>
      </c>
      <c r="AB645" s="12" t="str">
        <f>"Q"&amp;ROUNDUP(MONTH(EV_Sales[[#This Row],[Order_Date]])/3,0)</f>
        <v>Q1</v>
      </c>
    </row>
    <row r="646" spans="1:28" x14ac:dyDescent="0.3">
      <c r="A646" t="s">
        <v>752</v>
      </c>
      <c r="B646" s="2">
        <v>45977</v>
      </c>
      <c r="C646" t="s">
        <v>44</v>
      </c>
      <c r="D646" t="s">
        <v>45</v>
      </c>
      <c r="E646" t="s">
        <v>24</v>
      </c>
      <c r="F646" t="s">
        <v>101</v>
      </c>
      <c r="G646" t="s">
        <v>56</v>
      </c>
      <c r="H646" t="s">
        <v>27</v>
      </c>
      <c r="I646" t="str">
        <f>IF('Cleaned Data'!H646="Emi","EMI",'Cleaned Data'!H646)</f>
        <v>Finance</v>
      </c>
      <c r="J646" t="s">
        <v>28</v>
      </c>
      <c r="K646" t="s">
        <v>197</v>
      </c>
      <c r="L646">
        <v>2</v>
      </c>
      <c r="M646" s="9">
        <v>142669</v>
      </c>
      <c r="N646" s="4">
        <v>6.9000000000000006E-2</v>
      </c>
      <c r="O646" s="4">
        <f t="shared" si="10"/>
        <v>6.9000000000000006E-2</v>
      </c>
      <c r="P646" s="11">
        <v>285338</v>
      </c>
      <c r="Q646" s="9">
        <v>19688.32</v>
      </c>
      <c r="R646" s="9">
        <v>265649.68</v>
      </c>
      <c r="S646">
        <v>3</v>
      </c>
      <c r="T646">
        <v>146</v>
      </c>
      <c r="U646">
        <v>3.6</v>
      </c>
      <c r="V646">
        <v>6</v>
      </c>
      <c r="W646">
        <f>IF('Cleaned Data'!V646&lt;0,"Review",'Cleaned Data'!V646)</f>
        <v>6</v>
      </c>
      <c r="X646">
        <v>2</v>
      </c>
      <c r="Y646" s="7">
        <f>IFERROR('Cleaned Data'!R646/'Cleaned Data'!L646,0)</f>
        <v>132824.84</v>
      </c>
      <c r="Z646" t="str">
        <f>TEXT(EV_Sales[[#This Row],[Order_Date]],"mmm-yyyy")</f>
        <v>Nov-2025</v>
      </c>
      <c r="AA646">
        <f>MONTH(EV_Sales[[#This Row],[Order_Date]])</f>
        <v>11</v>
      </c>
      <c r="AB646" s="12" t="str">
        <f>"Q"&amp;ROUNDUP(MONTH(EV_Sales[[#This Row],[Order_Date]])/3,0)</f>
        <v>Q4</v>
      </c>
    </row>
    <row r="647" spans="1:28" x14ac:dyDescent="0.3">
      <c r="A647" t="s">
        <v>753</v>
      </c>
      <c r="B647" s="2">
        <v>45684</v>
      </c>
      <c r="C647" t="s">
        <v>754</v>
      </c>
      <c r="D647" t="s">
        <v>88</v>
      </c>
      <c r="E647" t="s">
        <v>46</v>
      </c>
      <c r="F647" t="s">
        <v>70</v>
      </c>
      <c r="G647" t="s">
        <v>34</v>
      </c>
      <c r="H647" t="s">
        <v>27</v>
      </c>
      <c r="I647" t="str">
        <f>IF('Cleaned Data'!H647="Emi","EMI",'Cleaned Data'!H647)</f>
        <v>Finance</v>
      </c>
      <c r="J647" t="s">
        <v>63</v>
      </c>
      <c r="K647" t="s">
        <v>109</v>
      </c>
      <c r="L647">
        <v>2</v>
      </c>
      <c r="M647" s="9">
        <v>154524</v>
      </c>
      <c r="N647" s="4">
        <v>0.03</v>
      </c>
      <c r="O647" s="4">
        <f t="shared" si="10"/>
        <v>0.03</v>
      </c>
      <c r="P647" s="11">
        <v>309048</v>
      </c>
      <c r="Q647" s="9">
        <v>9271.44</v>
      </c>
      <c r="R647" s="9">
        <v>299776.56</v>
      </c>
      <c r="S647">
        <v>5</v>
      </c>
      <c r="T647">
        <v>202</v>
      </c>
      <c r="U647">
        <v>4.0999999999999996</v>
      </c>
      <c r="V647">
        <v>3</v>
      </c>
      <c r="W647">
        <f>IF('Cleaned Data'!V647&lt;0,"Review",'Cleaned Data'!V647)</f>
        <v>3</v>
      </c>
      <c r="X647">
        <v>3</v>
      </c>
      <c r="Y647" s="7">
        <f>IFERROR('Cleaned Data'!R647/'Cleaned Data'!L647,0)</f>
        <v>149888.28</v>
      </c>
      <c r="Z647" t="str">
        <f>TEXT(EV_Sales[[#This Row],[Order_Date]],"mmm-yyyy")</f>
        <v>Jan-2025</v>
      </c>
      <c r="AA647">
        <f>MONTH(EV_Sales[[#This Row],[Order_Date]])</f>
        <v>1</v>
      </c>
      <c r="AB647" s="12" t="str">
        <f>"Q"&amp;ROUNDUP(MONTH(EV_Sales[[#This Row],[Order_Date]])/3,0)</f>
        <v>Q1</v>
      </c>
    </row>
    <row r="648" spans="1:28" x14ac:dyDescent="0.3">
      <c r="A648" t="s">
        <v>755</v>
      </c>
      <c r="B648" s="2">
        <v>45935</v>
      </c>
      <c r="C648" t="s">
        <v>22</v>
      </c>
      <c r="D648" t="s">
        <v>23</v>
      </c>
      <c r="E648" t="s">
        <v>62</v>
      </c>
      <c r="F648" t="s">
        <v>101</v>
      </c>
      <c r="G648" t="s">
        <v>56</v>
      </c>
      <c r="H648" t="s">
        <v>53</v>
      </c>
      <c r="I648" t="str">
        <f>IF('Cleaned Data'!H648="Emi","EMI",'Cleaned Data'!H648)</f>
        <v>Cash</v>
      </c>
      <c r="J648" t="s">
        <v>94</v>
      </c>
      <c r="K648" t="s">
        <v>203</v>
      </c>
      <c r="L648">
        <v>4</v>
      </c>
      <c r="M648" s="9">
        <v>121914</v>
      </c>
      <c r="N648" s="4">
        <v>0.11799999999999999</v>
      </c>
      <c r="O648" s="4">
        <f t="shared" si="10"/>
        <v>0.11799999999999999</v>
      </c>
      <c r="P648" s="11">
        <v>487656</v>
      </c>
      <c r="Q648" s="9">
        <v>57543.41</v>
      </c>
      <c r="R648" s="9">
        <v>430112.59</v>
      </c>
      <c r="S648">
        <v>4</v>
      </c>
      <c r="T648">
        <v>189</v>
      </c>
      <c r="U648">
        <v>4.0999999999999996</v>
      </c>
      <c r="V648">
        <v>12</v>
      </c>
      <c r="W648">
        <f>IF('Cleaned Data'!V648&lt;0,"Review",'Cleaned Data'!V648)</f>
        <v>12</v>
      </c>
      <c r="X648">
        <v>5</v>
      </c>
      <c r="Y648" s="7">
        <f>IFERROR('Cleaned Data'!R648/'Cleaned Data'!L648,0)</f>
        <v>107528.14750000001</v>
      </c>
      <c r="Z648" t="str">
        <f>TEXT(EV_Sales[[#This Row],[Order_Date]],"mmm-yyyy")</f>
        <v>Oct-2025</v>
      </c>
      <c r="AA648">
        <f>MONTH(EV_Sales[[#This Row],[Order_Date]])</f>
        <v>10</v>
      </c>
      <c r="AB648" s="12" t="str">
        <f>"Q"&amp;ROUNDUP(MONTH(EV_Sales[[#This Row],[Order_Date]])/3,0)</f>
        <v>Q4</v>
      </c>
    </row>
    <row r="649" spans="1:28" x14ac:dyDescent="0.3">
      <c r="A649" t="s">
        <v>756</v>
      </c>
      <c r="B649" s="2">
        <v>45755</v>
      </c>
      <c r="C649" t="s">
        <v>60</v>
      </c>
      <c r="D649" t="s">
        <v>69</v>
      </c>
      <c r="E649" t="s">
        <v>24</v>
      </c>
      <c r="F649" t="s">
        <v>811</v>
      </c>
      <c r="G649" t="s">
        <v>67</v>
      </c>
      <c r="H649" t="s">
        <v>53</v>
      </c>
      <c r="I649" t="str">
        <f>IF('Cleaned Data'!H649="Emi","EMI",'Cleaned Data'!H649)</f>
        <v>Cash</v>
      </c>
      <c r="J649" t="s">
        <v>36</v>
      </c>
      <c r="K649" t="s">
        <v>81</v>
      </c>
      <c r="L649">
        <v>1</v>
      </c>
      <c r="M649" s="9">
        <v>112329</v>
      </c>
      <c r="N649" s="4">
        <v>7.9000000000000001E-2</v>
      </c>
      <c r="O649" s="4">
        <f t="shared" si="10"/>
        <v>7.9000000000000001E-2</v>
      </c>
      <c r="P649" s="11">
        <v>112329</v>
      </c>
      <c r="Q649" s="9">
        <v>8873.99</v>
      </c>
      <c r="R649" s="9">
        <v>103455.01</v>
      </c>
      <c r="S649">
        <v>3</v>
      </c>
      <c r="T649">
        <v>178</v>
      </c>
      <c r="U649">
        <v>4.4000000000000004</v>
      </c>
      <c r="V649">
        <v>11</v>
      </c>
      <c r="W649">
        <f>IF('Cleaned Data'!V649&lt;0,"Review",'Cleaned Data'!V649)</f>
        <v>11</v>
      </c>
      <c r="X649">
        <v>3</v>
      </c>
      <c r="Y649" s="7">
        <f>IFERROR('Cleaned Data'!R649/'Cleaned Data'!L649,0)</f>
        <v>103455.01</v>
      </c>
      <c r="Z649" t="str">
        <f>TEXT(EV_Sales[[#This Row],[Order_Date]],"mmm-yyyy")</f>
        <v>Apr-2025</v>
      </c>
      <c r="AA649">
        <f>MONTH(EV_Sales[[#This Row],[Order_Date]])</f>
        <v>4</v>
      </c>
      <c r="AB649" s="12" t="str">
        <f>"Q"&amp;ROUNDUP(MONTH(EV_Sales[[#This Row],[Order_Date]])/3,0)</f>
        <v>Q2</v>
      </c>
    </row>
    <row r="650" spans="1:28" x14ac:dyDescent="0.3">
      <c r="A650" t="s">
        <v>757</v>
      </c>
      <c r="B650" s="2">
        <v>45801</v>
      </c>
      <c r="C650" t="s">
        <v>22</v>
      </c>
      <c r="D650" t="s">
        <v>23</v>
      </c>
      <c r="E650" t="s">
        <v>62</v>
      </c>
      <c r="F650" t="s">
        <v>101</v>
      </c>
      <c r="G650" t="s">
        <v>26</v>
      </c>
      <c r="H650" t="s">
        <v>809</v>
      </c>
      <c r="I650" t="str">
        <f>IF('Cleaned Data'!H650="Emi","EMI",'Cleaned Data'!H650)</f>
        <v>EMI</v>
      </c>
      <c r="J650" t="s">
        <v>36</v>
      </c>
      <c r="K650" t="s">
        <v>78</v>
      </c>
      <c r="L650">
        <v>5</v>
      </c>
      <c r="M650" s="9">
        <v>120950</v>
      </c>
      <c r="N650" s="4">
        <v>0.11700000000000001</v>
      </c>
      <c r="O650" s="4">
        <f t="shared" si="10"/>
        <v>0.11700000000000001</v>
      </c>
      <c r="P650" s="11">
        <v>604750</v>
      </c>
      <c r="Q650" s="9">
        <v>70755.75</v>
      </c>
      <c r="R650" s="9">
        <v>533994.25</v>
      </c>
      <c r="S650">
        <v>2</v>
      </c>
      <c r="T650">
        <v>151</v>
      </c>
      <c r="U650">
        <v>3.6</v>
      </c>
      <c r="V650">
        <v>3</v>
      </c>
      <c r="W650">
        <f>IF('Cleaned Data'!V650&lt;0,"Review",'Cleaned Data'!V650)</f>
        <v>3</v>
      </c>
      <c r="X650">
        <v>3</v>
      </c>
      <c r="Y650" s="7">
        <f>IFERROR('Cleaned Data'!R650/'Cleaned Data'!L650,0)</f>
        <v>106798.85</v>
      </c>
      <c r="Z650" t="str">
        <f>TEXT(EV_Sales[[#This Row],[Order_Date]],"mmm-yyyy")</f>
        <v>May-2025</v>
      </c>
      <c r="AA650">
        <f>MONTH(EV_Sales[[#This Row],[Order_Date]])</f>
        <v>5</v>
      </c>
      <c r="AB650" s="12" t="str">
        <f>"Q"&amp;ROUNDUP(MONTH(EV_Sales[[#This Row],[Order_Date]])/3,0)</f>
        <v>Q2</v>
      </c>
    </row>
    <row r="651" spans="1:28" x14ac:dyDescent="0.3">
      <c r="A651" t="s">
        <v>758</v>
      </c>
      <c r="B651" s="2">
        <v>45792</v>
      </c>
      <c r="C651" t="s">
        <v>99</v>
      </c>
      <c r="D651" t="s">
        <v>121</v>
      </c>
      <c r="E651" t="s">
        <v>62</v>
      </c>
      <c r="F651" t="s">
        <v>74</v>
      </c>
      <c r="G651" t="s">
        <v>26</v>
      </c>
      <c r="H651" t="s">
        <v>27</v>
      </c>
      <c r="I651" t="str">
        <f>IF('Cleaned Data'!H651="Emi","EMI",'Cleaned Data'!H651)</f>
        <v>Finance</v>
      </c>
      <c r="J651" t="s">
        <v>36</v>
      </c>
      <c r="K651" t="s">
        <v>123</v>
      </c>
      <c r="L651">
        <v>1</v>
      </c>
      <c r="M651" s="9">
        <v>106045</v>
      </c>
      <c r="N651" s="4">
        <v>7.9000000000000001E-2</v>
      </c>
      <c r="O651" s="4">
        <f t="shared" si="10"/>
        <v>7.9000000000000001E-2</v>
      </c>
      <c r="P651" s="11">
        <v>106045</v>
      </c>
      <c r="Q651" s="9">
        <v>8377.56</v>
      </c>
      <c r="R651" s="9">
        <v>97667.44</v>
      </c>
      <c r="S651">
        <v>3</v>
      </c>
      <c r="T651">
        <v>173</v>
      </c>
      <c r="U651">
        <v>4</v>
      </c>
      <c r="V651">
        <v>14</v>
      </c>
      <c r="W651">
        <f>IF('Cleaned Data'!V651&lt;0,"Review",'Cleaned Data'!V651)</f>
        <v>14</v>
      </c>
      <c r="X651">
        <v>2</v>
      </c>
      <c r="Y651" s="7">
        <f>IFERROR('Cleaned Data'!R651/'Cleaned Data'!L651,0)</f>
        <v>97667.44</v>
      </c>
      <c r="Z651" t="str">
        <f>TEXT(EV_Sales[[#This Row],[Order_Date]],"mmm-yyyy")</f>
        <v>May-2025</v>
      </c>
      <c r="AA651">
        <f>MONTH(EV_Sales[[#This Row],[Order_Date]])</f>
        <v>5</v>
      </c>
      <c r="AB651" s="12" t="str">
        <f>"Q"&amp;ROUNDUP(MONTH(EV_Sales[[#This Row],[Order_Date]])/3,0)</f>
        <v>Q2</v>
      </c>
    </row>
    <row r="652" spans="1:28" x14ac:dyDescent="0.3">
      <c r="A652" t="s">
        <v>759</v>
      </c>
      <c r="B652" s="2">
        <v>45758</v>
      </c>
      <c r="C652" t="s">
        <v>44</v>
      </c>
      <c r="D652" t="s">
        <v>51</v>
      </c>
      <c r="E652" t="s">
        <v>24</v>
      </c>
      <c r="F652" t="s">
        <v>80</v>
      </c>
      <c r="G652" t="s">
        <v>67</v>
      </c>
      <c r="H652" t="s">
        <v>53</v>
      </c>
      <c r="I652" t="str">
        <f>IF('Cleaned Data'!H652="Emi","EMI",'Cleaned Data'!H652)</f>
        <v>Cash</v>
      </c>
      <c r="J652" t="s">
        <v>28</v>
      </c>
      <c r="K652" t="s">
        <v>175</v>
      </c>
      <c r="L652">
        <v>2</v>
      </c>
      <c r="M652" s="9">
        <v>121599</v>
      </c>
      <c r="N652" s="4">
        <v>2.1999999999999999E-2</v>
      </c>
      <c r="O652" s="4">
        <f t="shared" si="10"/>
        <v>2.1999999999999999E-2</v>
      </c>
      <c r="P652" s="11">
        <v>243198</v>
      </c>
      <c r="Q652" s="9">
        <v>5350.36</v>
      </c>
      <c r="R652" s="9">
        <v>237847.64</v>
      </c>
      <c r="S652">
        <v>4</v>
      </c>
      <c r="T652">
        <v>168</v>
      </c>
      <c r="U652">
        <v>3</v>
      </c>
      <c r="V652">
        <v>10</v>
      </c>
      <c r="W652">
        <f>IF('Cleaned Data'!V652&lt;0,"Review",'Cleaned Data'!V652)</f>
        <v>10</v>
      </c>
      <c r="X652">
        <v>3</v>
      </c>
      <c r="Y652" s="7">
        <f>IFERROR('Cleaned Data'!R652/'Cleaned Data'!L652,0)</f>
        <v>118923.82</v>
      </c>
      <c r="Z652" t="str">
        <f>TEXT(EV_Sales[[#This Row],[Order_Date]],"mmm-yyyy")</f>
        <v>Apr-2025</v>
      </c>
      <c r="AA652">
        <f>MONTH(EV_Sales[[#This Row],[Order_Date]])</f>
        <v>4</v>
      </c>
      <c r="AB652" s="12" t="str">
        <f>"Q"&amp;ROUNDUP(MONTH(EV_Sales[[#This Row],[Order_Date]])/3,0)</f>
        <v>Q2</v>
      </c>
    </row>
    <row r="653" spans="1:28" x14ac:dyDescent="0.3">
      <c r="A653" t="s">
        <v>760</v>
      </c>
      <c r="B653" s="2">
        <v>45748</v>
      </c>
      <c r="C653" t="s">
        <v>60</v>
      </c>
      <c r="D653" t="s">
        <v>69</v>
      </c>
      <c r="E653" t="s">
        <v>24</v>
      </c>
      <c r="F653" t="s">
        <v>33</v>
      </c>
      <c r="G653" t="s">
        <v>34</v>
      </c>
      <c r="H653" t="s">
        <v>809</v>
      </c>
      <c r="I653" t="str">
        <f>IF('Cleaned Data'!H653="Emi","EMI",'Cleaned Data'!H653)</f>
        <v>EMI</v>
      </c>
      <c r="J653" t="s">
        <v>57</v>
      </c>
      <c r="K653" t="s">
        <v>175</v>
      </c>
      <c r="L653">
        <v>4</v>
      </c>
      <c r="M653" s="9">
        <v>108608</v>
      </c>
      <c r="N653" s="4">
        <v>4.1000000000000002E-2</v>
      </c>
      <c r="O653" s="4">
        <f t="shared" si="10"/>
        <v>4.1000000000000002E-2</v>
      </c>
      <c r="P653" s="11">
        <v>434432</v>
      </c>
      <c r="Q653" s="9">
        <v>17811.71</v>
      </c>
      <c r="R653" s="9">
        <v>416620.29</v>
      </c>
      <c r="S653">
        <v>4</v>
      </c>
      <c r="T653">
        <v>203</v>
      </c>
      <c r="U653">
        <v>4.0999999999999996</v>
      </c>
      <c r="V653">
        <v>6</v>
      </c>
      <c r="W653">
        <f>IF('Cleaned Data'!V653&lt;0,"Review",'Cleaned Data'!V653)</f>
        <v>6</v>
      </c>
      <c r="X653">
        <v>5</v>
      </c>
      <c r="Y653" s="7">
        <f>IFERROR('Cleaned Data'!R653/'Cleaned Data'!L653,0)</f>
        <v>104155.07249999999</v>
      </c>
      <c r="Z653" t="str">
        <f>TEXT(EV_Sales[[#This Row],[Order_Date]],"mmm-yyyy")</f>
        <v>Apr-2025</v>
      </c>
      <c r="AA653">
        <f>MONTH(EV_Sales[[#This Row],[Order_Date]])</f>
        <v>4</v>
      </c>
      <c r="AB653" s="12" t="str">
        <f>"Q"&amp;ROUNDUP(MONTH(EV_Sales[[#This Row],[Order_Date]])/3,0)</f>
        <v>Q2</v>
      </c>
    </row>
    <row r="654" spans="1:28" x14ac:dyDescent="0.3">
      <c r="A654" t="s">
        <v>761</v>
      </c>
      <c r="B654" s="2">
        <v>45822</v>
      </c>
      <c r="C654" t="s">
        <v>60</v>
      </c>
      <c r="D654" t="s">
        <v>61</v>
      </c>
      <c r="E654" t="s">
        <v>46</v>
      </c>
      <c r="F654" t="s">
        <v>74</v>
      </c>
      <c r="G654" t="s">
        <v>34</v>
      </c>
      <c r="H654" t="s">
        <v>27</v>
      </c>
      <c r="I654" t="str">
        <f>IF('Cleaned Data'!H654="Emi","EMI",'Cleaned Data'!H654)</f>
        <v>Finance</v>
      </c>
      <c r="J654" t="s">
        <v>36</v>
      </c>
      <c r="K654" t="s">
        <v>138</v>
      </c>
      <c r="L654">
        <v>4</v>
      </c>
      <c r="M654" s="9">
        <v>121360</v>
      </c>
      <c r="N654" s="4">
        <v>8.7999999999999995E-2</v>
      </c>
      <c r="O654" s="4">
        <f t="shared" si="10"/>
        <v>8.7999999999999995E-2</v>
      </c>
      <c r="P654" s="11">
        <v>485440</v>
      </c>
      <c r="Q654" s="9">
        <v>42718.720000000001</v>
      </c>
      <c r="R654" s="9">
        <v>442721.28000000003</v>
      </c>
      <c r="S654">
        <v>4</v>
      </c>
      <c r="T654">
        <v>183</v>
      </c>
      <c r="U654">
        <v>4.0999999999999996</v>
      </c>
      <c r="V654">
        <v>13</v>
      </c>
      <c r="W654">
        <f>IF('Cleaned Data'!V654&lt;0,"Review",'Cleaned Data'!V654)</f>
        <v>13</v>
      </c>
      <c r="X654">
        <v>5</v>
      </c>
      <c r="Y654" s="7">
        <f>IFERROR('Cleaned Data'!R654/'Cleaned Data'!L654,0)</f>
        <v>110680.32000000001</v>
      </c>
      <c r="Z654" t="str">
        <f>TEXT(EV_Sales[[#This Row],[Order_Date]],"mmm-yyyy")</f>
        <v>Jun-2025</v>
      </c>
      <c r="AA654">
        <f>MONTH(EV_Sales[[#This Row],[Order_Date]])</f>
        <v>6</v>
      </c>
      <c r="AB654" s="12" t="str">
        <f>"Q"&amp;ROUNDUP(MONTH(EV_Sales[[#This Row],[Order_Date]])/3,0)</f>
        <v>Q2</v>
      </c>
    </row>
    <row r="655" spans="1:28" x14ac:dyDescent="0.3">
      <c r="A655" t="s">
        <v>762</v>
      </c>
      <c r="B655" s="2">
        <v>45857</v>
      </c>
      <c r="C655" t="s">
        <v>60</v>
      </c>
      <c r="D655" t="s">
        <v>69</v>
      </c>
      <c r="E655" t="s">
        <v>46</v>
      </c>
      <c r="F655" t="s">
        <v>33</v>
      </c>
      <c r="G655" t="s">
        <v>56</v>
      </c>
      <c r="H655" t="s">
        <v>27</v>
      </c>
      <c r="I655" t="str">
        <f>IF('Cleaned Data'!H655="Emi","EMI",'Cleaned Data'!H655)</f>
        <v>Finance</v>
      </c>
      <c r="J655" t="s">
        <v>28</v>
      </c>
      <c r="K655" t="s">
        <v>143</v>
      </c>
      <c r="L655">
        <v>3</v>
      </c>
      <c r="M655" s="9">
        <v>106200</v>
      </c>
      <c r="N655" s="4">
        <v>0.11799999999999999</v>
      </c>
      <c r="O655" s="4">
        <f t="shared" si="10"/>
        <v>0.11799999999999999</v>
      </c>
      <c r="P655" s="11">
        <v>318600</v>
      </c>
      <c r="Q655" s="9">
        <v>37594.800000000003</v>
      </c>
      <c r="R655" s="9">
        <v>281005.2</v>
      </c>
      <c r="S655">
        <v>3</v>
      </c>
      <c r="T655">
        <v>130</v>
      </c>
      <c r="U655">
        <v>3.6</v>
      </c>
      <c r="V655">
        <v>12</v>
      </c>
      <c r="W655">
        <f>IF('Cleaned Data'!V655&lt;0,"Review",'Cleaned Data'!V655)</f>
        <v>12</v>
      </c>
      <c r="X655">
        <v>2</v>
      </c>
      <c r="Y655" s="7">
        <f>IFERROR('Cleaned Data'!R655/'Cleaned Data'!L655,0)</f>
        <v>93668.400000000009</v>
      </c>
      <c r="Z655" t="str">
        <f>TEXT(EV_Sales[[#This Row],[Order_Date]],"mmm-yyyy")</f>
        <v>Jul-2025</v>
      </c>
      <c r="AA655">
        <f>MONTH(EV_Sales[[#This Row],[Order_Date]])</f>
        <v>7</v>
      </c>
      <c r="AB655" s="12" t="str">
        <f>"Q"&amp;ROUNDUP(MONTH(EV_Sales[[#This Row],[Order_Date]])/3,0)</f>
        <v>Q3</v>
      </c>
    </row>
    <row r="656" spans="1:28" x14ac:dyDescent="0.3">
      <c r="A656" t="s">
        <v>763</v>
      </c>
      <c r="B656" s="2">
        <v>45772</v>
      </c>
      <c r="C656" t="s">
        <v>99</v>
      </c>
      <c r="D656" t="s">
        <v>141</v>
      </c>
      <c r="E656" t="s">
        <v>24</v>
      </c>
      <c r="F656" t="s">
        <v>74</v>
      </c>
      <c r="G656" t="s">
        <v>26</v>
      </c>
      <c r="H656" t="s">
        <v>809</v>
      </c>
      <c r="I656" t="str">
        <f>IF('Cleaned Data'!H656="Emi","EMI",'Cleaned Data'!H656)</f>
        <v>EMI</v>
      </c>
      <c r="J656" t="s">
        <v>28</v>
      </c>
      <c r="K656" t="s">
        <v>83</v>
      </c>
      <c r="L656">
        <v>1</v>
      </c>
      <c r="M656" s="9">
        <v>143702</v>
      </c>
      <c r="N656" s="4">
        <v>9.6000000000000002E-2</v>
      </c>
      <c r="O656" s="4">
        <f t="shared" si="10"/>
        <v>9.6000000000000002E-2</v>
      </c>
      <c r="P656" s="11">
        <v>143702</v>
      </c>
      <c r="Q656" s="9">
        <v>13795.39</v>
      </c>
      <c r="R656" s="9">
        <v>129906.61</v>
      </c>
      <c r="S656">
        <v>3</v>
      </c>
      <c r="T656">
        <v>166</v>
      </c>
      <c r="U656">
        <v>4.3</v>
      </c>
      <c r="V656">
        <v>13</v>
      </c>
      <c r="W656">
        <f>IF('Cleaned Data'!V656&lt;0,"Review",'Cleaned Data'!V656)</f>
        <v>13</v>
      </c>
      <c r="X656">
        <v>2</v>
      </c>
      <c r="Y656" s="7">
        <f>IFERROR('Cleaned Data'!R656/'Cleaned Data'!L656,0)</f>
        <v>129906.61</v>
      </c>
      <c r="Z656" t="str">
        <f>TEXT(EV_Sales[[#This Row],[Order_Date]],"mmm-yyyy")</f>
        <v>Apr-2025</v>
      </c>
      <c r="AA656">
        <f>MONTH(EV_Sales[[#This Row],[Order_Date]])</f>
        <v>4</v>
      </c>
      <c r="AB656" s="12" t="str">
        <f>"Q"&amp;ROUNDUP(MONTH(EV_Sales[[#This Row],[Order_Date]])/3,0)</f>
        <v>Q2</v>
      </c>
    </row>
    <row r="657" spans="1:28" x14ac:dyDescent="0.3">
      <c r="A657" t="s">
        <v>764</v>
      </c>
      <c r="B657" s="2">
        <v>45759</v>
      </c>
      <c r="C657" t="s">
        <v>39</v>
      </c>
      <c r="D657" t="s">
        <v>154</v>
      </c>
      <c r="E657" t="s">
        <v>62</v>
      </c>
      <c r="F657" t="s">
        <v>80</v>
      </c>
      <c r="G657" t="s">
        <v>67</v>
      </c>
      <c r="H657" t="s">
        <v>53</v>
      </c>
      <c r="I657" t="str">
        <f>IF('Cleaned Data'!H657="Emi","EMI",'Cleaned Data'!H657)</f>
        <v>Cash</v>
      </c>
      <c r="J657" t="s">
        <v>94</v>
      </c>
      <c r="K657" t="s">
        <v>102</v>
      </c>
      <c r="L657">
        <v>1</v>
      </c>
      <c r="M657" s="9">
        <v>174489</v>
      </c>
      <c r="N657" s="4">
        <v>6.9000000000000006E-2</v>
      </c>
      <c r="O657" s="4">
        <f t="shared" si="10"/>
        <v>6.9000000000000006E-2</v>
      </c>
      <c r="P657" s="11">
        <v>174489</v>
      </c>
      <c r="Q657" s="9">
        <v>12039.74</v>
      </c>
      <c r="R657" s="9">
        <v>162449.26</v>
      </c>
      <c r="S657">
        <v>2</v>
      </c>
      <c r="T657">
        <v>149</v>
      </c>
      <c r="U657">
        <v>5</v>
      </c>
      <c r="V657">
        <v>10</v>
      </c>
      <c r="W657">
        <f>IF('Cleaned Data'!V657&lt;0,"Review",'Cleaned Data'!V657)</f>
        <v>10</v>
      </c>
      <c r="X657">
        <v>3</v>
      </c>
      <c r="Y657" s="7">
        <f>IFERROR('Cleaned Data'!R657/'Cleaned Data'!L657,0)</f>
        <v>162449.26</v>
      </c>
      <c r="Z657" t="str">
        <f>TEXT(EV_Sales[[#This Row],[Order_Date]],"mmm-yyyy")</f>
        <v>Apr-2025</v>
      </c>
      <c r="AA657">
        <f>MONTH(EV_Sales[[#This Row],[Order_Date]])</f>
        <v>4</v>
      </c>
      <c r="AB657" s="12" t="str">
        <f>"Q"&amp;ROUNDUP(MONTH(EV_Sales[[#This Row],[Order_Date]])/3,0)</f>
        <v>Q2</v>
      </c>
    </row>
    <row r="658" spans="1:28" x14ac:dyDescent="0.3">
      <c r="A658" t="s">
        <v>765</v>
      </c>
      <c r="B658" s="2">
        <v>45704</v>
      </c>
      <c r="C658" t="s">
        <v>60</v>
      </c>
      <c r="D658" t="s">
        <v>61</v>
      </c>
      <c r="E658" t="s">
        <v>24</v>
      </c>
      <c r="F658" t="s">
        <v>25</v>
      </c>
      <c r="G658" t="s">
        <v>67</v>
      </c>
      <c r="H658" t="s">
        <v>53</v>
      </c>
      <c r="I658" t="str">
        <f>IF('Cleaned Data'!H658="Emi","EMI",'Cleaned Data'!H658)</f>
        <v>Cash</v>
      </c>
      <c r="J658" t="s">
        <v>63</v>
      </c>
      <c r="K658" t="s">
        <v>143</v>
      </c>
      <c r="L658">
        <v>1</v>
      </c>
      <c r="M658" s="9">
        <v>112338</v>
      </c>
      <c r="N658" s="4">
        <v>7.5999999999999998E-2</v>
      </c>
      <c r="O658" s="4">
        <f t="shared" si="10"/>
        <v>7.5999999999999998E-2</v>
      </c>
      <c r="P658" s="11">
        <v>112338</v>
      </c>
      <c r="Q658" s="9">
        <v>8537.69</v>
      </c>
      <c r="R658" s="9">
        <v>103800.31</v>
      </c>
      <c r="S658">
        <v>3</v>
      </c>
      <c r="T658">
        <v>155</v>
      </c>
      <c r="U658">
        <v>4.5999999999999996</v>
      </c>
      <c r="V658">
        <v>11</v>
      </c>
      <c r="W658">
        <f>IF('Cleaned Data'!V658&lt;0,"Review",'Cleaned Data'!V658)</f>
        <v>11</v>
      </c>
      <c r="X658">
        <v>3</v>
      </c>
      <c r="Y658" s="7">
        <f>IFERROR('Cleaned Data'!R658/'Cleaned Data'!L658,0)</f>
        <v>103800.31</v>
      </c>
      <c r="Z658" t="str">
        <f>TEXT(EV_Sales[[#This Row],[Order_Date]],"mmm-yyyy")</f>
        <v>Feb-2025</v>
      </c>
      <c r="AA658">
        <f>MONTH(EV_Sales[[#This Row],[Order_Date]])</f>
        <v>2</v>
      </c>
      <c r="AB658" s="12" t="str">
        <f>"Q"&amp;ROUNDUP(MONTH(EV_Sales[[#This Row],[Order_Date]])/3,0)</f>
        <v>Q1</v>
      </c>
    </row>
    <row r="659" spans="1:28" x14ac:dyDescent="0.3">
      <c r="A659" t="s">
        <v>766</v>
      </c>
      <c r="B659" s="2">
        <v>45774</v>
      </c>
      <c r="C659" t="s">
        <v>31</v>
      </c>
      <c r="D659" t="s">
        <v>97</v>
      </c>
      <c r="E659" t="s">
        <v>62</v>
      </c>
      <c r="F659" t="s">
        <v>47</v>
      </c>
      <c r="G659" t="s">
        <v>67</v>
      </c>
      <c r="H659" t="s">
        <v>27</v>
      </c>
      <c r="I659" t="str">
        <f>IF('Cleaned Data'!H659="Emi","EMI",'Cleaned Data'!H659)</f>
        <v>Finance</v>
      </c>
      <c r="J659" t="s">
        <v>94</v>
      </c>
      <c r="K659" t="s">
        <v>104</v>
      </c>
      <c r="L659">
        <v>1</v>
      </c>
      <c r="M659" s="9">
        <v>125565</v>
      </c>
      <c r="N659" s="4">
        <v>3.1E-2</v>
      </c>
      <c r="O659" s="4">
        <f t="shared" si="10"/>
        <v>3.1E-2</v>
      </c>
      <c r="P659" s="11">
        <v>125565</v>
      </c>
      <c r="Q659" s="9">
        <v>3892.51</v>
      </c>
      <c r="R659" s="9">
        <v>121672.49</v>
      </c>
      <c r="S659">
        <v>3</v>
      </c>
      <c r="T659">
        <v>164</v>
      </c>
      <c r="U659">
        <v>4.3</v>
      </c>
      <c r="V659">
        <v>11</v>
      </c>
      <c r="W659">
        <f>IF('Cleaned Data'!V659&lt;0,"Review",'Cleaned Data'!V659)</f>
        <v>11</v>
      </c>
      <c r="X659">
        <v>3</v>
      </c>
      <c r="Y659" s="7">
        <f>IFERROR('Cleaned Data'!R659/'Cleaned Data'!L659,0)</f>
        <v>121672.49</v>
      </c>
      <c r="Z659" t="str">
        <f>TEXT(EV_Sales[[#This Row],[Order_Date]],"mmm-yyyy")</f>
        <v>Apr-2025</v>
      </c>
      <c r="AA659">
        <f>MONTH(EV_Sales[[#This Row],[Order_Date]])</f>
        <v>4</v>
      </c>
      <c r="AB659" s="12" t="str">
        <f>"Q"&amp;ROUNDUP(MONTH(EV_Sales[[#This Row],[Order_Date]])/3,0)</f>
        <v>Q2</v>
      </c>
    </row>
    <row r="660" spans="1:28" x14ac:dyDescent="0.3">
      <c r="A660" t="s">
        <v>767</v>
      </c>
      <c r="B660" s="2">
        <v>45889</v>
      </c>
      <c r="C660" t="s">
        <v>39</v>
      </c>
      <c r="D660" t="s">
        <v>154</v>
      </c>
      <c r="E660" t="s">
        <v>46</v>
      </c>
      <c r="F660" t="s">
        <v>66</v>
      </c>
      <c r="G660" t="s">
        <v>34</v>
      </c>
      <c r="H660" t="s">
        <v>810</v>
      </c>
      <c r="I660" t="str">
        <f>IF('Cleaned Data'!H660="Emi","EMI",'Cleaned Data'!H660)</f>
        <v xml:space="preserve"> Emi </v>
      </c>
      <c r="J660" t="s">
        <v>63</v>
      </c>
      <c r="K660" t="s">
        <v>118</v>
      </c>
      <c r="L660">
        <v>1</v>
      </c>
      <c r="M660" s="9">
        <v>172902</v>
      </c>
      <c r="N660" s="4">
        <v>7.4999999999999997E-2</v>
      </c>
      <c r="O660" s="4">
        <f t="shared" si="10"/>
        <v>7.4999999999999997E-2</v>
      </c>
      <c r="P660" s="11">
        <v>172902</v>
      </c>
      <c r="Q660" s="9">
        <v>12967.65</v>
      </c>
      <c r="R660" s="9">
        <v>159934.35</v>
      </c>
      <c r="S660">
        <v>4</v>
      </c>
      <c r="T660">
        <v>170</v>
      </c>
      <c r="U660">
        <v>3.8</v>
      </c>
      <c r="V660">
        <v>10</v>
      </c>
      <c r="W660">
        <f>IF('Cleaned Data'!V660&lt;0,"Review",'Cleaned Data'!V660)</f>
        <v>10</v>
      </c>
      <c r="X660">
        <v>3</v>
      </c>
      <c r="Y660" s="7">
        <f>IFERROR('Cleaned Data'!R660/'Cleaned Data'!L660,0)</f>
        <v>159934.35</v>
      </c>
      <c r="Z660" t="str">
        <f>TEXT(EV_Sales[[#This Row],[Order_Date]],"mmm-yyyy")</f>
        <v>Aug-2025</v>
      </c>
      <c r="AA660">
        <f>MONTH(EV_Sales[[#This Row],[Order_Date]])</f>
        <v>8</v>
      </c>
      <c r="AB660" s="12" t="str">
        <f>"Q"&amp;ROUNDUP(MONTH(EV_Sales[[#This Row],[Order_Date]])/3,0)</f>
        <v>Q3</v>
      </c>
    </row>
    <row r="661" spans="1:28" x14ac:dyDescent="0.3">
      <c r="A661" t="s">
        <v>768</v>
      </c>
      <c r="B661" s="2">
        <v>45946</v>
      </c>
      <c r="C661" t="s">
        <v>87</v>
      </c>
      <c r="D661" t="s">
        <v>88</v>
      </c>
      <c r="E661" t="s">
        <v>24</v>
      </c>
      <c r="F661" t="s">
        <v>52</v>
      </c>
      <c r="G661" t="s">
        <v>34</v>
      </c>
      <c r="H661" t="s">
        <v>809</v>
      </c>
      <c r="I661" t="str">
        <f>IF('Cleaned Data'!H661="Emi","EMI",'Cleaned Data'!H661)</f>
        <v>EMI</v>
      </c>
      <c r="J661" t="s">
        <v>28</v>
      </c>
      <c r="K661" t="s">
        <v>216</v>
      </c>
      <c r="L661">
        <v>1</v>
      </c>
      <c r="M661" s="9">
        <v>142815</v>
      </c>
      <c r="N661" s="4">
        <v>9.6000000000000002E-2</v>
      </c>
      <c r="O661" s="4">
        <f t="shared" si="10"/>
        <v>9.6000000000000002E-2</v>
      </c>
      <c r="P661" s="11">
        <v>142815</v>
      </c>
      <c r="Q661" s="9">
        <v>13710.24</v>
      </c>
      <c r="R661" s="9">
        <v>129104.76</v>
      </c>
      <c r="S661">
        <v>3</v>
      </c>
      <c r="T661">
        <v>145</v>
      </c>
      <c r="U661">
        <v>4</v>
      </c>
      <c r="V661">
        <v>9</v>
      </c>
      <c r="W661">
        <f>IF('Cleaned Data'!V661&lt;0,"Review",'Cleaned Data'!V661)</f>
        <v>9</v>
      </c>
      <c r="X661">
        <v>3</v>
      </c>
      <c r="Y661" s="7">
        <f>IFERROR('Cleaned Data'!R661/'Cleaned Data'!L661,0)</f>
        <v>129104.76</v>
      </c>
      <c r="Z661" t="str">
        <f>TEXT(EV_Sales[[#This Row],[Order_Date]],"mmm-yyyy")</f>
        <v>Oct-2025</v>
      </c>
      <c r="AA661">
        <f>MONTH(EV_Sales[[#This Row],[Order_Date]])</f>
        <v>10</v>
      </c>
      <c r="AB661" s="12" t="str">
        <f>"Q"&amp;ROUNDUP(MONTH(EV_Sales[[#This Row],[Order_Date]])/3,0)</f>
        <v>Q4</v>
      </c>
    </row>
    <row r="662" spans="1:28" x14ac:dyDescent="0.3">
      <c r="A662" t="s">
        <v>769</v>
      </c>
      <c r="B662" s="2">
        <v>45945</v>
      </c>
      <c r="C662" t="s">
        <v>99</v>
      </c>
      <c r="D662" t="s">
        <v>121</v>
      </c>
      <c r="E662" t="s">
        <v>46</v>
      </c>
      <c r="F662" t="s">
        <v>66</v>
      </c>
      <c r="G662" t="s">
        <v>34</v>
      </c>
      <c r="H662" t="s">
        <v>809</v>
      </c>
      <c r="I662" t="str">
        <f>IF('Cleaned Data'!H662="Emi","EMI",'Cleaned Data'!H662)</f>
        <v>EMI</v>
      </c>
      <c r="J662" t="s">
        <v>94</v>
      </c>
      <c r="K662" t="s">
        <v>95</v>
      </c>
      <c r="L662">
        <v>1</v>
      </c>
      <c r="M662" s="9">
        <v>104454</v>
      </c>
      <c r="N662" s="4">
        <v>4.5999999999999999E-2</v>
      </c>
      <c r="O662" s="4">
        <f t="shared" si="10"/>
        <v>4.5999999999999999E-2</v>
      </c>
      <c r="P662" s="11">
        <v>104454</v>
      </c>
      <c r="Q662" s="9">
        <v>4804.88</v>
      </c>
      <c r="R662" s="9">
        <v>99649.12</v>
      </c>
      <c r="S662">
        <v>3</v>
      </c>
      <c r="T662">
        <v>183</v>
      </c>
      <c r="U662">
        <v>3.8</v>
      </c>
      <c r="V662">
        <v>3</v>
      </c>
      <c r="W662">
        <f>IF('Cleaned Data'!V662&lt;0,"Review",'Cleaned Data'!V662)</f>
        <v>3</v>
      </c>
      <c r="X662">
        <v>5</v>
      </c>
      <c r="Y662" s="7">
        <f>IFERROR('Cleaned Data'!R662/'Cleaned Data'!L662,0)</f>
        <v>99649.12</v>
      </c>
      <c r="Z662" t="str">
        <f>TEXT(EV_Sales[[#This Row],[Order_Date]],"mmm-yyyy")</f>
        <v>Oct-2025</v>
      </c>
      <c r="AA662">
        <f>MONTH(EV_Sales[[#This Row],[Order_Date]])</f>
        <v>10</v>
      </c>
      <c r="AB662" s="12" t="str">
        <f>"Q"&amp;ROUNDUP(MONTH(EV_Sales[[#This Row],[Order_Date]])/3,0)</f>
        <v>Q4</v>
      </c>
    </row>
    <row r="663" spans="1:28" x14ac:dyDescent="0.3">
      <c r="A663" t="s">
        <v>770</v>
      </c>
      <c r="B663" s="2">
        <v>45902</v>
      </c>
      <c r="C663" t="s">
        <v>31</v>
      </c>
      <c r="D663" t="s">
        <v>32</v>
      </c>
      <c r="E663" t="s">
        <v>46</v>
      </c>
      <c r="F663" t="s">
        <v>25</v>
      </c>
      <c r="G663" t="s">
        <v>26</v>
      </c>
      <c r="H663" t="s">
        <v>53</v>
      </c>
      <c r="I663" t="str">
        <f>IF('Cleaned Data'!H663="Emi","EMI",'Cleaned Data'!H663)</f>
        <v>Cash</v>
      </c>
      <c r="J663" t="s">
        <v>57</v>
      </c>
      <c r="K663" t="s">
        <v>109</v>
      </c>
      <c r="L663">
        <v>1</v>
      </c>
      <c r="M663" s="9">
        <v>112231</v>
      </c>
      <c r="N663" s="4">
        <v>0.105</v>
      </c>
      <c r="O663" s="4">
        <f t="shared" si="10"/>
        <v>0.105</v>
      </c>
      <c r="P663" s="11">
        <v>112231</v>
      </c>
      <c r="Q663" s="9">
        <v>11784.25</v>
      </c>
      <c r="R663" s="9">
        <v>100446.75</v>
      </c>
      <c r="S663">
        <v>3</v>
      </c>
      <c r="T663">
        <v>166</v>
      </c>
      <c r="U663">
        <v>4.2</v>
      </c>
      <c r="V663">
        <v>3</v>
      </c>
      <c r="W663">
        <f>IF('Cleaned Data'!V663&lt;0,"Review",'Cleaned Data'!V663)</f>
        <v>3</v>
      </c>
      <c r="X663">
        <v>3</v>
      </c>
      <c r="Y663" s="7">
        <f>IFERROR('Cleaned Data'!R663/'Cleaned Data'!L663,0)</f>
        <v>100446.75</v>
      </c>
      <c r="Z663" t="str">
        <f>TEXT(EV_Sales[[#This Row],[Order_Date]],"mmm-yyyy")</f>
        <v>Sep-2025</v>
      </c>
      <c r="AA663">
        <f>MONTH(EV_Sales[[#This Row],[Order_Date]])</f>
        <v>9</v>
      </c>
      <c r="AB663" s="12" t="str">
        <f>"Q"&amp;ROUNDUP(MONTH(EV_Sales[[#This Row],[Order_Date]])/3,0)</f>
        <v>Q3</v>
      </c>
    </row>
    <row r="664" spans="1:28" x14ac:dyDescent="0.3">
      <c r="A664" t="s">
        <v>771</v>
      </c>
      <c r="B664" s="2">
        <v>45802</v>
      </c>
      <c r="C664" t="s">
        <v>60</v>
      </c>
      <c r="D664" t="s">
        <v>69</v>
      </c>
      <c r="E664" t="s">
        <v>62</v>
      </c>
      <c r="F664" t="s">
        <v>101</v>
      </c>
      <c r="G664" t="s">
        <v>26</v>
      </c>
      <c r="H664" t="s">
        <v>27</v>
      </c>
      <c r="I664" t="str">
        <f>IF('Cleaned Data'!H664="Emi","EMI",'Cleaned Data'!H664)</f>
        <v>Finance</v>
      </c>
      <c r="J664" t="s">
        <v>28</v>
      </c>
      <c r="K664" t="s">
        <v>54</v>
      </c>
      <c r="L664">
        <v>2</v>
      </c>
      <c r="M664" s="9">
        <v>105783</v>
      </c>
      <c r="N664" s="4">
        <v>3.2000000000000001E-2</v>
      </c>
      <c r="O664" s="4">
        <f t="shared" si="10"/>
        <v>3.2000000000000001E-2</v>
      </c>
      <c r="P664" s="11">
        <v>211566</v>
      </c>
      <c r="Q664" s="9">
        <v>6770.11</v>
      </c>
      <c r="R664" s="9">
        <v>204795.89</v>
      </c>
      <c r="S664">
        <v>3</v>
      </c>
      <c r="T664">
        <v>165</v>
      </c>
      <c r="U664">
        <v>3.8</v>
      </c>
      <c r="V664">
        <v>10</v>
      </c>
      <c r="W664">
        <f>IF('Cleaned Data'!V664&lt;0,"Review",'Cleaned Data'!V664)</f>
        <v>10</v>
      </c>
      <c r="X664">
        <v>3</v>
      </c>
      <c r="Y664" s="7">
        <f>IFERROR('Cleaned Data'!R664/'Cleaned Data'!L664,0)</f>
        <v>102397.94500000001</v>
      </c>
      <c r="Z664" t="str">
        <f>TEXT(EV_Sales[[#This Row],[Order_Date]],"mmm-yyyy")</f>
        <v>May-2025</v>
      </c>
      <c r="AA664">
        <f>MONTH(EV_Sales[[#This Row],[Order_Date]])</f>
        <v>5</v>
      </c>
      <c r="AB664" s="12" t="str">
        <f>"Q"&amp;ROUNDUP(MONTH(EV_Sales[[#This Row],[Order_Date]])/3,0)</f>
        <v>Q2</v>
      </c>
    </row>
    <row r="665" spans="1:28" x14ac:dyDescent="0.3">
      <c r="A665" t="s">
        <v>772</v>
      </c>
      <c r="B665" s="2">
        <v>45671</v>
      </c>
      <c r="C665" t="s">
        <v>87</v>
      </c>
      <c r="D665" t="s">
        <v>130</v>
      </c>
      <c r="E665" t="s">
        <v>24</v>
      </c>
      <c r="F665" t="s">
        <v>25</v>
      </c>
      <c r="G665" t="s">
        <v>56</v>
      </c>
      <c r="H665" t="s">
        <v>809</v>
      </c>
      <c r="I665" t="str">
        <f>IF('Cleaned Data'!H665="Emi","EMI",'Cleaned Data'!H665)</f>
        <v>EMI</v>
      </c>
      <c r="J665" t="s">
        <v>48</v>
      </c>
      <c r="K665" t="s">
        <v>58</v>
      </c>
      <c r="L665">
        <v>3</v>
      </c>
      <c r="M665" s="9">
        <v>106492</v>
      </c>
      <c r="N665" s="4">
        <v>6.5000000000000002E-2</v>
      </c>
      <c r="O665" s="4">
        <f t="shared" si="10"/>
        <v>6.5000000000000002E-2</v>
      </c>
      <c r="P665" s="11">
        <v>319476</v>
      </c>
      <c r="Q665" s="9">
        <v>20765.939999999999</v>
      </c>
      <c r="R665" s="9">
        <v>298710.06</v>
      </c>
      <c r="S665">
        <v>4</v>
      </c>
      <c r="T665">
        <v>198</v>
      </c>
      <c r="U665">
        <v>4.5</v>
      </c>
      <c r="V665">
        <v>13</v>
      </c>
      <c r="W665">
        <f>IF('Cleaned Data'!V665&lt;0,"Review",'Cleaned Data'!V665)</f>
        <v>13</v>
      </c>
      <c r="X665">
        <v>5</v>
      </c>
      <c r="Y665" s="7">
        <f>IFERROR('Cleaned Data'!R665/'Cleaned Data'!L665,0)</f>
        <v>99570.02</v>
      </c>
      <c r="Z665" t="str">
        <f>TEXT(EV_Sales[[#This Row],[Order_Date]],"mmm-yyyy")</f>
        <v>Jan-2025</v>
      </c>
      <c r="AA665">
        <f>MONTH(EV_Sales[[#This Row],[Order_Date]])</f>
        <v>1</v>
      </c>
      <c r="AB665" s="12" t="str">
        <f>"Q"&amp;ROUNDUP(MONTH(EV_Sales[[#This Row],[Order_Date]])/3,0)</f>
        <v>Q1</v>
      </c>
    </row>
    <row r="666" spans="1:28" x14ac:dyDescent="0.3">
      <c r="A666" t="s">
        <v>773</v>
      </c>
      <c r="B666" s="2">
        <v>45896</v>
      </c>
      <c r="C666" t="s">
        <v>39</v>
      </c>
      <c r="D666" t="s">
        <v>40</v>
      </c>
      <c r="E666" t="s">
        <v>24</v>
      </c>
      <c r="F666" t="s">
        <v>80</v>
      </c>
      <c r="G666" t="s">
        <v>34</v>
      </c>
      <c r="H666" t="s">
        <v>53</v>
      </c>
      <c r="I666" t="str">
        <f>IF('Cleaned Data'!H666="Emi","EMI",'Cleaned Data'!H666)</f>
        <v>Cash</v>
      </c>
      <c r="J666" t="s">
        <v>36</v>
      </c>
      <c r="K666" t="s">
        <v>85</v>
      </c>
      <c r="L666">
        <v>1</v>
      </c>
      <c r="M666" s="9">
        <v>124037</v>
      </c>
      <c r="N666" s="4">
        <v>4.1000000000000002E-2</v>
      </c>
      <c r="O666" s="4">
        <f t="shared" si="10"/>
        <v>4.1000000000000002E-2</v>
      </c>
      <c r="P666" s="11">
        <v>124037</v>
      </c>
      <c r="Q666" s="9">
        <v>5085.5200000000004</v>
      </c>
      <c r="R666" s="9">
        <v>118951.48</v>
      </c>
      <c r="S666">
        <v>4</v>
      </c>
      <c r="T666">
        <v>176</v>
      </c>
      <c r="U666">
        <v>4.0999999999999996</v>
      </c>
      <c r="V666">
        <v>13</v>
      </c>
      <c r="W666">
        <f>IF('Cleaned Data'!V666&lt;0,"Review",'Cleaned Data'!V666)</f>
        <v>13</v>
      </c>
      <c r="X666">
        <v>3</v>
      </c>
      <c r="Y666" s="7">
        <f>IFERROR('Cleaned Data'!R666/'Cleaned Data'!L666,0)</f>
        <v>118951.48</v>
      </c>
      <c r="Z666" t="str">
        <f>TEXT(EV_Sales[[#This Row],[Order_Date]],"mmm-yyyy")</f>
        <v>Aug-2025</v>
      </c>
      <c r="AA666">
        <f>MONTH(EV_Sales[[#This Row],[Order_Date]])</f>
        <v>8</v>
      </c>
      <c r="AB666" s="12" t="str">
        <f>"Q"&amp;ROUNDUP(MONTH(EV_Sales[[#This Row],[Order_Date]])/3,0)</f>
        <v>Q3</v>
      </c>
    </row>
    <row r="667" spans="1:28" x14ac:dyDescent="0.3">
      <c r="A667" t="s">
        <v>774</v>
      </c>
      <c r="B667" s="2">
        <v>45752</v>
      </c>
      <c r="C667" t="s">
        <v>31</v>
      </c>
      <c r="D667" t="s">
        <v>32</v>
      </c>
      <c r="E667" t="s">
        <v>24</v>
      </c>
      <c r="F667" t="s">
        <v>41</v>
      </c>
      <c r="G667" t="s">
        <v>34</v>
      </c>
      <c r="H667" t="s">
        <v>27</v>
      </c>
      <c r="I667" t="str">
        <f>IF('Cleaned Data'!H667="Emi","EMI",'Cleaned Data'!H667)</f>
        <v>Finance</v>
      </c>
      <c r="J667" t="s">
        <v>63</v>
      </c>
      <c r="K667" t="s">
        <v>89</v>
      </c>
      <c r="L667">
        <v>3</v>
      </c>
      <c r="M667" s="9">
        <v>107992</v>
      </c>
      <c r="N667" s="4">
        <v>0.08</v>
      </c>
      <c r="O667" s="4">
        <f t="shared" si="10"/>
        <v>0.08</v>
      </c>
      <c r="P667" s="11">
        <v>323976</v>
      </c>
      <c r="Q667" s="9">
        <v>25918.080000000002</v>
      </c>
      <c r="R667" s="9">
        <v>298057.92</v>
      </c>
      <c r="S667">
        <v>4</v>
      </c>
      <c r="T667">
        <v>157</v>
      </c>
      <c r="U667">
        <v>4.2</v>
      </c>
      <c r="V667">
        <v>3</v>
      </c>
      <c r="W667">
        <f>IF('Cleaned Data'!V667&lt;0,"Review",'Cleaned Data'!V667)</f>
        <v>3</v>
      </c>
      <c r="X667">
        <v>2</v>
      </c>
      <c r="Y667" s="7">
        <f>IFERROR('Cleaned Data'!R667/'Cleaned Data'!L667,0)</f>
        <v>99352.639999999999</v>
      </c>
      <c r="Z667" t="str">
        <f>TEXT(EV_Sales[[#This Row],[Order_Date]],"mmm-yyyy")</f>
        <v>Apr-2025</v>
      </c>
      <c r="AA667">
        <f>MONTH(EV_Sales[[#This Row],[Order_Date]])</f>
        <v>4</v>
      </c>
      <c r="AB667" s="12" t="str">
        <f>"Q"&amp;ROUNDUP(MONTH(EV_Sales[[#This Row],[Order_Date]])/3,0)</f>
        <v>Q2</v>
      </c>
    </row>
    <row r="668" spans="1:28" x14ac:dyDescent="0.3">
      <c r="A668" t="s">
        <v>775</v>
      </c>
      <c r="B668" s="2">
        <v>45687</v>
      </c>
      <c r="C668" t="s">
        <v>39</v>
      </c>
      <c r="D668" t="s">
        <v>154</v>
      </c>
      <c r="E668" t="s">
        <v>46</v>
      </c>
      <c r="F668" t="s">
        <v>33</v>
      </c>
      <c r="G668" t="s">
        <v>34</v>
      </c>
      <c r="H668" t="s">
        <v>53</v>
      </c>
      <c r="I668" t="str">
        <f>IF('Cleaned Data'!H668="Emi","EMI",'Cleaned Data'!H668)</f>
        <v>Cash</v>
      </c>
      <c r="J668" t="s">
        <v>63</v>
      </c>
      <c r="K668" t="s">
        <v>131</v>
      </c>
      <c r="L668">
        <v>2</v>
      </c>
      <c r="M668" s="9">
        <v>172011</v>
      </c>
      <c r="N668" s="4">
        <v>3.5000000000000003E-2</v>
      </c>
      <c r="O668" s="4">
        <f t="shared" si="10"/>
        <v>3.5000000000000003E-2</v>
      </c>
      <c r="P668" s="11">
        <v>344022</v>
      </c>
      <c r="Q668" s="9">
        <v>12040.77</v>
      </c>
      <c r="R668" s="9">
        <v>331981.23</v>
      </c>
      <c r="S668">
        <v>3</v>
      </c>
      <c r="T668">
        <v>161</v>
      </c>
      <c r="U668">
        <v>4.2</v>
      </c>
      <c r="V668">
        <v>14</v>
      </c>
      <c r="W668">
        <f>IF('Cleaned Data'!V668&lt;0,"Review",'Cleaned Data'!V668)</f>
        <v>14</v>
      </c>
      <c r="X668">
        <v>2</v>
      </c>
      <c r="Y668" s="7">
        <f>IFERROR('Cleaned Data'!R668/'Cleaned Data'!L668,0)</f>
        <v>165990.61499999999</v>
      </c>
      <c r="Z668" t="str">
        <f>TEXT(EV_Sales[[#This Row],[Order_Date]],"mmm-yyyy")</f>
        <v>Jan-2025</v>
      </c>
      <c r="AA668">
        <f>MONTH(EV_Sales[[#This Row],[Order_Date]])</f>
        <v>1</v>
      </c>
      <c r="AB668" s="12" t="str">
        <f>"Q"&amp;ROUNDUP(MONTH(EV_Sales[[#This Row],[Order_Date]])/3,0)</f>
        <v>Q1</v>
      </c>
    </row>
    <row r="669" spans="1:28" x14ac:dyDescent="0.3">
      <c r="A669" t="s">
        <v>776</v>
      </c>
      <c r="B669" s="2">
        <v>45823</v>
      </c>
      <c r="C669" t="s">
        <v>76</v>
      </c>
      <c r="D669" t="s">
        <v>77</v>
      </c>
      <c r="E669" t="s">
        <v>24</v>
      </c>
      <c r="F669" t="s">
        <v>80</v>
      </c>
      <c r="G669" t="s">
        <v>56</v>
      </c>
      <c r="H669" t="s">
        <v>27</v>
      </c>
      <c r="I669" t="str">
        <f>IF('Cleaned Data'!H669="Emi","EMI",'Cleaned Data'!H669)</f>
        <v>Finance</v>
      </c>
      <c r="J669" t="s">
        <v>48</v>
      </c>
      <c r="K669" t="s">
        <v>49</v>
      </c>
      <c r="L669">
        <v>2</v>
      </c>
      <c r="M669" s="9">
        <v>136420</v>
      </c>
      <c r="N669" s="4">
        <v>7.9000000000000001E-2</v>
      </c>
      <c r="O669" s="4">
        <f t="shared" si="10"/>
        <v>7.9000000000000001E-2</v>
      </c>
      <c r="P669" s="11">
        <v>272840</v>
      </c>
      <c r="Q669" s="9">
        <v>21554.36</v>
      </c>
      <c r="R669" s="9">
        <v>251285.64</v>
      </c>
      <c r="S669">
        <v>5</v>
      </c>
      <c r="T669">
        <v>190</v>
      </c>
      <c r="U669">
        <v>4</v>
      </c>
      <c r="V669">
        <v>14</v>
      </c>
      <c r="W669">
        <f>IF('Cleaned Data'!V669&lt;0,"Review",'Cleaned Data'!V669)</f>
        <v>14</v>
      </c>
      <c r="X669">
        <v>5</v>
      </c>
      <c r="Y669" s="7">
        <f>IFERROR('Cleaned Data'!R669/'Cleaned Data'!L669,0)</f>
        <v>125642.82</v>
      </c>
      <c r="Z669" t="str">
        <f>TEXT(EV_Sales[[#This Row],[Order_Date]],"mmm-yyyy")</f>
        <v>Jun-2025</v>
      </c>
      <c r="AA669">
        <f>MONTH(EV_Sales[[#This Row],[Order_Date]])</f>
        <v>6</v>
      </c>
      <c r="AB669" s="12" t="str">
        <f>"Q"&amp;ROUNDUP(MONTH(EV_Sales[[#This Row],[Order_Date]])/3,0)</f>
        <v>Q2</v>
      </c>
    </row>
    <row r="670" spans="1:28" x14ac:dyDescent="0.3">
      <c r="A670" t="s">
        <v>777</v>
      </c>
      <c r="B670" s="2">
        <v>45921</v>
      </c>
      <c r="C670" t="s">
        <v>44</v>
      </c>
      <c r="D670" t="s">
        <v>51</v>
      </c>
      <c r="E670" t="s">
        <v>46</v>
      </c>
      <c r="F670" t="s">
        <v>66</v>
      </c>
      <c r="G670" t="s">
        <v>56</v>
      </c>
      <c r="H670" t="s">
        <v>27</v>
      </c>
      <c r="I670" t="str">
        <f>IF('Cleaned Data'!H670="Emi","EMI",'Cleaned Data'!H670)</f>
        <v>Finance</v>
      </c>
      <c r="J670" t="s">
        <v>94</v>
      </c>
      <c r="K670" t="s">
        <v>102</v>
      </c>
      <c r="L670">
        <v>4</v>
      </c>
      <c r="M670" s="9">
        <v>119339</v>
      </c>
      <c r="N670" s="4">
        <v>5.0999999999999997E-2</v>
      </c>
      <c r="O670" s="4">
        <f t="shared" si="10"/>
        <v>5.0999999999999997E-2</v>
      </c>
      <c r="P670" s="11">
        <v>477356</v>
      </c>
      <c r="Q670" s="9">
        <v>24345.16</v>
      </c>
      <c r="R670" s="9">
        <v>453010.84</v>
      </c>
      <c r="S670">
        <v>3</v>
      </c>
      <c r="T670">
        <v>176</v>
      </c>
      <c r="U670">
        <v>4</v>
      </c>
      <c r="V670">
        <v>7</v>
      </c>
      <c r="W670">
        <f>IF('Cleaned Data'!V670&lt;0,"Review",'Cleaned Data'!V670)</f>
        <v>7</v>
      </c>
      <c r="X670">
        <v>5</v>
      </c>
      <c r="Y670" s="7">
        <f>IFERROR('Cleaned Data'!R670/'Cleaned Data'!L670,0)</f>
        <v>113252.71</v>
      </c>
      <c r="Z670" t="str">
        <f>TEXT(EV_Sales[[#This Row],[Order_Date]],"mmm-yyyy")</f>
        <v>Sep-2025</v>
      </c>
      <c r="AA670">
        <f>MONTH(EV_Sales[[#This Row],[Order_Date]])</f>
        <v>9</v>
      </c>
      <c r="AB670" s="12" t="str">
        <f>"Q"&amp;ROUNDUP(MONTH(EV_Sales[[#This Row],[Order_Date]])/3,0)</f>
        <v>Q3</v>
      </c>
    </row>
    <row r="671" spans="1:28" x14ac:dyDescent="0.3">
      <c r="A671" t="s">
        <v>778</v>
      </c>
      <c r="B671" s="2">
        <v>45741</v>
      </c>
      <c r="C671" t="s">
        <v>44</v>
      </c>
      <c r="D671" t="s">
        <v>51</v>
      </c>
      <c r="E671" t="s">
        <v>24</v>
      </c>
      <c r="F671" t="s">
        <v>25</v>
      </c>
      <c r="G671" t="s">
        <v>34</v>
      </c>
      <c r="H671" t="s">
        <v>27</v>
      </c>
      <c r="I671" t="str">
        <f>IF('Cleaned Data'!H671="Emi","EMI",'Cleaned Data'!H671)</f>
        <v>Finance</v>
      </c>
      <c r="J671" t="s">
        <v>48</v>
      </c>
      <c r="K671" t="s">
        <v>78</v>
      </c>
      <c r="L671">
        <v>1</v>
      </c>
      <c r="M671" s="9">
        <v>119495</v>
      </c>
      <c r="N671" s="4">
        <v>3.6999999999999998E-2</v>
      </c>
      <c r="O671" s="4">
        <f t="shared" si="10"/>
        <v>3.6999999999999998E-2</v>
      </c>
      <c r="P671" s="11">
        <v>119495</v>
      </c>
      <c r="Q671" s="9">
        <v>4421.3100000000004</v>
      </c>
      <c r="R671" s="9">
        <v>115073.69</v>
      </c>
      <c r="S671">
        <v>4</v>
      </c>
      <c r="T671">
        <v>187</v>
      </c>
      <c r="U671" t="s">
        <v>812</v>
      </c>
      <c r="V671">
        <v>3</v>
      </c>
      <c r="W671">
        <f>IF('Cleaned Data'!V671&lt;0,"Review",'Cleaned Data'!V671)</f>
        <v>3</v>
      </c>
      <c r="X671">
        <v>3</v>
      </c>
      <c r="Y671" s="7">
        <f>IFERROR('Cleaned Data'!R671/'Cleaned Data'!L671,0)</f>
        <v>115073.69</v>
      </c>
      <c r="Z671" t="str">
        <f>TEXT(EV_Sales[[#This Row],[Order_Date]],"mmm-yyyy")</f>
        <v>Mar-2025</v>
      </c>
      <c r="AA671">
        <f>MONTH(EV_Sales[[#This Row],[Order_Date]])</f>
        <v>3</v>
      </c>
      <c r="AB671" s="12" t="str">
        <f>"Q"&amp;ROUNDUP(MONTH(EV_Sales[[#This Row],[Order_Date]])/3,0)</f>
        <v>Q1</v>
      </c>
    </row>
    <row r="672" spans="1:28" x14ac:dyDescent="0.3">
      <c r="A672" t="s">
        <v>779</v>
      </c>
      <c r="B672" s="2">
        <v>45672</v>
      </c>
      <c r="C672" t="s">
        <v>87</v>
      </c>
      <c r="D672" t="s">
        <v>88</v>
      </c>
      <c r="E672" t="s">
        <v>24</v>
      </c>
      <c r="F672" t="s">
        <v>66</v>
      </c>
      <c r="G672" t="s">
        <v>67</v>
      </c>
      <c r="H672" t="s">
        <v>53</v>
      </c>
      <c r="I672" t="str">
        <f>IF('Cleaned Data'!H672="Emi","EMI",'Cleaned Data'!H672)</f>
        <v>Cash</v>
      </c>
      <c r="J672" t="s">
        <v>57</v>
      </c>
      <c r="K672" t="s">
        <v>109</v>
      </c>
      <c r="L672">
        <v>2</v>
      </c>
      <c r="M672" s="9">
        <v>150461</v>
      </c>
      <c r="N672" s="4">
        <v>2.1000000000000001E-2</v>
      </c>
      <c r="O672" s="4">
        <f t="shared" si="10"/>
        <v>2.1000000000000001E-2</v>
      </c>
      <c r="P672" s="11">
        <v>300922</v>
      </c>
      <c r="Q672" s="9">
        <v>6319.36</v>
      </c>
      <c r="R672" s="9">
        <v>294602.64</v>
      </c>
      <c r="S672">
        <v>4</v>
      </c>
      <c r="T672">
        <v>193</v>
      </c>
      <c r="U672">
        <v>4.9000000000000004</v>
      </c>
      <c r="V672">
        <v>8</v>
      </c>
      <c r="W672">
        <f>IF('Cleaned Data'!V672&lt;0,"Review",'Cleaned Data'!V672)</f>
        <v>8</v>
      </c>
      <c r="X672">
        <v>3</v>
      </c>
      <c r="Y672" s="7">
        <f>IFERROR('Cleaned Data'!R672/'Cleaned Data'!L672,0)</f>
        <v>147301.32</v>
      </c>
      <c r="Z672" t="str">
        <f>TEXT(EV_Sales[[#This Row],[Order_Date]],"mmm-yyyy")</f>
        <v>Jan-2025</v>
      </c>
      <c r="AA672">
        <f>MONTH(EV_Sales[[#This Row],[Order_Date]])</f>
        <v>1</v>
      </c>
      <c r="AB672" s="12" t="str">
        <f>"Q"&amp;ROUNDUP(MONTH(EV_Sales[[#This Row],[Order_Date]])/3,0)</f>
        <v>Q1</v>
      </c>
    </row>
    <row r="673" spans="1:28" x14ac:dyDescent="0.3">
      <c r="A673" t="s">
        <v>780</v>
      </c>
      <c r="B673" s="2">
        <v>45677</v>
      </c>
      <c r="C673" t="s">
        <v>87</v>
      </c>
      <c r="D673" t="s">
        <v>130</v>
      </c>
      <c r="E673" t="s">
        <v>24</v>
      </c>
      <c r="F673" t="s">
        <v>33</v>
      </c>
      <c r="G673" t="s">
        <v>34</v>
      </c>
      <c r="H673" t="s">
        <v>27</v>
      </c>
      <c r="I673" t="str">
        <f>IF('Cleaned Data'!H673="Emi","EMI",'Cleaned Data'!H673)</f>
        <v>Finance</v>
      </c>
      <c r="J673" t="s">
        <v>94</v>
      </c>
      <c r="K673" t="s">
        <v>92</v>
      </c>
      <c r="L673">
        <v>1</v>
      </c>
      <c r="M673" s="9">
        <v>114085</v>
      </c>
      <c r="N673" s="4">
        <v>8.5000000000000006E-2</v>
      </c>
      <c r="O673" s="4">
        <f t="shared" si="10"/>
        <v>8.5000000000000006E-2</v>
      </c>
      <c r="P673" s="11">
        <v>114085</v>
      </c>
      <c r="Q673" s="9">
        <v>9697.23</v>
      </c>
      <c r="R673" s="9">
        <v>104387.77</v>
      </c>
      <c r="S673">
        <v>4</v>
      </c>
      <c r="T673">
        <v>165</v>
      </c>
      <c r="U673">
        <v>3.8</v>
      </c>
      <c r="V673">
        <v>10</v>
      </c>
      <c r="W673">
        <f>IF('Cleaned Data'!V673&lt;0,"Review",'Cleaned Data'!V673)</f>
        <v>10</v>
      </c>
      <c r="X673">
        <v>2</v>
      </c>
      <c r="Y673" s="7">
        <f>IFERROR('Cleaned Data'!R673/'Cleaned Data'!L673,0)</f>
        <v>104387.77</v>
      </c>
      <c r="Z673" t="str">
        <f>TEXT(EV_Sales[[#This Row],[Order_Date]],"mmm-yyyy")</f>
        <v>Jan-2025</v>
      </c>
      <c r="AA673">
        <f>MONTH(EV_Sales[[#This Row],[Order_Date]])</f>
        <v>1</v>
      </c>
      <c r="AB673" s="12" t="str">
        <f>"Q"&amp;ROUNDUP(MONTH(EV_Sales[[#This Row],[Order_Date]])/3,0)</f>
        <v>Q1</v>
      </c>
    </row>
    <row r="674" spans="1:28" x14ac:dyDescent="0.3">
      <c r="A674" t="s">
        <v>781</v>
      </c>
      <c r="B674" s="2">
        <v>45836</v>
      </c>
      <c r="C674" t="s">
        <v>39</v>
      </c>
      <c r="D674" t="s">
        <v>40</v>
      </c>
      <c r="E674" t="s">
        <v>62</v>
      </c>
      <c r="F674" t="s">
        <v>74</v>
      </c>
      <c r="G674" t="s">
        <v>67</v>
      </c>
      <c r="H674" t="s">
        <v>809</v>
      </c>
      <c r="I674" t="str">
        <f>IF('Cleaned Data'!H674="Emi","EMI",'Cleaned Data'!H674)</f>
        <v>EMI</v>
      </c>
      <c r="J674" t="s">
        <v>48</v>
      </c>
      <c r="K674" t="s">
        <v>216</v>
      </c>
      <c r="L674">
        <v>2</v>
      </c>
      <c r="M674" s="9">
        <v>127277</v>
      </c>
      <c r="N674" s="4">
        <v>8.2000000000000003E-2</v>
      </c>
      <c r="O674" s="4">
        <f t="shared" si="10"/>
        <v>8.2000000000000003E-2</v>
      </c>
      <c r="P674" s="11">
        <v>254554</v>
      </c>
      <c r="Q674" s="9">
        <v>20873.43</v>
      </c>
      <c r="R674" s="9">
        <v>233680.57</v>
      </c>
      <c r="S674">
        <v>2</v>
      </c>
      <c r="T674">
        <v>158</v>
      </c>
      <c r="U674">
        <v>3.2</v>
      </c>
      <c r="V674">
        <v>6</v>
      </c>
      <c r="W674">
        <f>IF('Cleaned Data'!V674&lt;0,"Review",'Cleaned Data'!V674)</f>
        <v>6</v>
      </c>
      <c r="X674">
        <v>3</v>
      </c>
      <c r="Y674" s="7">
        <f>IFERROR('Cleaned Data'!R674/'Cleaned Data'!L674,0)</f>
        <v>116840.285</v>
      </c>
      <c r="Z674" t="str">
        <f>TEXT(EV_Sales[[#This Row],[Order_Date]],"mmm-yyyy")</f>
        <v>Jun-2025</v>
      </c>
      <c r="AA674">
        <f>MONTH(EV_Sales[[#This Row],[Order_Date]])</f>
        <v>6</v>
      </c>
      <c r="AB674" s="12" t="str">
        <f>"Q"&amp;ROUNDUP(MONTH(EV_Sales[[#This Row],[Order_Date]])/3,0)</f>
        <v>Q2</v>
      </c>
    </row>
    <row r="675" spans="1:28" x14ac:dyDescent="0.3">
      <c r="A675" t="s">
        <v>782</v>
      </c>
      <c r="B675" s="2">
        <v>45677</v>
      </c>
      <c r="C675" t="s">
        <v>76</v>
      </c>
      <c r="D675" t="s">
        <v>77</v>
      </c>
      <c r="E675" t="s">
        <v>24</v>
      </c>
      <c r="F675" t="s">
        <v>80</v>
      </c>
      <c r="G675" t="s">
        <v>56</v>
      </c>
      <c r="H675" t="s">
        <v>27</v>
      </c>
      <c r="I675" t="str">
        <f>IF('Cleaned Data'!H675="Emi","EMI",'Cleaned Data'!H675)</f>
        <v>Finance</v>
      </c>
      <c r="J675" t="s">
        <v>57</v>
      </c>
      <c r="K675" t="s">
        <v>49</v>
      </c>
      <c r="L675">
        <v>1</v>
      </c>
      <c r="M675" s="9">
        <v>138702</v>
      </c>
      <c r="N675" s="4">
        <v>9.6000000000000002E-2</v>
      </c>
      <c r="O675" s="4">
        <f t="shared" si="10"/>
        <v>9.6000000000000002E-2</v>
      </c>
      <c r="P675" s="11">
        <v>138702</v>
      </c>
      <c r="Q675" s="9">
        <v>13315.39</v>
      </c>
      <c r="R675" s="9">
        <v>125386.61</v>
      </c>
      <c r="S675">
        <v>5</v>
      </c>
      <c r="T675">
        <v>224</v>
      </c>
      <c r="U675">
        <v>3.9</v>
      </c>
      <c r="V675">
        <v>2</v>
      </c>
      <c r="W675">
        <f>IF('Cleaned Data'!V675&lt;0,"Review",'Cleaned Data'!V675)</f>
        <v>2</v>
      </c>
      <c r="X675">
        <v>2</v>
      </c>
      <c r="Y675" s="7">
        <f>IFERROR('Cleaned Data'!R675/'Cleaned Data'!L675,0)</f>
        <v>125386.61</v>
      </c>
      <c r="Z675" t="str">
        <f>TEXT(EV_Sales[[#This Row],[Order_Date]],"mmm-yyyy")</f>
        <v>Jan-2025</v>
      </c>
      <c r="AA675">
        <f>MONTH(EV_Sales[[#This Row],[Order_Date]])</f>
        <v>1</v>
      </c>
      <c r="AB675" s="12" t="str">
        <f>"Q"&amp;ROUNDUP(MONTH(EV_Sales[[#This Row],[Order_Date]])/3,0)</f>
        <v>Q1</v>
      </c>
    </row>
    <row r="676" spans="1:28" x14ac:dyDescent="0.3">
      <c r="A676" t="s">
        <v>783</v>
      </c>
      <c r="B676" s="2">
        <v>45795</v>
      </c>
      <c r="C676" t="s">
        <v>87</v>
      </c>
      <c r="D676" t="s">
        <v>130</v>
      </c>
      <c r="E676" t="s">
        <v>24</v>
      </c>
      <c r="F676" t="s">
        <v>66</v>
      </c>
      <c r="G676" t="s">
        <v>34</v>
      </c>
      <c r="H676" t="s">
        <v>53</v>
      </c>
      <c r="I676" t="str">
        <f>IF('Cleaned Data'!H676="Emi","EMI",'Cleaned Data'!H676)</f>
        <v>Cash</v>
      </c>
      <c r="J676" t="s">
        <v>48</v>
      </c>
      <c r="K676" t="s">
        <v>81</v>
      </c>
      <c r="L676">
        <v>1</v>
      </c>
      <c r="M676" s="9">
        <v>116821</v>
      </c>
      <c r="N676" s="4">
        <v>6.8000000000000005E-2</v>
      </c>
      <c r="O676" s="4">
        <f t="shared" si="10"/>
        <v>6.8000000000000005E-2</v>
      </c>
      <c r="P676" s="11">
        <v>116821</v>
      </c>
      <c r="Q676" s="9">
        <v>7943.83</v>
      </c>
      <c r="R676" s="9">
        <v>108877.17</v>
      </c>
      <c r="S676">
        <v>3</v>
      </c>
      <c r="T676">
        <v>135</v>
      </c>
      <c r="U676">
        <v>4.3</v>
      </c>
      <c r="V676">
        <v>5</v>
      </c>
      <c r="W676">
        <f>IF('Cleaned Data'!V676&lt;0,"Review",'Cleaned Data'!V676)</f>
        <v>5</v>
      </c>
      <c r="X676">
        <v>3</v>
      </c>
      <c r="Y676" s="7">
        <f>IFERROR('Cleaned Data'!R676/'Cleaned Data'!L676,0)</f>
        <v>108877.17</v>
      </c>
      <c r="Z676" t="str">
        <f>TEXT(EV_Sales[[#This Row],[Order_Date]],"mmm-yyyy")</f>
        <v>May-2025</v>
      </c>
      <c r="AA676">
        <f>MONTH(EV_Sales[[#This Row],[Order_Date]])</f>
        <v>5</v>
      </c>
      <c r="AB676" s="12" t="str">
        <f>"Q"&amp;ROUNDUP(MONTH(EV_Sales[[#This Row],[Order_Date]])/3,0)</f>
        <v>Q2</v>
      </c>
    </row>
    <row r="677" spans="1:28" x14ac:dyDescent="0.3">
      <c r="A677" t="s">
        <v>784</v>
      </c>
      <c r="B677" s="2">
        <v>45903</v>
      </c>
      <c r="C677" t="s">
        <v>99</v>
      </c>
      <c r="D677" t="s">
        <v>100</v>
      </c>
      <c r="E677" t="s">
        <v>46</v>
      </c>
      <c r="F677" t="s">
        <v>52</v>
      </c>
      <c r="G677" t="s">
        <v>67</v>
      </c>
      <c r="H677" t="s">
        <v>27</v>
      </c>
      <c r="I677" t="str">
        <f>IF('Cleaned Data'!H677="Emi","EMI",'Cleaned Data'!H677)</f>
        <v>Finance</v>
      </c>
      <c r="J677" t="s">
        <v>48</v>
      </c>
      <c r="K677" t="s">
        <v>29</v>
      </c>
      <c r="L677">
        <v>2</v>
      </c>
      <c r="M677" s="9">
        <v>108449</v>
      </c>
      <c r="N677" s="4">
        <v>7.1999999999999995E-2</v>
      </c>
      <c r="O677" s="4">
        <f t="shared" si="10"/>
        <v>7.1999999999999995E-2</v>
      </c>
      <c r="P677" s="11">
        <v>216898</v>
      </c>
      <c r="Q677" s="9">
        <v>15616.66</v>
      </c>
      <c r="R677" s="9">
        <v>201281.34</v>
      </c>
      <c r="S677">
        <v>3</v>
      </c>
      <c r="T677">
        <v>184</v>
      </c>
      <c r="U677">
        <v>4.4000000000000004</v>
      </c>
      <c r="V677">
        <v>13</v>
      </c>
      <c r="W677">
        <f>IF('Cleaned Data'!V677&lt;0,"Review",'Cleaned Data'!V677)</f>
        <v>13</v>
      </c>
      <c r="X677">
        <v>3</v>
      </c>
      <c r="Y677" s="7">
        <f>IFERROR('Cleaned Data'!R677/'Cleaned Data'!L677,0)</f>
        <v>100640.67</v>
      </c>
      <c r="Z677" t="str">
        <f>TEXT(EV_Sales[[#This Row],[Order_Date]],"mmm-yyyy")</f>
        <v>Sep-2025</v>
      </c>
      <c r="AA677">
        <f>MONTH(EV_Sales[[#This Row],[Order_Date]])</f>
        <v>9</v>
      </c>
      <c r="AB677" s="12" t="str">
        <f>"Q"&amp;ROUNDUP(MONTH(EV_Sales[[#This Row],[Order_Date]])/3,0)</f>
        <v>Q3</v>
      </c>
    </row>
    <row r="678" spans="1:28" x14ac:dyDescent="0.3">
      <c r="A678" t="s">
        <v>785</v>
      </c>
      <c r="B678" s="2">
        <v>45922</v>
      </c>
      <c r="C678" t="s">
        <v>31</v>
      </c>
      <c r="D678" t="s">
        <v>32</v>
      </c>
      <c r="E678" t="s">
        <v>24</v>
      </c>
      <c r="F678" t="s">
        <v>80</v>
      </c>
      <c r="G678" t="s">
        <v>26</v>
      </c>
      <c r="H678" t="s">
        <v>809</v>
      </c>
      <c r="I678" t="str">
        <f>IF('Cleaned Data'!H678="Emi","EMI",'Cleaned Data'!H678)</f>
        <v>EMI</v>
      </c>
      <c r="J678" t="s">
        <v>57</v>
      </c>
      <c r="K678" t="s">
        <v>95</v>
      </c>
      <c r="L678">
        <v>1</v>
      </c>
      <c r="M678" s="9">
        <v>109517</v>
      </c>
      <c r="N678" s="4">
        <v>7.6999999999999999E-2</v>
      </c>
      <c r="O678" s="4">
        <f t="shared" si="10"/>
        <v>7.6999999999999999E-2</v>
      </c>
      <c r="P678" s="11">
        <v>109517</v>
      </c>
      <c r="Q678" s="9">
        <v>8432.81</v>
      </c>
      <c r="R678" s="9">
        <v>101084.19</v>
      </c>
      <c r="S678">
        <v>5</v>
      </c>
      <c r="T678">
        <v>216</v>
      </c>
      <c r="U678">
        <v>4.0999999999999996</v>
      </c>
      <c r="V678">
        <v>8</v>
      </c>
      <c r="W678">
        <f>IF('Cleaned Data'!V678&lt;0,"Review",'Cleaned Data'!V678)</f>
        <v>8</v>
      </c>
      <c r="X678">
        <v>5</v>
      </c>
      <c r="Y678" s="7">
        <f>IFERROR('Cleaned Data'!R678/'Cleaned Data'!L678,0)</f>
        <v>101084.19</v>
      </c>
      <c r="Z678" t="str">
        <f>TEXT(EV_Sales[[#This Row],[Order_Date]],"mmm-yyyy")</f>
        <v>Sep-2025</v>
      </c>
      <c r="AA678">
        <f>MONTH(EV_Sales[[#This Row],[Order_Date]])</f>
        <v>9</v>
      </c>
      <c r="AB678" s="12" t="str">
        <f>"Q"&amp;ROUNDUP(MONTH(EV_Sales[[#This Row],[Order_Date]])/3,0)</f>
        <v>Q3</v>
      </c>
    </row>
    <row r="679" spans="1:28" x14ac:dyDescent="0.3">
      <c r="A679" t="s">
        <v>786</v>
      </c>
      <c r="B679" s="2">
        <v>45719</v>
      </c>
      <c r="C679" t="s">
        <v>99</v>
      </c>
      <c r="D679" t="s">
        <v>100</v>
      </c>
      <c r="E679" t="s">
        <v>24</v>
      </c>
      <c r="F679" t="s">
        <v>47</v>
      </c>
      <c r="G679" t="s">
        <v>26</v>
      </c>
      <c r="H679" t="s">
        <v>53</v>
      </c>
      <c r="I679" t="str">
        <f>IF('Cleaned Data'!H679="Emi","EMI",'Cleaned Data'!H679)</f>
        <v>Cash</v>
      </c>
      <c r="J679" t="s">
        <v>36</v>
      </c>
      <c r="K679" t="s">
        <v>143</v>
      </c>
      <c r="L679">
        <v>1</v>
      </c>
      <c r="M679" s="9">
        <v>117454</v>
      </c>
      <c r="N679" s="4">
        <v>0.114</v>
      </c>
      <c r="O679" s="4">
        <f t="shared" si="10"/>
        <v>0.114</v>
      </c>
      <c r="P679" s="11">
        <v>117454</v>
      </c>
      <c r="Q679" s="9">
        <v>13389.76</v>
      </c>
      <c r="R679" s="9">
        <v>104064.24</v>
      </c>
      <c r="S679">
        <v>4</v>
      </c>
      <c r="T679">
        <v>192</v>
      </c>
      <c r="U679">
        <v>4.5</v>
      </c>
      <c r="V679">
        <v>9</v>
      </c>
      <c r="W679">
        <f>IF('Cleaned Data'!V679&lt;0,"Review",'Cleaned Data'!V679)</f>
        <v>9</v>
      </c>
      <c r="X679">
        <v>5</v>
      </c>
      <c r="Y679" s="7">
        <f>IFERROR('Cleaned Data'!R679/'Cleaned Data'!L679,0)</f>
        <v>104064.24</v>
      </c>
      <c r="Z679" t="str">
        <f>TEXT(EV_Sales[[#This Row],[Order_Date]],"mmm-yyyy")</f>
        <v>Mar-2025</v>
      </c>
      <c r="AA679">
        <f>MONTH(EV_Sales[[#This Row],[Order_Date]])</f>
        <v>3</v>
      </c>
      <c r="AB679" s="12" t="str">
        <f>"Q"&amp;ROUNDUP(MONTH(EV_Sales[[#This Row],[Order_Date]])/3,0)</f>
        <v>Q1</v>
      </c>
    </row>
    <row r="680" spans="1:28" x14ac:dyDescent="0.3">
      <c r="A680" t="s">
        <v>787</v>
      </c>
      <c r="B680" s="2">
        <v>45947</v>
      </c>
      <c r="C680" t="s">
        <v>39</v>
      </c>
      <c r="D680" t="s">
        <v>40</v>
      </c>
      <c r="E680" t="s">
        <v>62</v>
      </c>
      <c r="F680" t="s">
        <v>74</v>
      </c>
      <c r="G680" t="s">
        <v>67</v>
      </c>
      <c r="H680" t="s">
        <v>53</v>
      </c>
      <c r="I680" t="str">
        <f>IF('Cleaned Data'!H680="Emi","EMI",'Cleaned Data'!H680)</f>
        <v>Cash</v>
      </c>
      <c r="J680" t="s">
        <v>28</v>
      </c>
      <c r="K680" t="s">
        <v>102</v>
      </c>
      <c r="L680">
        <v>1</v>
      </c>
      <c r="M680" s="9">
        <v>126504</v>
      </c>
      <c r="N680" s="4">
        <v>3.1E-2</v>
      </c>
      <c r="O680" s="4">
        <f t="shared" si="10"/>
        <v>3.1E-2</v>
      </c>
      <c r="P680" s="11">
        <v>126504</v>
      </c>
      <c r="Q680" s="9">
        <v>3921.62</v>
      </c>
      <c r="R680" s="9">
        <v>122582.38</v>
      </c>
      <c r="S680">
        <v>4</v>
      </c>
      <c r="T680">
        <v>188</v>
      </c>
      <c r="U680">
        <v>4.5</v>
      </c>
      <c r="V680">
        <v>13</v>
      </c>
      <c r="W680">
        <f>IF('Cleaned Data'!V680&lt;0,"Review",'Cleaned Data'!V680)</f>
        <v>13</v>
      </c>
      <c r="X680">
        <v>5</v>
      </c>
      <c r="Y680" s="7">
        <f>IFERROR('Cleaned Data'!R680/'Cleaned Data'!L680,0)</f>
        <v>122582.38</v>
      </c>
      <c r="Z680" t="str">
        <f>TEXT(EV_Sales[[#This Row],[Order_Date]],"mmm-yyyy")</f>
        <v>Oct-2025</v>
      </c>
      <c r="AA680">
        <f>MONTH(EV_Sales[[#This Row],[Order_Date]])</f>
        <v>10</v>
      </c>
      <c r="AB680" s="12" t="str">
        <f>"Q"&amp;ROUNDUP(MONTH(EV_Sales[[#This Row],[Order_Date]])/3,0)</f>
        <v>Q4</v>
      </c>
    </row>
    <row r="681" spans="1:28" x14ac:dyDescent="0.3">
      <c r="A681" t="s">
        <v>788</v>
      </c>
      <c r="B681" s="2">
        <v>45850</v>
      </c>
      <c r="C681" t="s">
        <v>99</v>
      </c>
      <c r="D681" t="s">
        <v>121</v>
      </c>
      <c r="E681" t="s">
        <v>24</v>
      </c>
      <c r="F681" t="s">
        <v>52</v>
      </c>
      <c r="G681" t="s">
        <v>34</v>
      </c>
      <c r="H681" t="s">
        <v>809</v>
      </c>
      <c r="I681" t="str">
        <f>IF('Cleaned Data'!H681="Emi","EMI",'Cleaned Data'!H681)</f>
        <v>EMI</v>
      </c>
      <c r="J681" t="s">
        <v>94</v>
      </c>
      <c r="K681" t="s">
        <v>37</v>
      </c>
      <c r="L681">
        <v>1</v>
      </c>
      <c r="M681" s="9">
        <v>109484</v>
      </c>
      <c r="N681" s="4">
        <v>8.3000000000000004E-2</v>
      </c>
      <c r="O681" s="4">
        <f t="shared" si="10"/>
        <v>8.3000000000000004E-2</v>
      </c>
      <c r="P681" s="11">
        <v>109484</v>
      </c>
      <c r="Q681" s="9">
        <v>9087.17</v>
      </c>
      <c r="R681" s="9">
        <v>100396.83</v>
      </c>
      <c r="S681">
        <v>5</v>
      </c>
      <c r="T681">
        <v>195</v>
      </c>
      <c r="U681">
        <v>4.0999999999999996</v>
      </c>
      <c r="V681">
        <v>6</v>
      </c>
      <c r="W681">
        <f>IF('Cleaned Data'!V681&lt;0,"Review",'Cleaned Data'!V681)</f>
        <v>6</v>
      </c>
      <c r="X681">
        <v>3</v>
      </c>
      <c r="Y681" s="7">
        <f>IFERROR('Cleaned Data'!R681/'Cleaned Data'!L681,0)</f>
        <v>100396.83</v>
      </c>
      <c r="Z681" t="str">
        <f>TEXT(EV_Sales[[#This Row],[Order_Date]],"mmm-yyyy")</f>
        <v>Jul-2025</v>
      </c>
      <c r="AA681">
        <f>MONTH(EV_Sales[[#This Row],[Order_Date]])</f>
        <v>7</v>
      </c>
      <c r="AB681" s="12" t="str">
        <f>"Q"&amp;ROUNDUP(MONTH(EV_Sales[[#This Row],[Order_Date]])/3,0)</f>
        <v>Q3</v>
      </c>
    </row>
    <row r="682" spans="1:28" x14ac:dyDescent="0.3">
      <c r="A682" t="s">
        <v>789</v>
      </c>
      <c r="B682" s="2">
        <v>45714</v>
      </c>
      <c r="C682" t="s">
        <v>44</v>
      </c>
      <c r="D682" t="s">
        <v>51</v>
      </c>
      <c r="E682" t="s">
        <v>24</v>
      </c>
      <c r="F682" t="s">
        <v>47</v>
      </c>
      <c r="G682" t="s">
        <v>34</v>
      </c>
      <c r="H682" t="s">
        <v>53</v>
      </c>
      <c r="I682" t="str">
        <f>IF('Cleaned Data'!H682="Emi","EMI",'Cleaned Data'!H682)</f>
        <v>Cash</v>
      </c>
      <c r="J682" t="s">
        <v>94</v>
      </c>
      <c r="K682" t="s">
        <v>64</v>
      </c>
      <c r="L682">
        <v>1</v>
      </c>
      <c r="M682" s="9">
        <v>128534</v>
      </c>
      <c r="N682" s="4">
        <v>5.8000000000000003E-2</v>
      </c>
      <c r="O682" s="4">
        <f t="shared" si="10"/>
        <v>5.8000000000000003E-2</v>
      </c>
      <c r="P682" s="11">
        <v>128534</v>
      </c>
      <c r="Q682" s="9">
        <v>7454.97</v>
      </c>
      <c r="R682" s="9">
        <v>121079.03</v>
      </c>
      <c r="S682">
        <v>4</v>
      </c>
      <c r="T682">
        <v>174</v>
      </c>
      <c r="U682">
        <v>4.5999999999999996</v>
      </c>
      <c r="V682">
        <v>11</v>
      </c>
      <c r="W682">
        <f>IF('Cleaned Data'!V682&lt;0,"Review",'Cleaned Data'!V682)</f>
        <v>11</v>
      </c>
      <c r="X682">
        <v>5</v>
      </c>
      <c r="Y682" s="7">
        <f>IFERROR('Cleaned Data'!R682/'Cleaned Data'!L682,0)</f>
        <v>121079.03</v>
      </c>
      <c r="Z682" t="str">
        <f>TEXT(EV_Sales[[#This Row],[Order_Date]],"mmm-yyyy")</f>
        <v>Feb-2025</v>
      </c>
      <c r="AA682">
        <f>MONTH(EV_Sales[[#This Row],[Order_Date]])</f>
        <v>2</v>
      </c>
      <c r="AB682" s="12" t="str">
        <f>"Q"&amp;ROUNDUP(MONTH(EV_Sales[[#This Row],[Order_Date]])/3,0)</f>
        <v>Q1</v>
      </c>
    </row>
    <row r="683" spans="1:28" x14ac:dyDescent="0.3">
      <c r="A683" t="s">
        <v>790</v>
      </c>
      <c r="B683" s="2">
        <v>45778</v>
      </c>
      <c r="C683" t="s">
        <v>87</v>
      </c>
      <c r="D683" t="s">
        <v>130</v>
      </c>
      <c r="E683" t="s">
        <v>62</v>
      </c>
      <c r="F683" t="s">
        <v>52</v>
      </c>
      <c r="G683" t="s">
        <v>56</v>
      </c>
      <c r="H683" t="s">
        <v>809</v>
      </c>
      <c r="I683" t="str">
        <f>IF('Cleaned Data'!H683="Emi","EMI",'Cleaned Data'!H683)</f>
        <v>EMI</v>
      </c>
      <c r="J683" t="s">
        <v>48</v>
      </c>
      <c r="K683" t="s">
        <v>104</v>
      </c>
      <c r="L683">
        <v>2</v>
      </c>
      <c r="M683" s="9">
        <v>117926</v>
      </c>
      <c r="N683" s="4">
        <v>7.2999999999999995E-2</v>
      </c>
      <c r="O683" s="4">
        <f t="shared" si="10"/>
        <v>7.2999999999999995E-2</v>
      </c>
      <c r="P683" s="11">
        <v>235852</v>
      </c>
      <c r="Q683" s="9">
        <v>17217.2</v>
      </c>
      <c r="R683" s="9">
        <v>218634.8</v>
      </c>
      <c r="S683">
        <v>4</v>
      </c>
      <c r="T683">
        <v>158</v>
      </c>
      <c r="U683">
        <v>3.9</v>
      </c>
      <c r="V683">
        <v>9</v>
      </c>
      <c r="W683">
        <f>IF('Cleaned Data'!V683&lt;0,"Review",'Cleaned Data'!V683)</f>
        <v>9</v>
      </c>
      <c r="X683">
        <v>3</v>
      </c>
      <c r="Y683" s="7">
        <f>IFERROR('Cleaned Data'!R683/'Cleaned Data'!L683,0)</f>
        <v>109317.4</v>
      </c>
      <c r="Z683" t="str">
        <f>TEXT(EV_Sales[[#This Row],[Order_Date]],"mmm-yyyy")</f>
        <v>May-2025</v>
      </c>
      <c r="AA683">
        <f>MONTH(EV_Sales[[#This Row],[Order_Date]])</f>
        <v>5</v>
      </c>
      <c r="AB683" s="12" t="str">
        <f>"Q"&amp;ROUNDUP(MONTH(EV_Sales[[#This Row],[Order_Date]])/3,0)</f>
        <v>Q2</v>
      </c>
    </row>
    <row r="684" spans="1:28" x14ac:dyDescent="0.3">
      <c r="A684" t="s">
        <v>791</v>
      </c>
      <c r="B684" s="2">
        <v>45824</v>
      </c>
      <c r="C684" t="s">
        <v>87</v>
      </c>
      <c r="D684" t="s">
        <v>88</v>
      </c>
      <c r="E684" t="s">
        <v>46</v>
      </c>
      <c r="F684" t="s">
        <v>41</v>
      </c>
      <c r="G684" t="s">
        <v>67</v>
      </c>
      <c r="H684" t="s">
        <v>809</v>
      </c>
      <c r="I684" t="str">
        <f>IF('Cleaned Data'!H684="Emi","EMI",'Cleaned Data'!H684)</f>
        <v>EMI</v>
      </c>
      <c r="J684" t="s">
        <v>28</v>
      </c>
      <c r="K684" t="s">
        <v>81</v>
      </c>
      <c r="L684">
        <v>4</v>
      </c>
      <c r="M684" s="9">
        <v>149251</v>
      </c>
      <c r="N684" s="4">
        <v>0.11600000000000001</v>
      </c>
      <c r="O684" s="4">
        <f t="shared" si="10"/>
        <v>0.11600000000000001</v>
      </c>
      <c r="P684" s="11">
        <v>597004</v>
      </c>
      <c r="Q684" s="9">
        <v>69252.460000000006</v>
      </c>
      <c r="R684" s="9">
        <v>527751.54</v>
      </c>
      <c r="S684">
        <v>3</v>
      </c>
      <c r="T684">
        <v>182</v>
      </c>
      <c r="U684">
        <v>4.4000000000000004</v>
      </c>
      <c r="V684">
        <v>5</v>
      </c>
      <c r="W684">
        <f>IF('Cleaned Data'!V684&lt;0,"Review",'Cleaned Data'!V684)</f>
        <v>5</v>
      </c>
      <c r="X684">
        <v>2</v>
      </c>
      <c r="Y684" s="7">
        <f>IFERROR('Cleaned Data'!R684/'Cleaned Data'!L684,0)</f>
        <v>131937.88500000001</v>
      </c>
      <c r="Z684" t="str">
        <f>TEXT(EV_Sales[[#This Row],[Order_Date]],"mmm-yyyy")</f>
        <v>Jun-2025</v>
      </c>
      <c r="AA684">
        <f>MONTH(EV_Sales[[#This Row],[Order_Date]])</f>
        <v>6</v>
      </c>
      <c r="AB684" s="12" t="str">
        <f>"Q"&amp;ROUNDUP(MONTH(EV_Sales[[#This Row],[Order_Date]])/3,0)</f>
        <v>Q2</v>
      </c>
    </row>
    <row r="685" spans="1:28" x14ac:dyDescent="0.3">
      <c r="A685" t="s">
        <v>792</v>
      </c>
      <c r="B685" s="2">
        <v>45754</v>
      </c>
      <c r="C685" t="s">
        <v>99</v>
      </c>
      <c r="D685" t="s">
        <v>100</v>
      </c>
      <c r="E685" t="s">
        <v>24</v>
      </c>
      <c r="F685" t="s">
        <v>47</v>
      </c>
      <c r="G685" t="s">
        <v>67</v>
      </c>
      <c r="H685" t="s">
        <v>27</v>
      </c>
      <c r="I685" t="str">
        <f>IF('Cleaned Data'!H685="Emi","EMI",'Cleaned Data'!H685)</f>
        <v>Finance</v>
      </c>
      <c r="J685" t="s">
        <v>63</v>
      </c>
      <c r="K685" t="s">
        <v>197</v>
      </c>
      <c r="L685">
        <v>3</v>
      </c>
      <c r="M685" s="9">
        <v>115748</v>
      </c>
      <c r="N685" s="4">
        <v>9.9000000000000005E-2</v>
      </c>
      <c r="O685" s="4">
        <f t="shared" si="10"/>
        <v>9.9000000000000005E-2</v>
      </c>
      <c r="P685" s="11">
        <v>347244</v>
      </c>
      <c r="Q685" s="9">
        <v>34377.160000000003</v>
      </c>
      <c r="R685" s="9">
        <v>312866.84000000003</v>
      </c>
      <c r="S685">
        <v>3</v>
      </c>
      <c r="T685">
        <v>164</v>
      </c>
      <c r="U685">
        <v>4.4000000000000004</v>
      </c>
      <c r="V685">
        <v>11</v>
      </c>
      <c r="W685">
        <f>IF('Cleaned Data'!V685&lt;0,"Review",'Cleaned Data'!V685)</f>
        <v>11</v>
      </c>
      <c r="X685">
        <v>2</v>
      </c>
      <c r="Y685" s="7">
        <f>IFERROR('Cleaned Data'!R685/'Cleaned Data'!L685,0)</f>
        <v>104288.94666666667</v>
      </c>
      <c r="Z685" t="str">
        <f>TEXT(EV_Sales[[#This Row],[Order_Date]],"mmm-yyyy")</f>
        <v>Apr-2025</v>
      </c>
      <c r="AA685">
        <f>MONTH(EV_Sales[[#This Row],[Order_Date]])</f>
        <v>4</v>
      </c>
      <c r="AB685" s="12" t="str">
        <f>"Q"&amp;ROUNDUP(MONTH(EV_Sales[[#This Row],[Order_Date]])/3,0)</f>
        <v>Q2</v>
      </c>
    </row>
    <row r="686" spans="1:28" x14ac:dyDescent="0.3">
      <c r="A686" t="s">
        <v>793</v>
      </c>
      <c r="B686" s="2">
        <v>46018</v>
      </c>
      <c r="C686" t="s">
        <v>22</v>
      </c>
      <c r="D686" t="s">
        <v>23</v>
      </c>
      <c r="E686" t="s">
        <v>62</v>
      </c>
      <c r="F686" t="s">
        <v>101</v>
      </c>
      <c r="G686" t="s">
        <v>56</v>
      </c>
      <c r="H686" t="s">
        <v>53</v>
      </c>
      <c r="I686" t="str">
        <f>IF('Cleaned Data'!H686="Emi","EMI",'Cleaned Data'!H686)</f>
        <v>Cash</v>
      </c>
      <c r="J686" t="s">
        <v>57</v>
      </c>
      <c r="K686" t="s">
        <v>92</v>
      </c>
      <c r="L686">
        <v>1</v>
      </c>
      <c r="M686" s="9">
        <v>126813</v>
      </c>
      <c r="N686" s="4">
        <v>9.8000000000000004E-2</v>
      </c>
      <c r="O686" s="4">
        <f t="shared" si="10"/>
        <v>9.8000000000000004E-2</v>
      </c>
      <c r="P686" s="11">
        <v>126813</v>
      </c>
      <c r="Q686" s="9">
        <v>12427.67</v>
      </c>
      <c r="R686" s="9">
        <v>114385.33</v>
      </c>
      <c r="S686">
        <v>3</v>
      </c>
      <c r="T686">
        <v>177</v>
      </c>
      <c r="U686">
        <v>4.3</v>
      </c>
      <c r="V686">
        <v>5</v>
      </c>
      <c r="W686">
        <f>IF('Cleaned Data'!V686&lt;0,"Review",'Cleaned Data'!V686)</f>
        <v>5</v>
      </c>
      <c r="X686">
        <v>2</v>
      </c>
      <c r="Y686" s="7">
        <f>IFERROR('Cleaned Data'!R686/'Cleaned Data'!L686,0)</f>
        <v>114385.33</v>
      </c>
      <c r="Z686" t="str">
        <f>TEXT(EV_Sales[[#This Row],[Order_Date]],"mmm-yyyy")</f>
        <v>Dec-2025</v>
      </c>
      <c r="AA686">
        <f>MONTH(EV_Sales[[#This Row],[Order_Date]])</f>
        <v>12</v>
      </c>
      <c r="AB686" s="12" t="str">
        <f>"Q"&amp;ROUNDUP(MONTH(EV_Sales[[#This Row],[Order_Date]])/3,0)</f>
        <v>Q4</v>
      </c>
    </row>
    <row r="687" spans="1:28" x14ac:dyDescent="0.3">
      <c r="A687" t="s">
        <v>794</v>
      </c>
      <c r="B687" s="2">
        <v>45819</v>
      </c>
      <c r="C687" t="s">
        <v>44</v>
      </c>
      <c r="D687" t="s">
        <v>45</v>
      </c>
      <c r="E687" t="s">
        <v>46</v>
      </c>
      <c r="F687" t="s">
        <v>41</v>
      </c>
      <c r="G687" t="s">
        <v>56</v>
      </c>
      <c r="H687" t="s">
        <v>27</v>
      </c>
      <c r="I687" t="str">
        <f>IF('Cleaned Data'!H687="Emi","EMI",'Cleaned Data'!H687)</f>
        <v>Finance</v>
      </c>
      <c r="J687" t="s">
        <v>94</v>
      </c>
      <c r="K687" t="s">
        <v>85</v>
      </c>
      <c r="L687">
        <v>4</v>
      </c>
      <c r="M687" s="9">
        <v>154396</v>
      </c>
      <c r="N687" s="4">
        <v>9.7000000000000003E-2</v>
      </c>
      <c r="O687" s="4">
        <f t="shared" si="10"/>
        <v>9.7000000000000003E-2</v>
      </c>
      <c r="P687" s="11">
        <v>617584</v>
      </c>
      <c r="Q687" s="9">
        <v>59905.65</v>
      </c>
      <c r="R687" s="9">
        <v>557678.35</v>
      </c>
      <c r="S687">
        <v>3</v>
      </c>
      <c r="T687">
        <v>160</v>
      </c>
      <c r="U687">
        <v>4.2</v>
      </c>
      <c r="V687">
        <v>2</v>
      </c>
      <c r="W687">
        <f>IF('Cleaned Data'!V687&lt;0,"Review",'Cleaned Data'!V687)</f>
        <v>2</v>
      </c>
      <c r="X687">
        <v>2</v>
      </c>
      <c r="Y687" s="7">
        <f>IFERROR('Cleaned Data'!R687/'Cleaned Data'!L687,0)</f>
        <v>139419.58749999999</v>
      </c>
      <c r="Z687" t="str">
        <f>TEXT(EV_Sales[[#This Row],[Order_Date]],"mmm-yyyy")</f>
        <v>Jun-2025</v>
      </c>
      <c r="AA687">
        <f>MONTH(EV_Sales[[#This Row],[Order_Date]])</f>
        <v>6</v>
      </c>
      <c r="AB687" s="12" t="str">
        <f>"Q"&amp;ROUNDUP(MONTH(EV_Sales[[#This Row],[Order_Date]])/3,0)</f>
        <v>Q2</v>
      </c>
    </row>
    <row r="688" spans="1:28" x14ac:dyDescent="0.3">
      <c r="A688" t="s">
        <v>795</v>
      </c>
      <c r="B688" s="2">
        <v>45930</v>
      </c>
      <c r="C688" t="s">
        <v>44</v>
      </c>
      <c r="D688" t="s">
        <v>51</v>
      </c>
      <c r="E688" t="s">
        <v>62</v>
      </c>
      <c r="F688" t="s">
        <v>811</v>
      </c>
      <c r="G688" t="s">
        <v>26</v>
      </c>
      <c r="H688" t="s">
        <v>27</v>
      </c>
      <c r="I688" t="str">
        <f>IF('Cleaned Data'!H688="Emi","EMI",'Cleaned Data'!H688)</f>
        <v>Finance</v>
      </c>
      <c r="J688" t="s">
        <v>57</v>
      </c>
      <c r="K688" t="s">
        <v>85</v>
      </c>
      <c r="L688">
        <v>1</v>
      </c>
      <c r="M688" s="9">
        <v>116157</v>
      </c>
      <c r="N688" s="4">
        <v>4.2999999999999997E-2</v>
      </c>
      <c r="O688" s="4">
        <f t="shared" si="10"/>
        <v>4.2999999999999997E-2</v>
      </c>
      <c r="P688" s="11">
        <v>116157</v>
      </c>
      <c r="Q688" s="9">
        <v>4994.75</v>
      </c>
      <c r="R688" s="9">
        <v>111162.25</v>
      </c>
      <c r="S688">
        <v>4</v>
      </c>
      <c r="T688">
        <v>180</v>
      </c>
      <c r="U688">
        <v>4.0999999999999996</v>
      </c>
      <c r="V688">
        <v>2</v>
      </c>
      <c r="W688">
        <f>IF('Cleaned Data'!V688&lt;0,"Review",'Cleaned Data'!V688)</f>
        <v>2</v>
      </c>
      <c r="X688">
        <v>2</v>
      </c>
      <c r="Y688" s="7">
        <f>IFERROR('Cleaned Data'!R688/'Cleaned Data'!L688,0)</f>
        <v>111162.25</v>
      </c>
      <c r="Z688" t="str">
        <f>TEXT(EV_Sales[[#This Row],[Order_Date]],"mmm-yyyy")</f>
        <v>Sep-2025</v>
      </c>
      <c r="AA688">
        <f>MONTH(EV_Sales[[#This Row],[Order_Date]])</f>
        <v>9</v>
      </c>
      <c r="AB688" s="12" t="str">
        <f>"Q"&amp;ROUNDUP(MONTH(EV_Sales[[#This Row],[Order_Date]])/3,0)</f>
        <v>Q3</v>
      </c>
    </row>
    <row r="689" spans="1:28" x14ac:dyDescent="0.3">
      <c r="A689" t="s">
        <v>796</v>
      </c>
      <c r="B689" s="2">
        <v>45975</v>
      </c>
      <c r="C689" t="s">
        <v>99</v>
      </c>
      <c r="D689" t="s">
        <v>141</v>
      </c>
      <c r="E689" t="s">
        <v>46</v>
      </c>
      <c r="F689" t="s">
        <v>80</v>
      </c>
      <c r="G689" t="s">
        <v>56</v>
      </c>
      <c r="H689" t="s">
        <v>27</v>
      </c>
      <c r="I689" t="str">
        <f>IF('Cleaned Data'!H689="Emi","EMI",'Cleaned Data'!H689)</f>
        <v>Finance</v>
      </c>
      <c r="J689" t="s">
        <v>36</v>
      </c>
      <c r="K689" t="s">
        <v>89</v>
      </c>
      <c r="L689">
        <v>5</v>
      </c>
      <c r="M689" s="9">
        <v>136046</v>
      </c>
      <c r="N689" s="4">
        <v>5.0999999999999997E-2</v>
      </c>
      <c r="O689" s="4">
        <f t="shared" si="10"/>
        <v>5.0999999999999997E-2</v>
      </c>
      <c r="P689" s="11">
        <v>680230</v>
      </c>
      <c r="Q689" s="9">
        <v>34691.730000000003</v>
      </c>
      <c r="R689" s="9">
        <v>645538.27</v>
      </c>
      <c r="S689">
        <v>5</v>
      </c>
      <c r="T689">
        <v>198</v>
      </c>
      <c r="U689">
        <v>4.7</v>
      </c>
      <c r="V689">
        <v>5</v>
      </c>
      <c r="W689">
        <f>IF('Cleaned Data'!V689&lt;0,"Review",'Cleaned Data'!V689)</f>
        <v>5</v>
      </c>
      <c r="X689">
        <v>3</v>
      </c>
      <c r="Y689" s="7">
        <f>IFERROR('Cleaned Data'!R689/'Cleaned Data'!L689,0)</f>
        <v>129107.65400000001</v>
      </c>
      <c r="Z689" t="str">
        <f>TEXT(EV_Sales[[#This Row],[Order_Date]],"mmm-yyyy")</f>
        <v>Nov-2025</v>
      </c>
      <c r="AA689">
        <f>MONTH(EV_Sales[[#This Row],[Order_Date]])</f>
        <v>11</v>
      </c>
      <c r="AB689" s="12" t="str">
        <f>"Q"&amp;ROUNDUP(MONTH(EV_Sales[[#This Row],[Order_Date]])/3,0)</f>
        <v>Q4</v>
      </c>
    </row>
    <row r="690" spans="1:28" x14ac:dyDescent="0.3">
      <c r="A690" t="s">
        <v>797</v>
      </c>
      <c r="B690" s="2">
        <v>45731</v>
      </c>
      <c r="C690" t="s">
        <v>39</v>
      </c>
      <c r="D690" t="s">
        <v>154</v>
      </c>
      <c r="E690" t="s">
        <v>24</v>
      </c>
      <c r="F690" t="s">
        <v>25</v>
      </c>
      <c r="G690" t="s">
        <v>26</v>
      </c>
      <c r="H690" t="s">
        <v>53</v>
      </c>
      <c r="I690" t="str">
        <f>IF('Cleaned Data'!H690="Emi","EMI",'Cleaned Data'!H690)</f>
        <v>Cash</v>
      </c>
      <c r="J690" t="s">
        <v>57</v>
      </c>
      <c r="K690" t="s">
        <v>102</v>
      </c>
      <c r="L690">
        <v>5</v>
      </c>
      <c r="M690" s="9">
        <v>180362</v>
      </c>
      <c r="N690" s="4">
        <v>0.08</v>
      </c>
      <c r="O690" s="4">
        <f t="shared" si="10"/>
        <v>0.08</v>
      </c>
      <c r="P690" s="11">
        <v>901810</v>
      </c>
      <c r="Q690" s="9">
        <v>72144.800000000003</v>
      </c>
      <c r="R690" s="9">
        <v>829665.2</v>
      </c>
      <c r="S690">
        <v>3</v>
      </c>
      <c r="T690">
        <v>187</v>
      </c>
      <c r="U690">
        <v>4.0999999999999996</v>
      </c>
      <c r="V690">
        <v>4</v>
      </c>
      <c r="W690">
        <f>IF('Cleaned Data'!V690&lt;0,"Review",'Cleaned Data'!V690)</f>
        <v>4</v>
      </c>
      <c r="X690">
        <v>5</v>
      </c>
      <c r="Y690" s="7">
        <f>IFERROR('Cleaned Data'!R690/'Cleaned Data'!L690,0)</f>
        <v>165933.03999999998</v>
      </c>
      <c r="Z690" t="str">
        <f>TEXT(EV_Sales[[#This Row],[Order_Date]],"mmm-yyyy")</f>
        <v>Mar-2025</v>
      </c>
      <c r="AA690">
        <f>MONTH(EV_Sales[[#This Row],[Order_Date]])</f>
        <v>3</v>
      </c>
      <c r="AB690" s="12" t="str">
        <f>"Q"&amp;ROUNDUP(MONTH(EV_Sales[[#This Row],[Order_Date]])/3,0)</f>
        <v>Q1</v>
      </c>
    </row>
    <row r="691" spans="1:28" x14ac:dyDescent="0.3">
      <c r="A691" t="s">
        <v>798</v>
      </c>
      <c r="B691" s="2">
        <v>45945</v>
      </c>
      <c r="C691" t="s">
        <v>31</v>
      </c>
      <c r="D691" t="s">
        <v>97</v>
      </c>
      <c r="E691" t="s">
        <v>46</v>
      </c>
      <c r="F691" t="s">
        <v>52</v>
      </c>
      <c r="G691" t="s">
        <v>34</v>
      </c>
      <c r="H691" t="s">
        <v>27</v>
      </c>
      <c r="I691" t="str">
        <f>IF('Cleaned Data'!H691="Emi","EMI",'Cleaned Data'!H691)</f>
        <v>Finance</v>
      </c>
      <c r="J691" t="s">
        <v>63</v>
      </c>
      <c r="K691" t="s">
        <v>123</v>
      </c>
      <c r="L691">
        <v>2</v>
      </c>
      <c r="M691" s="9">
        <v>127990</v>
      </c>
      <c r="N691" s="4">
        <v>6.5000000000000002E-2</v>
      </c>
      <c r="O691" s="4">
        <f t="shared" si="10"/>
        <v>6.5000000000000002E-2</v>
      </c>
      <c r="P691" s="11">
        <v>255980</v>
      </c>
      <c r="Q691" s="9">
        <v>16638.7</v>
      </c>
      <c r="R691" s="9">
        <v>239341.3</v>
      </c>
      <c r="S691">
        <v>3</v>
      </c>
      <c r="T691">
        <v>170</v>
      </c>
      <c r="U691">
        <v>4.5999999999999996</v>
      </c>
      <c r="V691">
        <v>11</v>
      </c>
      <c r="W691">
        <f>IF('Cleaned Data'!V691&lt;0,"Review",'Cleaned Data'!V691)</f>
        <v>11</v>
      </c>
      <c r="X691">
        <v>5</v>
      </c>
      <c r="Y691" s="7">
        <f>IFERROR('Cleaned Data'!R691/'Cleaned Data'!L691,0)</f>
        <v>119670.65</v>
      </c>
      <c r="Z691" t="str">
        <f>TEXT(EV_Sales[[#This Row],[Order_Date]],"mmm-yyyy")</f>
        <v>Oct-2025</v>
      </c>
      <c r="AA691">
        <f>MONTH(EV_Sales[[#This Row],[Order_Date]])</f>
        <v>10</v>
      </c>
      <c r="AB691" s="12" t="str">
        <f>"Q"&amp;ROUNDUP(MONTH(EV_Sales[[#This Row],[Order_Date]])/3,0)</f>
        <v>Q4</v>
      </c>
    </row>
    <row r="692" spans="1:28" x14ac:dyDescent="0.3">
      <c r="A692" t="s">
        <v>799</v>
      </c>
      <c r="B692" s="2">
        <v>45668</v>
      </c>
      <c r="C692" t="s">
        <v>39</v>
      </c>
      <c r="D692" t="s">
        <v>154</v>
      </c>
      <c r="E692" t="s">
        <v>62</v>
      </c>
      <c r="F692" t="s">
        <v>25</v>
      </c>
      <c r="G692" t="s">
        <v>34</v>
      </c>
      <c r="H692" t="s">
        <v>27</v>
      </c>
      <c r="I692" t="str">
        <f>IF('Cleaned Data'!H692="Emi","EMI",'Cleaned Data'!H692)</f>
        <v>Finance</v>
      </c>
      <c r="J692" t="s">
        <v>94</v>
      </c>
      <c r="K692" t="s">
        <v>109</v>
      </c>
      <c r="L692">
        <v>4</v>
      </c>
      <c r="M692" s="9">
        <v>178875</v>
      </c>
      <c r="N692" s="4">
        <v>9.4E-2</v>
      </c>
      <c r="O692" s="4">
        <f t="shared" si="10"/>
        <v>9.4E-2</v>
      </c>
      <c r="P692" s="11">
        <v>715500</v>
      </c>
      <c r="Q692" s="9">
        <v>67257</v>
      </c>
      <c r="R692" s="9">
        <v>648243</v>
      </c>
      <c r="S692">
        <v>3</v>
      </c>
      <c r="T692">
        <v>184</v>
      </c>
      <c r="U692">
        <v>4</v>
      </c>
      <c r="V692">
        <v>12</v>
      </c>
      <c r="W692">
        <f>IF('Cleaned Data'!V692&lt;0,"Review",'Cleaned Data'!V692)</f>
        <v>12</v>
      </c>
      <c r="X692">
        <v>3</v>
      </c>
      <c r="Y692" s="7">
        <f>IFERROR('Cleaned Data'!R692/'Cleaned Data'!L692,0)</f>
        <v>162060.75</v>
      </c>
      <c r="Z692" t="str">
        <f>TEXT(EV_Sales[[#This Row],[Order_Date]],"mmm-yyyy")</f>
        <v>Jan-2025</v>
      </c>
      <c r="AA692">
        <f>MONTH(EV_Sales[[#This Row],[Order_Date]])</f>
        <v>1</v>
      </c>
      <c r="AB692" s="12" t="str">
        <f>"Q"&amp;ROUNDUP(MONTH(EV_Sales[[#This Row],[Order_Date]])/3,0)</f>
        <v>Q1</v>
      </c>
    </row>
    <row r="693" spans="1:28" x14ac:dyDescent="0.3">
      <c r="A693" t="s">
        <v>800</v>
      </c>
      <c r="B693" s="2">
        <v>45871</v>
      </c>
      <c r="C693" t="s">
        <v>39</v>
      </c>
      <c r="D693" t="s">
        <v>40</v>
      </c>
      <c r="E693" t="s">
        <v>62</v>
      </c>
      <c r="F693" t="s">
        <v>33</v>
      </c>
      <c r="G693" t="s">
        <v>26</v>
      </c>
      <c r="H693" t="s">
        <v>27</v>
      </c>
      <c r="I693" t="str">
        <f>IF('Cleaned Data'!H693="Emi","EMI",'Cleaned Data'!H693)</f>
        <v>Finance</v>
      </c>
      <c r="J693" t="s">
        <v>63</v>
      </c>
      <c r="K693" t="s">
        <v>58</v>
      </c>
      <c r="L693">
        <v>1</v>
      </c>
      <c r="M693" s="9">
        <v>121647</v>
      </c>
      <c r="N693" s="4">
        <v>6.5000000000000002E-2</v>
      </c>
      <c r="O693" s="4">
        <f t="shared" si="10"/>
        <v>6.5000000000000002E-2</v>
      </c>
      <c r="P693" s="11">
        <v>121647</v>
      </c>
      <c r="Q693" s="9">
        <v>7907.06</v>
      </c>
      <c r="R693" s="9">
        <v>113739.94</v>
      </c>
      <c r="S693">
        <v>3</v>
      </c>
      <c r="T693">
        <v>167</v>
      </c>
      <c r="U693">
        <v>3.3</v>
      </c>
      <c r="V693">
        <v>12</v>
      </c>
      <c r="W693">
        <f>IF('Cleaned Data'!V693&lt;0,"Review",'Cleaned Data'!V693)</f>
        <v>12</v>
      </c>
      <c r="X693">
        <v>5</v>
      </c>
      <c r="Y693" s="7">
        <f>IFERROR('Cleaned Data'!R693/'Cleaned Data'!L693,0)</f>
        <v>113739.94</v>
      </c>
      <c r="Z693" t="str">
        <f>TEXT(EV_Sales[[#This Row],[Order_Date]],"mmm-yyyy")</f>
        <v>Aug-2025</v>
      </c>
      <c r="AA693">
        <f>MONTH(EV_Sales[[#This Row],[Order_Date]])</f>
        <v>8</v>
      </c>
      <c r="AB693" s="12" t="str">
        <f>"Q"&amp;ROUNDUP(MONTH(EV_Sales[[#This Row],[Order_Date]])/3,0)</f>
        <v>Q3</v>
      </c>
    </row>
    <row r="694" spans="1:28" x14ac:dyDescent="0.3">
      <c r="A694" t="s">
        <v>801</v>
      </c>
      <c r="B694" s="2">
        <v>45872</v>
      </c>
      <c r="C694" t="s">
        <v>76</v>
      </c>
      <c r="D694" t="s">
        <v>115</v>
      </c>
      <c r="E694" t="s">
        <v>24</v>
      </c>
      <c r="F694" t="s">
        <v>47</v>
      </c>
      <c r="G694" t="s">
        <v>26</v>
      </c>
      <c r="H694" t="s">
        <v>53</v>
      </c>
      <c r="I694" t="str">
        <f>IF('Cleaned Data'!H694="Emi","EMI",'Cleaned Data'!H694)</f>
        <v>Cash</v>
      </c>
      <c r="J694" t="s">
        <v>28</v>
      </c>
      <c r="K694" t="s">
        <v>131</v>
      </c>
      <c r="L694">
        <v>3</v>
      </c>
      <c r="M694" s="9">
        <v>130110</v>
      </c>
      <c r="N694" s="4">
        <v>5.2999999999999999E-2</v>
      </c>
      <c r="O694" s="4">
        <f t="shared" si="10"/>
        <v>5.2999999999999999E-2</v>
      </c>
      <c r="P694" s="11">
        <v>390330</v>
      </c>
      <c r="Q694" s="9">
        <v>20687.490000000002</v>
      </c>
      <c r="R694" s="9">
        <v>369642.51</v>
      </c>
      <c r="S694">
        <v>3</v>
      </c>
      <c r="T694">
        <v>172</v>
      </c>
      <c r="U694">
        <v>4.4000000000000004</v>
      </c>
      <c r="V694">
        <v>6</v>
      </c>
      <c r="W694">
        <f>IF('Cleaned Data'!V694&lt;0,"Review",'Cleaned Data'!V694)</f>
        <v>6</v>
      </c>
      <c r="X694">
        <v>2</v>
      </c>
      <c r="Y694" s="7">
        <f>IFERROR('Cleaned Data'!R694/'Cleaned Data'!L694,0)</f>
        <v>123214.17</v>
      </c>
      <c r="Z694" t="str">
        <f>TEXT(EV_Sales[[#This Row],[Order_Date]],"mmm-yyyy")</f>
        <v>Aug-2025</v>
      </c>
      <c r="AA694">
        <f>MONTH(EV_Sales[[#This Row],[Order_Date]])</f>
        <v>8</v>
      </c>
      <c r="AB694" s="12" t="str">
        <f>"Q"&amp;ROUNDUP(MONTH(EV_Sales[[#This Row],[Order_Date]])/3,0)</f>
        <v>Q3</v>
      </c>
    </row>
    <row r="695" spans="1:28" x14ac:dyDescent="0.3">
      <c r="A695" t="s">
        <v>802</v>
      </c>
      <c r="B695" s="2">
        <v>45789</v>
      </c>
      <c r="C695" t="s">
        <v>31</v>
      </c>
      <c r="D695" t="s">
        <v>97</v>
      </c>
      <c r="E695" t="s">
        <v>46</v>
      </c>
      <c r="F695" t="s">
        <v>41</v>
      </c>
      <c r="G695" t="s">
        <v>67</v>
      </c>
      <c r="H695" t="s">
        <v>27</v>
      </c>
      <c r="I695" t="str">
        <f>IF('Cleaned Data'!H695="Emi","EMI",'Cleaned Data'!H695)</f>
        <v>Finance</v>
      </c>
      <c r="J695" t="s">
        <v>36</v>
      </c>
      <c r="K695" t="s">
        <v>175</v>
      </c>
      <c r="L695">
        <v>1</v>
      </c>
      <c r="M695" s="9">
        <v>132049</v>
      </c>
      <c r="N695" s="4">
        <v>2.1999999999999999E-2</v>
      </c>
      <c r="O695" s="4">
        <f t="shared" si="10"/>
        <v>2.1999999999999999E-2</v>
      </c>
      <c r="P695" s="11">
        <v>132049</v>
      </c>
      <c r="Q695" s="9">
        <v>2905.08</v>
      </c>
      <c r="R695" s="9">
        <v>129143.92</v>
      </c>
      <c r="S695">
        <v>2</v>
      </c>
      <c r="T695">
        <v>153</v>
      </c>
      <c r="U695">
        <v>4</v>
      </c>
      <c r="V695">
        <v>10</v>
      </c>
      <c r="W695">
        <f>IF('Cleaned Data'!V695&lt;0,"Review",'Cleaned Data'!V695)</f>
        <v>10</v>
      </c>
      <c r="X695">
        <v>3</v>
      </c>
      <c r="Y695" s="7">
        <f>IFERROR('Cleaned Data'!R695/'Cleaned Data'!L695,0)</f>
        <v>129143.92</v>
      </c>
      <c r="Z695" t="str">
        <f>TEXT(EV_Sales[[#This Row],[Order_Date]],"mmm-yyyy")</f>
        <v>May-2025</v>
      </c>
      <c r="AA695">
        <f>MONTH(EV_Sales[[#This Row],[Order_Date]])</f>
        <v>5</v>
      </c>
      <c r="AB695" s="12" t="str">
        <f>"Q"&amp;ROUNDUP(MONTH(EV_Sales[[#This Row],[Order_Date]])/3,0)</f>
        <v>Q2</v>
      </c>
    </row>
    <row r="696" spans="1:28" x14ac:dyDescent="0.3">
      <c r="A696" t="s">
        <v>803</v>
      </c>
      <c r="B696" s="2">
        <v>45912</v>
      </c>
      <c r="C696" t="s">
        <v>31</v>
      </c>
      <c r="D696" t="s">
        <v>32</v>
      </c>
      <c r="E696" t="s">
        <v>46</v>
      </c>
      <c r="F696" t="s">
        <v>80</v>
      </c>
      <c r="G696" t="s">
        <v>26</v>
      </c>
      <c r="H696" t="s">
        <v>809</v>
      </c>
      <c r="I696" t="str">
        <f>IF('Cleaned Data'!H696="Emi","EMI",'Cleaned Data'!H696)</f>
        <v>EMI</v>
      </c>
      <c r="J696" t="s">
        <v>36</v>
      </c>
      <c r="K696" t="s">
        <v>203</v>
      </c>
      <c r="L696">
        <v>1</v>
      </c>
      <c r="M696" s="9">
        <v>111285</v>
      </c>
      <c r="N696" s="4">
        <v>7.4999999999999997E-2</v>
      </c>
      <c r="O696" s="4">
        <f t="shared" si="10"/>
        <v>7.4999999999999997E-2</v>
      </c>
      <c r="P696" s="11">
        <v>111285</v>
      </c>
      <c r="Q696" s="9">
        <v>8346.3799999999992</v>
      </c>
      <c r="R696" s="9">
        <v>102938.62</v>
      </c>
      <c r="S696">
        <v>4</v>
      </c>
      <c r="T696">
        <v>189</v>
      </c>
      <c r="U696">
        <v>4.0999999999999996</v>
      </c>
      <c r="V696">
        <v>10</v>
      </c>
      <c r="W696">
        <f>IF('Cleaned Data'!V696&lt;0,"Review",'Cleaned Data'!V696)</f>
        <v>10</v>
      </c>
      <c r="X696">
        <v>2</v>
      </c>
      <c r="Y696" s="7">
        <f>IFERROR('Cleaned Data'!R696/'Cleaned Data'!L696,0)</f>
        <v>102938.62</v>
      </c>
      <c r="Z696" t="str">
        <f>TEXT(EV_Sales[[#This Row],[Order_Date]],"mmm-yyyy")</f>
        <v>Sep-2025</v>
      </c>
      <c r="AA696">
        <f>MONTH(EV_Sales[[#This Row],[Order_Date]])</f>
        <v>9</v>
      </c>
      <c r="AB696" s="12" t="str">
        <f>"Q"&amp;ROUNDUP(MONTH(EV_Sales[[#This Row],[Order_Date]])/3,0)</f>
        <v>Q3</v>
      </c>
    </row>
    <row r="697" spans="1:28" x14ac:dyDescent="0.3">
      <c r="A697" t="s">
        <v>804</v>
      </c>
      <c r="B697" s="2">
        <v>45816</v>
      </c>
      <c r="C697" t="s">
        <v>76</v>
      </c>
      <c r="D697" t="s">
        <v>77</v>
      </c>
      <c r="E697" t="s">
        <v>62</v>
      </c>
      <c r="F697" t="s">
        <v>41</v>
      </c>
      <c r="G697" t="s">
        <v>34</v>
      </c>
      <c r="H697" t="s">
        <v>53</v>
      </c>
      <c r="I697" t="str">
        <f>IF('Cleaned Data'!H697="Emi","EMI",'Cleaned Data'!H697)</f>
        <v>Cash</v>
      </c>
      <c r="J697" t="s">
        <v>28</v>
      </c>
      <c r="K697" t="s">
        <v>138</v>
      </c>
      <c r="L697">
        <v>1</v>
      </c>
      <c r="M697" s="9">
        <v>143215</v>
      </c>
      <c r="N697" s="4">
        <v>2.5999999999999999E-2</v>
      </c>
      <c r="O697" s="4">
        <f t="shared" si="10"/>
        <v>2.5999999999999999E-2</v>
      </c>
      <c r="P697" s="11">
        <v>143215</v>
      </c>
      <c r="Q697" s="9">
        <v>3723.59</v>
      </c>
      <c r="R697" s="9">
        <v>139491.41</v>
      </c>
      <c r="S697">
        <v>3</v>
      </c>
      <c r="T697">
        <v>163</v>
      </c>
      <c r="U697">
        <v>4.8</v>
      </c>
      <c r="V697">
        <v>7</v>
      </c>
      <c r="W697">
        <f>IF('Cleaned Data'!V697&lt;0,"Review",'Cleaned Data'!V697)</f>
        <v>7</v>
      </c>
      <c r="X697">
        <v>2</v>
      </c>
      <c r="Y697" s="7">
        <f>IFERROR('Cleaned Data'!R697/'Cleaned Data'!L697,0)</f>
        <v>139491.41</v>
      </c>
      <c r="Z697" t="str">
        <f>TEXT(EV_Sales[[#This Row],[Order_Date]],"mmm-yyyy")</f>
        <v>Jun-2025</v>
      </c>
      <c r="AA697">
        <f>MONTH(EV_Sales[[#This Row],[Order_Date]])</f>
        <v>6</v>
      </c>
      <c r="AB697" s="12" t="str">
        <f>"Q"&amp;ROUNDUP(MONTH(EV_Sales[[#This Row],[Order_Date]])/3,0)</f>
        <v>Q2</v>
      </c>
    </row>
    <row r="698" spans="1:28" x14ac:dyDescent="0.3">
      <c r="A698" t="s">
        <v>805</v>
      </c>
      <c r="B698" s="2">
        <v>45955</v>
      </c>
      <c r="C698" t="s">
        <v>76</v>
      </c>
      <c r="D698" t="s">
        <v>77</v>
      </c>
      <c r="E698" t="s">
        <v>24</v>
      </c>
      <c r="F698" t="s">
        <v>47</v>
      </c>
      <c r="G698" t="s">
        <v>67</v>
      </c>
      <c r="H698" t="s">
        <v>27</v>
      </c>
      <c r="I698" t="str">
        <f>IF('Cleaned Data'!H698="Emi","EMI",'Cleaned Data'!H698)</f>
        <v>Finance</v>
      </c>
      <c r="J698" t="s">
        <v>63</v>
      </c>
      <c r="K698" t="s">
        <v>58</v>
      </c>
      <c r="L698">
        <v>2</v>
      </c>
      <c r="M698" s="9">
        <v>138328</v>
      </c>
      <c r="N698" s="4">
        <v>0.10100000000000001</v>
      </c>
      <c r="O698" s="4">
        <f t="shared" si="10"/>
        <v>0.10100000000000001</v>
      </c>
      <c r="P698" s="11">
        <v>276656</v>
      </c>
      <c r="Q698" s="9">
        <v>27942.26</v>
      </c>
      <c r="R698" s="9">
        <v>248713.74</v>
      </c>
      <c r="S698">
        <v>3</v>
      </c>
      <c r="T698">
        <v>179</v>
      </c>
      <c r="U698">
        <v>4.5</v>
      </c>
      <c r="V698">
        <v>3</v>
      </c>
      <c r="W698">
        <f>IF('Cleaned Data'!V698&lt;0,"Review",'Cleaned Data'!V698)</f>
        <v>3</v>
      </c>
      <c r="X698">
        <v>5</v>
      </c>
      <c r="Y698" s="7">
        <f>IFERROR('Cleaned Data'!R698/'Cleaned Data'!L698,0)</f>
        <v>124356.87</v>
      </c>
      <c r="Z698" t="str">
        <f>TEXT(EV_Sales[[#This Row],[Order_Date]],"mmm-yyyy")</f>
        <v>Oct-2025</v>
      </c>
      <c r="AA698">
        <f>MONTH(EV_Sales[[#This Row],[Order_Date]])</f>
        <v>10</v>
      </c>
      <c r="AB698" s="12" t="str">
        <f>"Q"&amp;ROUNDUP(MONTH(EV_Sales[[#This Row],[Order_Date]])/3,0)</f>
        <v>Q4</v>
      </c>
    </row>
    <row r="699" spans="1:28" x14ac:dyDescent="0.3">
      <c r="A699" t="s">
        <v>806</v>
      </c>
      <c r="B699" s="2">
        <v>45727</v>
      </c>
      <c r="C699" t="s">
        <v>87</v>
      </c>
      <c r="D699" t="s">
        <v>130</v>
      </c>
      <c r="E699" t="s">
        <v>46</v>
      </c>
      <c r="F699" t="s">
        <v>25</v>
      </c>
      <c r="G699" t="s">
        <v>67</v>
      </c>
      <c r="H699" t="s">
        <v>53</v>
      </c>
      <c r="I699" t="str">
        <f>IF('Cleaned Data'!H699="Emi","EMI",'Cleaned Data'!H699)</f>
        <v>Cash</v>
      </c>
      <c r="J699" t="s">
        <v>36</v>
      </c>
      <c r="K699" t="s">
        <v>95</v>
      </c>
      <c r="L699">
        <v>3</v>
      </c>
      <c r="M699" s="9">
        <v>106145</v>
      </c>
      <c r="N699" s="4">
        <v>0.11</v>
      </c>
      <c r="O699" s="4">
        <f t="shared" si="10"/>
        <v>0.11</v>
      </c>
      <c r="P699" s="11">
        <v>318435</v>
      </c>
      <c r="Q699" s="9">
        <v>35027.85</v>
      </c>
      <c r="R699" s="9">
        <v>283407.15000000002</v>
      </c>
      <c r="S699">
        <v>3</v>
      </c>
      <c r="T699">
        <v>173</v>
      </c>
      <c r="U699">
        <v>4</v>
      </c>
      <c r="V699">
        <v>12</v>
      </c>
      <c r="W699">
        <f>IF('Cleaned Data'!V699&lt;0,"Review",'Cleaned Data'!V699)</f>
        <v>12</v>
      </c>
      <c r="X699">
        <v>2</v>
      </c>
      <c r="Y699" s="7">
        <f>IFERROR('Cleaned Data'!R699/'Cleaned Data'!L699,0)</f>
        <v>94469.05</v>
      </c>
      <c r="Z699" t="str">
        <f>TEXT(EV_Sales[[#This Row],[Order_Date]],"mmm-yyyy")</f>
        <v>Mar-2025</v>
      </c>
      <c r="AA699">
        <f>MONTH(EV_Sales[[#This Row],[Order_Date]])</f>
        <v>3</v>
      </c>
      <c r="AB699" s="12" t="str">
        <f>"Q"&amp;ROUNDUP(MONTH(EV_Sales[[#This Row],[Order_Date]])/3,0)</f>
        <v>Q1</v>
      </c>
    </row>
    <row r="700" spans="1:28" x14ac:dyDescent="0.3">
      <c r="A700" t="s">
        <v>807</v>
      </c>
      <c r="B700" s="2">
        <v>45727</v>
      </c>
      <c r="C700" t="s">
        <v>87</v>
      </c>
      <c r="D700" t="s">
        <v>88</v>
      </c>
      <c r="E700" t="s">
        <v>24</v>
      </c>
      <c r="F700" t="s">
        <v>52</v>
      </c>
      <c r="G700" t="s">
        <v>56</v>
      </c>
      <c r="H700" t="s">
        <v>809</v>
      </c>
      <c r="I700" t="str">
        <f>IF('Cleaned Data'!H700="Emi","EMI",'Cleaned Data'!H700)</f>
        <v>EMI</v>
      </c>
      <c r="J700" t="s">
        <v>57</v>
      </c>
      <c r="K700" t="s">
        <v>157</v>
      </c>
      <c r="L700">
        <v>1</v>
      </c>
      <c r="M700" s="9">
        <v>155154</v>
      </c>
      <c r="N700" s="4">
        <v>7.3999999999999996E-2</v>
      </c>
      <c r="O700" s="4">
        <f t="shared" si="10"/>
        <v>7.3999999999999996E-2</v>
      </c>
      <c r="P700" s="11">
        <v>155154</v>
      </c>
      <c r="Q700" s="9">
        <v>11481.4</v>
      </c>
      <c r="R700" s="9">
        <v>143672.6</v>
      </c>
      <c r="S700">
        <v>5</v>
      </c>
      <c r="T700">
        <v>204</v>
      </c>
      <c r="U700">
        <v>4.5</v>
      </c>
      <c r="V700">
        <v>4</v>
      </c>
      <c r="W700">
        <f>IF('Cleaned Data'!V700&lt;0,"Review",'Cleaned Data'!V700)</f>
        <v>4</v>
      </c>
      <c r="X700">
        <v>5</v>
      </c>
      <c r="Y700" s="7">
        <f>IFERROR('Cleaned Data'!R700/'Cleaned Data'!L700,0)</f>
        <v>143672.6</v>
      </c>
      <c r="Z700" t="str">
        <f>TEXT(EV_Sales[[#This Row],[Order_Date]],"mmm-yyyy")</f>
        <v>Mar-2025</v>
      </c>
      <c r="AA700">
        <f>MONTH(EV_Sales[[#This Row],[Order_Date]])</f>
        <v>3</v>
      </c>
      <c r="AB700" s="12" t="str">
        <f>"Q"&amp;ROUNDUP(MONTH(EV_Sales[[#This Row],[Order_Date]])/3,0)</f>
        <v>Q1</v>
      </c>
    </row>
    <row r="701" spans="1:28" x14ac:dyDescent="0.3">
      <c r="A701" t="s">
        <v>808</v>
      </c>
      <c r="B701" s="2">
        <v>45986</v>
      </c>
      <c r="C701" t="s">
        <v>44</v>
      </c>
      <c r="D701" t="s">
        <v>45</v>
      </c>
      <c r="E701" t="s">
        <v>62</v>
      </c>
      <c r="F701" t="s">
        <v>47</v>
      </c>
      <c r="G701" t="s">
        <v>56</v>
      </c>
      <c r="H701" t="s">
        <v>27</v>
      </c>
      <c r="I701" t="str">
        <f>IF('Cleaned Data'!H701="Emi","EMI",'Cleaned Data'!H701)</f>
        <v>Finance</v>
      </c>
      <c r="J701" t="s">
        <v>28</v>
      </c>
      <c r="K701" t="s">
        <v>95</v>
      </c>
      <c r="L701">
        <v>3</v>
      </c>
      <c r="M701" s="9">
        <v>144415</v>
      </c>
      <c r="N701" s="4">
        <v>0.105</v>
      </c>
      <c r="O701" s="4">
        <f t="shared" si="10"/>
        <v>0.105</v>
      </c>
      <c r="P701" s="11">
        <v>433245</v>
      </c>
      <c r="Q701" s="9">
        <v>45490.720000000001</v>
      </c>
      <c r="R701" s="9">
        <v>387754.28</v>
      </c>
      <c r="S701">
        <v>4</v>
      </c>
      <c r="T701">
        <v>197</v>
      </c>
      <c r="U701">
        <v>4.0999999999999996</v>
      </c>
      <c r="V701">
        <v>7</v>
      </c>
      <c r="W701">
        <f>IF('Cleaned Data'!V701&lt;0,"Review",'Cleaned Data'!V701)</f>
        <v>7</v>
      </c>
      <c r="X701">
        <v>2</v>
      </c>
      <c r="Y701" s="7">
        <f>IFERROR('Cleaned Data'!R701/'Cleaned Data'!L701,0)</f>
        <v>129251.42666666668</v>
      </c>
      <c r="Z701" t="str">
        <f>TEXT(EV_Sales[[#This Row],[Order_Date]],"mmm-yyyy")</f>
        <v>Nov-2025</v>
      </c>
      <c r="AA701">
        <f>MONTH(EV_Sales[[#This Row],[Order_Date]])</f>
        <v>11</v>
      </c>
      <c r="AB701" s="12" t="str">
        <f>"Q"&amp;ROUNDUP(MONTH(EV_Sales[[#This Row],[Order_Date]])/3,0)</f>
        <v>Q4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600E-1747-413D-A156-D40FE9047D24}">
  <dimension ref="A3:D34"/>
  <sheetViews>
    <sheetView zoomScale="70" zoomScaleNormal="70"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26.33203125" bestFit="1" customWidth="1"/>
    <col min="3" max="3" width="16.5546875" bestFit="1" customWidth="1"/>
    <col min="4" max="4" width="16.6640625" bestFit="1" customWidth="1"/>
  </cols>
  <sheetData>
    <row r="3" spans="1:4" x14ac:dyDescent="0.3">
      <c r="A3" s="13" t="s">
        <v>820</v>
      </c>
      <c r="B3" s="18" t="s">
        <v>828</v>
      </c>
      <c r="C3" t="s">
        <v>822</v>
      </c>
      <c r="D3" t="s">
        <v>823</v>
      </c>
    </row>
    <row r="4" spans="1:4" x14ac:dyDescent="0.3">
      <c r="A4" s="14" t="s">
        <v>64</v>
      </c>
      <c r="B4" s="18">
        <v>4.160869565217391</v>
      </c>
      <c r="C4" s="12">
        <v>48</v>
      </c>
      <c r="D4" s="15">
        <v>5672955.4000000004</v>
      </c>
    </row>
    <row r="5" spans="1:4" x14ac:dyDescent="0.3">
      <c r="A5" s="14" t="s">
        <v>29</v>
      </c>
      <c r="B5" s="18">
        <v>4.0826086956521745</v>
      </c>
      <c r="C5" s="12">
        <v>37</v>
      </c>
      <c r="D5" s="15">
        <v>4218781.6199999982</v>
      </c>
    </row>
    <row r="6" spans="1:4" x14ac:dyDescent="0.3">
      <c r="A6" s="14" t="s">
        <v>72</v>
      </c>
      <c r="B6" s="18">
        <v>4.0242424242424235</v>
      </c>
      <c r="C6" s="12">
        <v>85</v>
      </c>
      <c r="D6" s="15">
        <v>10541685.870000003</v>
      </c>
    </row>
    <row r="7" spans="1:4" x14ac:dyDescent="0.3">
      <c r="A7" s="14" t="s">
        <v>203</v>
      </c>
      <c r="B7" s="18">
        <v>4.1590909090909083</v>
      </c>
      <c r="C7" s="12">
        <v>46</v>
      </c>
      <c r="D7" s="15">
        <v>5399908.54</v>
      </c>
    </row>
    <row r="8" spans="1:4" x14ac:dyDescent="0.3">
      <c r="A8" s="14" t="s">
        <v>131</v>
      </c>
      <c r="B8" s="18">
        <v>4.2095238095238097</v>
      </c>
      <c r="C8" s="12">
        <v>38</v>
      </c>
      <c r="D8" s="15">
        <v>4769021.17</v>
      </c>
    </row>
    <row r="9" spans="1:4" x14ac:dyDescent="0.3">
      <c r="A9" s="14" t="s">
        <v>216</v>
      </c>
      <c r="B9" s="18">
        <v>4.0117647058823529</v>
      </c>
      <c r="C9" s="12">
        <v>28</v>
      </c>
      <c r="D9" s="15">
        <v>3478279.0699999994</v>
      </c>
    </row>
    <row r="10" spans="1:4" x14ac:dyDescent="0.3">
      <c r="A10" s="14" t="s">
        <v>42</v>
      </c>
      <c r="B10" s="18">
        <v>3.883333333333332</v>
      </c>
      <c r="C10" s="12">
        <v>48</v>
      </c>
      <c r="D10" s="15">
        <v>5755963.0599999996</v>
      </c>
    </row>
    <row r="11" spans="1:4" x14ac:dyDescent="0.3">
      <c r="A11" s="14" t="s">
        <v>197</v>
      </c>
      <c r="B11" s="18">
        <v>4.09375</v>
      </c>
      <c r="C11" s="12">
        <v>35</v>
      </c>
      <c r="D11" s="15">
        <v>4064335.54</v>
      </c>
    </row>
    <row r="12" spans="1:4" x14ac:dyDescent="0.3">
      <c r="A12" s="14" t="s">
        <v>148</v>
      </c>
      <c r="B12" s="18">
        <v>4.10952380952381</v>
      </c>
      <c r="C12" s="12">
        <v>43</v>
      </c>
      <c r="D12" s="15">
        <v>5450994.6300000018</v>
      </c>
    </row>
    <row r="13" spans="1:4" x14ac:dyDescent="0.3">
      <c r="A13" s="14" t="s">
        <v>83</v>
      </c>
      <c r="B13" s="18">
        <v>4.2181818181818178</v>
      </c>
      <c r="C13" s="12">
        <v>41</v>
      </c>
      <c r="D13" s="15">
        <v>5023702.3299999991</v>
      </c>
    </row>
    <row r="14" spans="1:4" x14ac:dyDescent="0.3">
      <c r="A14" s="14" t="s">
        <v>138</v>
      </c>
      <c r="B14" s="18">
        <v>4.137931034482758</v>
      </c>
      <c r="C14" s="12">
        <v>62</v>
      </c>
      <c r="D14" s="15">
        <v>7432691.6000000006</v>
      </c>
    </row>
    <row r="15" spans="1:4" x14ac:dyDescent="0.3">
      <c r="A15" s="14" t="s">
        <v>175</v>
      </c>
      <c r="B15" s="18">
        <v>3.9038461538461533</v>
      </c>
      <c r="C15" s="12">
        <v>54</v>
      </c>
      <c r="D15" s="15">
        <v>6479835.7499999991</v>
      </c>
    </row>
    <row r="16" spans="1:4" x14ac:dyDescent="0.3">
      <c r="A16" s="14" t="s">
        <v>102</v>
      </c>
      <c r="B16" s="18">
        <v>4.0999999999999996</v>
      </c>
      <c r="C16" s="12">
        <v>53</v>
      </c>
      <c r="D16" s="15">
        <v>6783223.25</v>
      </c>
    </row>
    <row r="17" spans="1:4" x14ac:dyDescent="0.3">
      <c r="A17" s="14" t="s">
        <v>118</v>
      </c>
      <c r="B17" s="18">
        <v>4.0666666666666664</v>
      </c>
      <c r="C17" s="12">
        <v>23</v>
      </c>
      <c r="D17" s="15">
        <v>2841635.89</v>
      </c>
    </row>
    <row r="18" spans="1:4" x14ac:dyDescent="0.3">
      <c r="A18" s="14" t="s">
        <v>143</v>
      </c>
      <c r="B18" s="18">
        <v>4.1454545454545455</v>
      </c>
      <c r="C18" s="12">
        <v>35</v>
      </c>
      <c r="D18" s="15">
        <v>4119094.1800000006</v>
      </c>
    </row>
    <row r="19" spans="1:4" x14ac:dyDescent="0.3">
      <c r="A19" s="14" t="s">
        <v>89</v>
      </c>
      <c r="B19" s="18">
        <v>4.020833333333333</v>
      </c>
      <c r="C19" s="12">
        <v>51</v>
      </c>
      <c r="D19" s="15">
        <v>6042291.5</v>
      </c>
    </row>
    <row r="20" spans="1:4" x14ac:dyDescent="0.3">
      <c r="A20" s="14" t="s">
        <v>92</v>
      </c>
      <c r="B20" s="18">
        <v>4.0739130434782602</v>
      </c>
      <c r="C20" s="12">
        <v>53</v>
      </c>
      <c r="D20" s="15">
        <v>7044411.459999999</v>
      </c>
    </row>
    <row r="21" spans="1:4" x14ac:dyDescent="0.3">
      <c r="A21" s="14" t="s">
        <v>212</v>
      </c>
      <c r="B21" s="18">
        <v>4.3214285714285712</v>
      </c>
      <c r="C21" s="12">
        <v>19</v>
      </c>
      <c r="D21" s="15">
        <v>2196928.33</v>
      </c>
    </row>
    <row r="22" spans="1:4" x14ac:dyDescent="0.3">
      <c r="A22" s="14" t="s">
        <v>123</v>
      </c>
      <c r="B22" s="18">
        <v>4.1035714285714278</v>
      </c>
      <c r="C22" s="12">
        <v>50</v>
      </c>
      <c r="D22" s="15">
        <v>6085962.8000000007</v>
      </c>
    </row>
    <row r="23" spans="1:4" x14ac:dyDescent="0.3">
      <c r="A23" s="14" t="s">
        <v>81</v>
      </c>
      <c r="B23" s="18">
        <v>4.2068965517241388</v>
      </c>
      <c r="C23" s="12">
        <v>58</v>
      </c>
      <c r="D23" s="15">
        <v>6744049.1799999997</v>
      </c>
    </row>
    <row r="24" spans="1:4" x14ac:dyDescent="0.3">
      <c r="A24" s="14" t="s">
        <v>95</v>
      </c>
      <c r="B24" s="18">
        <v>3.9869565217391298</v>
      </c>
      <c r="C24" s="12">
        <v>45</v>
      </c>
      <c r="D24" s="15">
        <v>5734068.4200000009</v>
      </c>
    </row>
    <row r="25" spans="1:4" x14ac:dyDescent="0.3">
      <c r="A25" s="14" t="s">
        <v>109</v>
      </c>
      <c r="B25" s="18">
        <v>4.1999999999999993</v>
      </c>
      <c r="C25" s="12">
        <v>78</v>
      </c>
      <c r="D25" s="15">
        <v>9866508.3500000015</v>
      </c>
    </row>
    <row r="26" spans="1:4" x14ac:dyDescent="0.3">
      <c r="A26" s="14" t="s">
        <v>78</v>
      </c>
      <c r="B26" s="18">
        <v>4.0411764705882343</v>
      </c>
      <c r="C26" s="12">
        <v>41</v>
      </c>
      <c r="D26" s="15">
        <v>4835601.7600000007</v>
      </c>
    </row>
    <row r="27" spans="1:4" x14ac:dyDescent="0.3">
      <c r="A27" s="14" t="s">
        <v>85</v>
      </c>
      <c r="B27" s="18">
        <v>4.0666666666666655</v>
      </c>
      <c r="C27" s="12">
        <v>44</v>
      </c>
      <c r="D27" s="15">
        <v>5208200.7799999993</v>
      </c>
    </row>
    <row r="28" spans="1:4" x14ac:dyDescent="0.3">
      <c r="A28" s="14" t="s">
        <v>37</v>
      </c>
      <c r="B28" s="18">
        <v>4.1083333333333325</v>
      </c>
      <c r="C28" s="12">
        <v>50</v>
      </c>
      <c r="D28" s="15">
        <v>6107835.9900000002</v>
      </c>
    </row>
    <row r="29" spans="1:4" x14ac:dyDescent="0.3">
      <c r="A29" s="14" t="s">
        <v>157</v>
      </c>
      <c r="B29" s="18">
        <v>4.0666666666666664</v>
      </c>
      <c r="C29" s="12">
        <v>45</v>
      </c>
      <c r="D29" s="15">
        <v>5826242.2599999988</v>
      </c>
    </row>
    <row r="30" spans="1:4" x14ac:dyDescent="0.3">
      <c r="A30" s="14" t="s">
        <v>58</v>
      </c>
      <c r="B30" s="18">
        <v>4.0666666666666664</v>
      </c>
      <c r="C30" s="12">
        <v>45</v>
      </c>
      <c r="D30" s="15">
        <v>5419144.6800000006</v>
      </c>
    </row>
    <row r="31" spans="1:4" x14ac:dyDescent="0.3">
      <c r="A31" s="14" t="s">
        <v>54</v>
      </c>
      <c r="B31" s="18">
        <v>4.1937499999999996</v>
      </c>
      <c r="C31" s="12">
        <v>33</v>
      </c>
      <c r="D31" s="15">
        <v>3860793.43</v>
      </c>
    </row>
    <row r="32" spans="1:4" x14ac:dyDescent="0.3">
      <c r="A32" s="14" t="s">
        <v>104</v>
      </c>
      <c r="B32" s="18">
        <v>4.0222222222222221</v>
      </c>
      <c r="C32" s="12">
        <v>45</v>
      </c>
      <c r="D32" s="15">
        <v>5569172.6799999997</v>
      </c>
    </row>
    <row r="33" spans="1:4" x14ac:dyDescent="0.3">
      <c r="A33" s="14" t="s">
        <v>49</v>
      </c>
      <c r="B33" s="18">
        <v>4.1472222222222213</v>
      </c>
      <c r="C33" s="12">
        <v>61</v>
      </c>
      <c r="D33" s="15">
        <v>7452578.7300000014</v>
      </c>
    </row>
    <row r="34" spans="1:4" x14ac:dyDescent="0.3">
      <c r="A34" s="14" t="s">
        <v>821</v>
      </c>
      <c r="B34" s="18">
        <v>4.0982683982683987</v>
      </c>
      <c r="C34" s="12">
        <v>1394</v>
      </c>
      <c r="D34" s="15">
        <v>170025898.25000003</v>
      </c>
    </row>
  </sheetData>
  <sortState xmlns:xlrd2="http://schemas.microsoft.com/office/spreadsheetml/2017/richdata2" columnSort="1" ref="A3:D34">
    <sortCondition descending="1" ref="B3"/>
  </sortState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008AC-4CE9-47AC-BC5F-1DF767B477D7}">
  <dimension ref="A3:C8"/>
  <sheetViews>
    <sheetView topLeftCell="A2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6.6640625" bestFit="1" customWidth="1"/>
    <col min="3" max="3" width="16.5546875" bestFit="1" customWidth="1"/>
  </cols>
  <sheetData>
    <row r="3" spans="1:3" x14ac:dyDescent="0.3">
      <c r="A3" s="13" t="s">
        <v>820</v>
      </c>
      <c r="B3" t="s">
        <v>823</v>
      </c>
      <c r="C3" t="s">
        <v>822</v>
      </c>
    </row>
    <row r="4" spans="1:3" x14ac:dyDescent="0.3">
      <c r="A4" s="14" t="s">
        <v>56</v>
      </c>
      <c r="B4" s="15">
        <v>44041221.069999978</v>
      </c>
      <c r="C4" s="12">
        <v>358</v>
      </c>
    </row>
    <row r="5" spans="1:3" x14ac:dyDescent="0.3">
      <c r="A5" s="14" t="s">
        <v>67</v>
      </c>
      <c r="B5" s="15">
        <v>43145751.49000001</v>
      </c>
      <c r="C5" s="12">
        <v>352</v>
      </c>
    </row>
    <row r="6" spans="1:3" x14ac:dyDescent="0.3">
      <c r="A6" s="14" t="s">
        <v>34</v>
      </c>
      <c r="B6" s="15">
        <v>41899591.809999973</v>
      </c>
      <c r="C6" s="12">
        <v>344</v>
      </c>
    </row>
    <row r="7" spans="1:3" x14ac:dyDescent="0.3">
      <c r="A7" s="14" t="s">
        <v>26</v>
      </c>
      <c r="B7" s="15">
        <v>40939333.880000003</v>
      </c>
      <c r="C7" s="12">
        <v>340</v>
      </c>
    </row>
    <row r="8" spans="1:3" x14ac:dyDescent="0.3">
      <c r="A8" s="14" t="s">
        <v>821</v>
      </c>
      <c r="B8" s="15">
        <v>170025898.24999997</v>
      </c>
      <c r="C8" s="12">
        <v>1394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EE578-F7A7-497D-B8C0-8A3230C3052A}">
  <dimension ref="A3:B84"/>
  <sheetViews>
    <sheetView zoomScale="68" zoomScaleNormal="68" workbookViewId="0">
      <selection activeCell="B7" sqref="B7"/>
    </sheetView>
  </sheetViews>
  <sheetFormatPr defaultRowHeight="14.4" x14ac:dyDescent="0.3"/>
  <cols>
    <col min="1" max="1" width="19.44140625" bestFit="1" customWidth="1"/>
    <col min="2" max="2" width="17.21875" bestFit="1" customWidth="1"/>
  </cols>
  <sheetData>
    <row r="3" spans="1:2" x14ac:dyDescent="0.3">
      <c r="A3" s="13" t="s">
        <v>820</v>
      </c>
      <c r="B3" t="s">
        <v>822</v>
      </c>
    </row>
    <row r="4" spans="1:2" x14ac:dyDescent="0.3">
      <c r="A4" s="14" t="s">
        <v>87</v>
      </c>
      <c r="B4" s="12">
        <v>194</v>
      </c>
    </row>
    <row r="5" spans="1:2" x14ac:dyDescent="0.3">
      <c r="A5" s="16" t="s">
        <v>130</v>
      </c>
      <c r="B5" s="12">
        <v>99</v>
      </c>
    </row>
    <row r="6" spans="1:2" x14ac:dyDescent="0.3">
      <c r="A6" s="17" t="s">
        <v>46</v>
      </c>
      <c r="B6" s="12">
        <v>33</v>
      </c>
    </row>
    <row r="7" spans="1:2" x14ac:dyDescent="0.3">
      <c r="A7" s="17" t="s">
        <v>62</v>
      </c>
      <c r="B7" s="12">
        <v>36</v>
      </c>
    </row>
    <row r="8" spans="1:2" x14ac:dyDescent="0.3">
      <c r="A8" s="17" t="s">
        <v>24</v>
      </c>
      <c r="B8" s="12">
        <v>30</v>
      </c>
    </row>
    <row r="9" spans="1:2" x14ac:dyDescent="0.3">
      <c r="A9" s="16" t="s">
        <v>88</v>
      </c>
      <c r="B9" s="12">
        <v>95</v>
      </c>
    </row>
    <row r="10" spans="1:2" x14ac:dyDescent="0.3">
      <c r="A10" s="17" t="s">
        <v>46</v>
      </c>
      <c r="B10" s="12">
        <v>31</v>
      </c>
    </row>
    <row r="11" spans="1:2" x14ac:dyDescent="0.3">
      <c r="A11" s="17" t="s">
        <v>62</v>
      </c>
      <c r="B11" s="12">
        <v>22</v>
      </c>
    </row>
    <row r="12" spans="1:2" x14ac:dyDescent="0.3">
      <c r="A12" s="17" t="s">
        <v>24</v>
      </c>
      <c r="B12" s="12">
        <v>42</v>
      </c>
    </row>
    <row r="13" spans="1:2" x14ac:dyDescent="0.3">
      <c r="A13" s="14" t="s">
        <v>76</v>
      </c>
      <c r="B13" s="12">
        <v>176</v>
      </c>
    </row>
    <row r="14" spans="1:2" x14ac:dyDescent="0.3">
      <c r="A14" s="16" t="s">
        <v>115</v>
      </c>
      <c r="B14" s="12">
        <v>65</v>
      </c>
    </row>
    <row r="15" spans="1:2" x14ac:dyDescent="0.3">
      <c r="A15" s="17" t="s">
        <v>46</v>
      </c>
      <c r="B15" s="12">
        <v>20</v>
      </c>
    </row>
    <row r="16" spans="1:2" x14ac:dyDescent="0.3">
      <c r="A16" s="17" t="s">
        <v>62</v>
      </c>
      <c r="B16" s="12">
        <v>17</v>
      </c>
    </row>
    <row r="17" spans="1:2" x14ac:dyDescent="0.3">
      <c r="A17" s="17" t="s">
        <v>24</v>
      </c>
      <c r="B17" s="12">
        <v>28</v>
      </c>
    </row>
    <row r="18" spans="1:2" x14ac:dyDescent="0.3">
      <c r="A18" s="16" t="s">
        <v>77</v>
      </c>
      <c r="B18" s="12">
        <v>54</v>
      </c>
    </row>
    <row r="19" spans="1:2" x14ac:dyDescent="0.3">
      <c r="A19" s="17" t="s">
        <v>46</v>
      </c>
      <c r="B19" s="12">
        <v>9</v>
      </c>
    </row>
    <row r="20" spans="1:2" x14ac:dyDescent="0.3">
      <c r="A20" s="17" t="s">
        <v>62</v>
      </c>
      <c r="B20" s="12">
        <v>17</v>
      </c>
    </row>
    <row r="21" spans="1:2" x14ac:dyDescent="0.3">
      <c r="A21" s="17" t="s">
        <v>24</v>
      </c>
      <c r="B21" s="12">
        <v>28</v>
      </c>
    </row>
    <row r="22" spans="1:2" x14ac:dyDescent="0.3">
      <c r="A22" s="16" t="s">
        <v>117</v>
      </c>
      <c r="B22" s="12">
        <v>57</v>
      </c>
    </row>
    <row r="23" spans="1:2" x14ac:dyDescent="0.3">
      <c r="A23" s="17" t="s">
        <v>46</v>
      </c>
      <c r="B23" s="12">
        <v>25</v>
      </c>
    </row>
    <row r="24" spans="1:2" x14ac:dyDescent="0.3">
      <c r="A24" s="17" t="s">
        <v>62</v>
      </c>
      <c r="B24" s="12">
        <v>20</v>
      </c>
    </row>
    <row r="25" spans="1:2" x14ac:dyDescent="0.3">
      <c r="A25" s="17" t="s">
        <v>24</v>
      </c>
      <c r="B25" s="12">
        <v>12</v>
      </c>
    </row>
    <row r="26" spans="1:2" x14ac:dyDescent="0.3">
      <c r="A26" s="14" t="s">
        <v>44</v>
      </c>
      <c r="B26" s="12">
        <v>187</v>
      </c>
    </row>
    <row r="27" spans="1:2" x14ac:dyDescent="0.3">
      <c r="A27" s="16" t="s">
        <v>45</v>
      </c>
      <c r="B27" s="12">
        <v>79</v>
      </c>
    </row>
    <row r="28" spans="1:2" x14ac:dyDescent="0.3">
      <c r="A28" s="17" t="s">
        <v>46</v>
      </c>
      <c r="B28" s="12">
        <v>19</v>
      </c>
    </row>
    <row r="29" spans="1:2" x14ac:dyDescent="0.3">
      <c r="A29" s="17" t="s">
        <v>62</v>
      </c>
      <c r="B29" s="12">
        <v>25</v>
      </c>
    </row>
    <row r="30" spans="1:2" x14ac:dyDescent="0.3">
      <c r="A30" s="17" t="s">
        <v>24</v>
      </c>
      <c r="B30" s="12">
        <v>35</v>
      </c>
    </row>
    <row r="31" spans="1:2" x14ac:dyDescent="0.3">
      <c r="A31" s="16" t="s">
        <v>51</v>
      </c>
      <c r="B31" s="12">
        <v>108</v>
      </c>
    </row>
    <row r="32" spans="1:2" x14ac:dyDescent="0.3">
      <c r="A32" s="17" t="s">
        <v>46</v>
      </c>
      <c r="B32" s="12">
        <v>46</v>
      </c>
    </row>
    <row r="33" spans="1:2" x14ac:dyDescent="0.3">
      <c r="A33" s="17" t="s">
        <v>62</v>
      </c>
      <c r="B33" s="12">
        <v>37</v>
      </c>
    </row>
    <row r="34" spans="1:2" x14ac:dyDescent="0.3">
      <c r="A34" s="17" t="s">
        <v>24</v>
      </c>
      <c r="B34" s="12">
        <v>25</v>
      </c>
    </row>
    <row r="35" spans="1:2" x14ac:dyDescent="0.3">
      <c r="A35" s="14" t="s">
        <v>60</v>
      </c>
      <c r="B35" s="12">
        <v>183</v>
      </c>
    </row>
    <row r="36" spans="1:2" x14ac:dyDescent="0.3">
      <c r="A36" s="16" t="s">
        <v>69</v>
      </c>
      <c r="B36" s="12">
        <v>80</v>
      </c>
    </row>
    <row r="37" spans="1:2" x14ac:dyDescent="0.3">
      <c r="A37" s="17" t="s">
        <v>46</v>
      </c>
      <c r="B37" s="12">
        <v>28</v>
      </c>
    </row>
    <row r="38" spans="1:2" x14ac:dyDescent="0.3">
      <c r="A38" s="17" t="s">
        <v>62</v>
      </c>
      <c r="B38" s="12">
        <v>27</v>
      </c>
    </row>
    <row r="39" spans="1:2" x14ac:dyDescent="0.3">
      <c r="A39" s="17" t="s">
        <v>24</v>
      </c>
      <c r="B39" s="12">
        <v>25</v>
      </c>
    </row>
    <row r="40" spans="1:2" x14ac:dyDescent="0.3">
      <c r="A40" s="16" t="s">
        <v>61</v>
      </c>
      <c r="B40" s="12">
        <v>103</v>
      </c>
    </row>
    <row r="41" spans="1:2" x14ac:dyDescent="0.3">
      <c r="A41" s="17" t="s">
        <v>46</v>
      </c>
      <c r="B41" s="12">
        <v>30</v>
      </c>
    </row>
    <row r="42" spans="1:2" x14ac:dyDescent="0.3">
      <c r="A42" s="17" t="s">
        <v>62</v>
      </c>
      <c r="B42" s="12">
        <v>33</v>
      </c>
    </row>
    <row r="43" spans="1:2" x14ac:dyDescent="0.3">
      <c r="A43" s="17" t="s">
        <v>24</v>
      </c>
      <c r="B43" s="12">
        <v>40</v>
      </c>
    </row>
    <row r="44" spans="1:2" x14ac:dyDescent="0.3">
      <c r="A44" s="14" t="s">
        <v>99</v>
      </c>
      <c r="B44" s="12">
        <v>187</v>
      </c>
    </row>
    <row r="45" spans="1:2" x14ac:dyDescent="0.3">
      <c r="A45" s="16" t="s">
        <v>100</v>
      </c>
      <c r="B45" s="12">
        <v>53</v>
      </c>
    </row>
    <row r="46" spans="1:2" x14ac:dyDescent="0.3">
      <c r="A46" s="17" t="s">
        <v>46</v>
      </c>
      <c r="B46" s="12">
        <v>25</v>
      </c>
    </row>
    <row r="47" spans="1:2" x14ac:dyDescent="0.3">
      <c r="A47" s="17" t="s">
        <v>62</v>
      </c>
      <c r="B47" s="12">
        <v>21</v>
      </c>
    </row>
    <row r="48" spans="1:2" x14ac:dyDescent="0.3">
      <c r="A48" s="17" t="s">
        <v>24</v>
      </c>
      <c r="B48" s="12">
        <v>7</v>
      </c>
    </row>
    <row r="49" spans="1:2" x14ac:dyDescent="0.3">
      <c r="A49" s="16" t="s">
        <v>141</v>
      </c>
      <c r="B49" s="12">
        <v>91</v>
      </c>
    </row>
    <row r="50" spans="1:2" x14ac:dyDescent="0.3">
      <c r="A50" s="17" t="s">
        <v>46</v>
      </c>
      <c r="B50" s="12">
        <v>29</v>
      </c>
    </row>
    <row r="51" spans="1:2" x14ac:dyDescent="0.3">
      <c r="A51" s="17" t="s">
        <v>62</v>
      </c>
      <c r="B51" s="12">
        <v>34</v>
      </c>
    </row>
    <row r="52" spans="1:2" x14ac:dyDescent="0.3">
      <c r="A52" s="17" t="s">
        <v>24</v>
      </c>
      <c r="B52" s="12">
        <v>28</v>
      </c>
    </row>
    <row r="53" spans="1:2" x14ac:dyDescent="0.3">
      <c r="A53" s="16" t="s">
        <v>121</v>
      </c>
      <c r="B53" s="12">
        <v>43</v>
      </c>
    </row>
    <row r="54" spans="1:2" x14ac:dyDescent="0.3">
      <c r="A54" s="17" t="s">
        <v>46</v>
      </c>
      <c r="B54" s="12">
        <v>21</v>
      </c>
    </row>
    <row r="55" spans="1:2" x14ac:dyDescent="0.3">
      <c r="A55" s="17" t="s">
        <v>62</v>
      </c>
      <c r="B55" s="12">
        <v>12</v>
      </c>
    </row>
    <row r="56" spans="1:2" x14ac:dyDescent="0.3">
      <c r="A56" s="17" t="s">
        <v>24</v>
      </c>
      <c r="B56" s="12">
        <v>10</v>
      </c>
    </row>
    <row r="57" spans="1:2" x14ac:dyDescent="0.3">
      <c r="A57" s="14" t="s">
        <v>22</v>
      </c>
      <c r="B57" s="12">
        <v>128</v>
      </c>
    </row>
    <row r="58" spans="1:2" x14ac:dyDescent="0.3">
      <c r="A58" s="16" t="s">
        <v>23</v>
      </c>
      <c r="B58" s="12">
        <v>76</v>
      </c>
    </row>
    <row r="59" spans="1:2" x14ac:dyDescent="0.3">
      <c r="A59" s="17" t="s">
        <v>46</v>
      </c>
      <c r="B59" s="12">
        <v>31</v>
      </c>
    </row>
    <row r="60" spans="1:2" x14ac:dyDescent="0.3">
      <c r="A60" s="17" t="s">
        <v>62</v>
      </c>
      <c r="B60" s="12">
        <v>21</v>
      </c>
    </row>
    <row r="61" spans="1:2" x14ac:dyDescent="0.3">
      <c r="A61" s="17" t="s">
        <v>24</v>
      </c>
      <c r="B61" s="12">
        <v>24</v>
      </c>
    </row>
    <row r="62" spans="1:2" x14ac:dyDescent="0.3">
      <c r="A62" s="16" t="s">
        <v>107</v>
      </c>
      <c r="B62" s="12">
        <v>52</v>
      </c>
    </row>
    <row r="63" spans="1:2" x14ac:dyDescent="0.3">
      <c r="A63" s="17" t="s">
        <v>46</v>
      </c>
      <c r="B63" s="12">
        <v>6</v>
      </c>
    </row>
    <row r="64" spans="1:2" x14ac:dyDescent="0.3">
      <c r="A64" s="17" t="s">
        <v>62</v>
      </c>
      <c r="B64" s="12">
        <v>21</v>
      </c>
    </row>
    <row r="65" spans="1:2" x14ac:dyDescent="0.3">
      <c r="A65" s="17" t="s">
        <v>24</v>
      </c>
      <c r="B65" s="12">
        <v>25</v>
      </c>
    </row>
    <row r="66" spans="1:2" x14ac:dyDescent="0.3">
      <c r="A66" s="14" t="s">
        <v>39</v>
      </c>
      <c r="B66" s="12">
        <v>189</v>
      </c>
    </row>
    <row r="67" spans="1:2" x14ac:dyDescent="0.3">
      <c r="A67" s="16" t="s">
        <v>40</v>
      </c>
      <c r="B67" s="12">
        <v>93</v>
      </c>
    </row>
    <row r="68" spans="1:2" x14ac:dyDescent="0.3">
      <c r="A68" s="17" t="s">
        <v>46</v>
      </c>
      <c r="B68" s="12">
        <v>28</v>
      </c>
    </row>
    <row r="69" spans="1:2" x14ac:dyDescent="0.3">
      <c r="A69" s="17" t="s">
        <v>62</v>
      </c>
      <c r="B69" s="12">
        <v>34</v>
      </c>
    </row>
    <row r="70" spans="1:2" x14ac:dyDescent="0.3">
      <c r="A70" s="17" t="s">
        <v>24</v>
      </c>
      <c r="B70" s="12">
        <v>31</v>
      </c>
    </row>
    <row r="71" spans="1:2" x14ac:dyDescent="0.3">
      <c r="A71" s="16" t="s">
        <v>154</v>
      </c>
      <c r="B71" s="12">
        <v>96</v>
      </c>
    </row>
    <row r="72" spans="1:2" x14ac:dyDescent="0.3">
      <c r="A72" s="17" t="s">
        <v>46</v>
      </c>
      <c r="B72" s="12">
        <v>23</v>
      </c>
    </row>
    <row r="73" spans="1:2" x14ac:dyDescent="0.3">
      <c r="A73" s="17" t="s">
        <v>62</v>
      </c>
      <c r="B73" s="12">
        <v>37</v>
      </c>
    </row>
    <row r="74" spans="1:2" x14ac:dyDescent="0.3">
      <c r="A74" s="17" t="s">
        <v>24</v>
      </c>
      <c r="B74" s="12">
        <v>36</v>
      </c>
    </row>
    <row r="75" spans="1:2" x14ac:dyDescent="0.3">
      <c r="A75" s="14" t="s">
        <v>31</v>
      </c>
      <c r="B75" s="12">
        <v>150</v>
      </c>
    </row>
    <row r="76" spans="1:2" x14ac:dyDescent="0.3">
      <c r="A76" s="16" t="s">
        <v>97</v>
      </c>
      <c r="B76" s="12">
        <v>91</v>
      </c>
    </row>
    <row r="77" spans="1:2" x14ac:dyDescent="0.3">
      <c r="A77" s="17" t="s">
        <v>46</v>
      </c>
      <c r="B77" s="12">
        <v>22</v>
      </c>
    </row>
    <row r="78" spans="1:2" x14ac:dyDescent="0.3">
      <c r="A78" s="17" t="s">
        <v>62</v>
      </c>
      <c r="B78" s="12">
        <v>47</v>
      </c>
    </row>
    <row r="79" spans="1:2" x14ac:dyDescent="0.3">
      <c r="A79" s="17" t="s">
        <v>24</v>
      </c>
      <c r="B79" s="12">
        <v>22</v>
      </c>
    </row>
    <row r="80" spans="1:2" x14ac:dyDescent="0.3">
      <c r="A80" s="16" t="s">
        <v>32</v>
      </c>
      <c r="B80" s="12">
        <v>59</v>
      </c>
    </row>
    <row r="81" spans="1:2" x14ac:dyDescent="0.3">
      <c r="A81" s="17" t="s">
        <v>46</v>
      </c>
      <c r="B81" s="12">
        <v>25</v>
      </c>
    </row>
    <row r="82" spans="1:2" x14ac:dyDescent="0.3">
      <c r="A82" s="17" t="s">
        <v>62</v>
      </c>
      <c r="B82" s="12">
        <v>10</v>
      </c>
    </row>
    <row r="83" spans="1:2" x14ac:dyDescent="0.3">
      <c r="A83" s="17" t="s">
        <v>24</v>
      </c>
      <c r="B83" s="12">
        <v>24</v>
      </c>
    </row>
    <row r="84" spans="1:2" x14ac:dyDescent="0.3">
      <c r="A84" s="14" t="s">
        <v>821</v>
      </c>
      <c r="B84" s="12">
        <v>1394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09315-45AB-4C58-A5D6-8C0CAD94C731}">
  <dimension ref="A3:C30"/>
  <sheetViews>
    <sheetView zoomScale="64" workbookViewId="0">
      <selection activeCell="C23" sqref="C23"/>
    </sheetView>
  </sheetViews>
  <sheetFormatPr defaultRowHeight="14.4" x14ac:dyDescent="0.3"/>
  <cols>
    <col min="1" max="1" width="20" bestFit="1" customWidth="1"/>
    <col min="2" max="2" width="17.44140625" bestFit="1" customWidth="1"/>
    <col min="3" max="3" width="17.109375" bestFit="1" customWidth="1"/>
  </cols>
  <sheetData>
    <row r="3" spans="1:3" x14ac:dyDescent="0.3">
      <c r="A3" s="13" t="s">
        <v>820</v>
      </c>
      <c r="B3" t="s">
        <v>823</v>
      </c>
      <c r="C3" t="s">
        <v>822</v>
      </c>
    </row>
    <row r="4" spans="1:3" x14ac:dyDescent="0.3">
      <c r="A4" s="14" t="s">
        <v>87</v>
      </c>
      <c r="B4" s="15">
        <v>23523905.82</v>
      </c>
      <c r="C4" s="12">
        <v>194</v>
      </c>
    </row>
    <row r="5" spans="1:3" x14ac:dyDescent="0.3">
      <c r="A5" s="16" t="s">
        <v>130</v>
      </c>
      <c r="B5" s="15">
        <v>10213367.539999999</v>
      </c>
      <c r="C5" s="12">
        <v>99</v>
      </c>
    </row>
    <row r="6" spans="1:3" x14ac:dyDescent="0.3">
      <c r="A6" s="16" t="s">
        <v>88</v>
      </c>
      <c r="B6" s="15">
        <v>13310538.279999999</v>
      </c>
      <c r="C6" s="12">
        <v>95</v>
      </c>
    </row>
    <row r="7" spans="1:3" x14ac:dyDescent="0.3">
      <c r="A7" s="14" t="s">
        <v>76</v>
      </c>
      <c r="B7" s="15">
        <v>22544868.719999999</v>
      </c>
      <c r="C7" s="12">
        <v>176</v>
      </c>
    </row>
    <row r="8" spans="1:3" x14ac:dyDescent="0.3">
      <c r="A8" s="16" t="s">
        <v>115</v>
      </c>
      <c r="B8" s="15">
        <v>7832619.8199999984</v>
      </c>
      <c r="C8" s="12">
        <v>65</v>
      </c>
    </row>
    <row r="9" spans="1:3" x14ac:dyDescent="0.3">
      <c r="A9" s="16" t="s">
        <v>77</v>
      </c>
      <c r="B9" s="15">
        <v>7265587.5599999987</v>
      </c>
      <c r="C9" s="12">
        <v>54</v>
      </c>
    </row>
    <row r="10" spans="1:3" x14ac:dyDescent="0.3">
      <c r="A10" s="16" t="s">
        <v>117</v>
      </c>
      <c r="B10" s="15">
        <v>7446661.3399999999</v>
      </c>
      <c r="C10" s="12">
        <v>57</v>
      </c>
    </row>
    <row r="11" spans="1:3" x14ac:dyDescent="0.3">
      <c r="A11" s="14" t="s">
        <v>44</v>
      </c>
      <c r="B11" s="15">
        <v>23636038.969999999</v>
      </c>
      <c r="C11" s="12">
        <v>187</v>
      </c>
    </row>
    <row r="12" spans="1:3" x14ac:dyDescent="0.3">
      <c r="A12" s="16" t="s">
        <v>45</v>
      </c>
      <c r="B12" s="15">
        <v>11208690.450000001</v>
      </c>
      <c r="C12" s="12">
        <v>79</v>
      </c>
    </row>
    <row r="13" spans="1:3" x14ac:dyDescent="0.3">
      <c r="A13" s="16" t="s">
        <v>51</v>
      </c>
      <c r="B13" s="15">
        <v>12427348.52</v>
      </c>
      <c r="C13" s="12">
        <v>108</v>
      </c>
    </row>
    <row r="14" spans="1:3" x14ac:dyDescent="0.3">
      <c r="A14" s="14" t="s">
        <v>60</v>
      </c>
      <c r="B14" s="15">
        <v>19049823.789999999</v>
      </c>
      <c r="C14" s="12">
        <v>183</v>
      </c>
    </row>
    <row r="15" spans="1:3" x14ac:dyDescent="0.3">
      <c r="A15" s="16" t="s">
        <v>69</v>
      </c>
      <c r="B15" s="15">
        <v>7837630.169999999</v>
      </c>
      <c r="C15" s="12">
        <v>80</v>
      </c>
    </row>
    <row r="16" spans="1:3" x14ac:dyDescent="0.3">
      <c r="A16" s="16" t="s">
        <v>61</v>
      </c>
      <c r="B16" s="15">
        <v>11212193.619999999</v>
      </c>
      <c r="C16" s="12">
        <v>103</v>
      </c>
    </row>
    <row r="17" spans="1:3" x14ac:dyDescent="0.3">
      <c r="A17" s="14" t="s">
        <v>99</v>
      </c>
      <c r="B17" s="15">
        <v>21674792.039999999</v>
      </c>
      <c r="C17" s="12">
        <v>187</v>
      </c>
    </row>
    <row r="18" spans="1:3" x14ac:dyDescent="0.3">
      <c r="A18" s="16" t="s">
        <v>100</v>
      </c>
      <c r="B18" s="15">
        <v>5658375.7000000002</v>
      </c>
      <c r="C18" s="12">
        <v>53</v>
      </c>
    </row>
    <row r="19" spans="1:3" x14ac:dyDescent="0.3">
      <c r="A19" s="16" t="s">
        <v>141</v>
      </c>
      <c r="B19" s="15">
        <v>11783650.649999999</v>
      </c>
      <c r="C19" s="12">
        <v>91</v>
      </c>
    </row>
    <row r="20" spans="1:3" x14ac:dyDescent="0.3">
      <c r="A20" s="16" t="s">
        <v>121</v>
      </c>
      <c r="B20" s="15">
        <v>4232765.6900000004</v>
      </c>
      <c r="C20" s="12">
        <v>43</v>
      </c>
    </row>
    <row r="21" spans="1:3" x14ac:dyDescent="0.3">
      <c r="A21" s="14" t="s">
        <v>22</v>
      </c>
      <c r="B21" s="15">
        <v>15325571.139999997</v>
      </c>
      <c r="C21" s="12">
        <v>128</v>
      </c>
    </row>
    <row r="22" spans="1:3" x14ac:dyDescent="0.3">
      <c r="A22" s="16" t="s">
        <v>23</v>
      </c>
      <c r="B22" s="15">
        <v>8463036.3099999968</v>
      </c>
      <c r="C22" s="12">
        <v>76</v>
      </c>
    </row>
    <row r="23" spans="1:3" x14ac:dyDescent="0.3">
      <c r="A23" s="16" t="s">
        <v>107</v>
      </c>
      <c r="B23" s="15">
        <v>6862534.830000001</v>
      </c>
      <c r="C23" s="12">
        <v>52</v>
      </c>
    </row>
    <row r="24" spans="1:3" x14ac:dyDescent="0.3">
      <c r="A24" s="14" t="s">
        <v>39</v>
      </c>
      <c r="B24" s="15">
        <v>27383488.010000005</v>
      </c>
      <c r="C24" s="12">
        <v>189</v>
      </c>
    </row>
    <row r="25" spans="1:3" x14ac:dyDescent="0.3">
      <c r="A25" s="16" t="s">
        <v>40</v>
      </c>
      <c r="B25" s="15">
        <v>11007740.510000002</v>
      </c>
      <c r="C25" s="12">
        <v>93</v>
      </c>
    </row>
    <row r="26" spans="1:3" x14ac:dyDescent="0.3">
      <c r="A26" s="16" t="s">
        <v>154</v>
      </c>
      <c r="B26" s="15">
        <v>16375747.500000004</v>
      </c>
      <c r="C26" s="12">
        <v>96</v>
      </c>
    </row>
    <row r="27" spans="1:3" x14ac:dyDescent="0.3">
      <c r="A27" s="14" t="s">
        <v>31</v>
      </c>
      <c r="B27" s="15">
        <v>16887409.760000002</v>
      </c>
      <c r="C27" s="12">
        <v>150</v>
      </c>
    </row>
    <row r="28" spans="1:3" x14ac:dyDescent="0.3">
      <c r="A28" s="16" t="s">
        <v>97</v>
      </c>
      <c r="B28" s="15">
        <v>10852580.68</v>
      </c>
      <c r="C28" s="12">
        <v>91</v>
      </c>
    </row>
    <row r="29" spans="1:3" x14ac:dyDescent="0.3">
      <c r="A29" s="16" t="s">
        <v>32</v>
      </c>
      <c r="B29" s="15">
        <v>6034829.080000001</v>
      </c>
      <c r="C29" s="12">
        <v>59</v>
      </c>
    </row>
    <row r="30" spans="1:3" x14ac:dyDescent="0.3">
      <c r="A30" s="14" t="s">
        <v>821</v>
      </c>
      <c r="B30" s="15">
        <v>170025898.25000003</v>
      </c>
      <c r="C30" s="12">
        <v>1394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E28EB-5282-4F44-B852-DD01132166BA}">
  <dimension ref="A3:C20"/>
  <sheetViews>
    <sheetView zoomScale="91" workbookViewId="0">
      <selection activeCell="P27" sqref="P27"/>
    </sheetView>
  </sheetViews>
  <sheetFormatPr defaultRowHeight="14.4" x14ac:dyDescent="0.3"/>
  <cols>
    <col min="1" max="1" width="13.33203125" bestFit="1" customWidth="1"/>
    <col min="2" max="2" width="16.88671875" bestFit="1" customWidth="1"/>
    <col min="3" max="3" width="17.88671875" bestFit="1" customWidth="1"/>
    <col min="4" max="4" width="13.44140625" bestFit="1" customWidth="1"/>
  </cols>
  <sheetData>
    <row r="3" spans="1:3" x14ac:dyDescent="0.3">
      <c r="A3" s="13" t="s">
        <v>820</v>
      </c>
      <c r="B3" t="s">
        <v>822</v>
      </c>
      <c r="C3" t="s">
        <v>823</v>
      </c>
    </row>
    <row r="4" spans="1:3" x14ac:dyDescent="0.3">
      <c r="A4" s="14" t="s">
        <v>824</v>
      </c>
      <c r="B4" s="12">
        <v>333</v>
      </c>
      <c r="C4" s="15">
        <v>41560701.799999997</v>
      </c>
    </row>
    <row r="5" spans="1:3" x14ac:dyDescent="0.3">
      <c r="A5" s="16">
        <v>1</v>
      </c>
      <c r="B5" s="12">
        <v>128</v>
      </c>
      <c r="C5" s="15">
        <v>15726716.989999996</v>
      </c>
    </row>
    <row r="6" spans="1:3" x14ac:dyDescent="0.3">
      <c r="A6" s="16">
        <v>2</v>
      </c>
      <c r="B6" s="12">
        <v>95</v>
      </c>
      <c r="C6" s="15">
        <v>11750041.180000002</v>
      </c>
    </row>
    <row r="7" spans="1:3" x14ac:dyDescent="0.3">
      <c r="A7" s="16">
        <v>3</v>
      </c>
      <c r="B7" s="12">
        <v>110</v>
      </c>
      <c r="C7" s="15">
        <v>14083943.629999999</v>
      </c>
    </row>
    <row r="8" spans="1:3" x14ac:dyDescent="0.3">
      <c r="A8" s="14" t="s">
        <v>825</v>
      </c>
      <c r="B8" s="12">
        <v>371</v>
      </c>
      <c r="C8" s="15">
        <v>45123933.700000003</v>
      </c>
    </row>
    <row r="9" spans="1:3" x14ac:dyDescent="0.3">
      <c r="A9" s="16">
        <v>4</v>
      </c>
      <c r="B9" s="12">
        <v>131</v>
      </c>
      <c r="C9" s="15">
        <v>15423248.380000003</v>
      </c>
    </row>
    <row r="10" spans="1:3" x14ac:dyDescent="0.3">
      <c r="A10" s="16">
        <v>5</v>
      </c>
      <c r="B10" s="12">
        <v>103</v>
      </c>
      <c r="C10" s="15">
        <v>12742848.590000002</v>
      </c>
    </row>
    <row r="11" spans="1:3" x14ac:dyDescent="0.3">
      <c r="A11" s="16">
        <v>6</v>
      </c>
      <c r="B11" s="12">
        <v>137</v>
      </c>
      <c r="C11" s="15">
        <v>16957836.73</v>
      </c>
    </row>
    <row r="12" spans="1:3" x14ac:dyDescent="0.3">
      <c r="A12" s="14" t="s">
        <v>826</v>
      </c>
      <c r="B12" s="12">
        <v>330</v>
      </c>
      <c r="C12" s="15">
        <v>39755767.589999996</v>
      </c>
    </row>
    <row r="13" spans="1:3" x14ac:dyDescent="0.3">
      <c r="A13" s="16">
        <v>7</v>
      </c>
      <c r="B13" s="12">
        <v>99</v>
      </c>
      <c r="C13" s="15">
        <v>11327894.090000002</v>
      </c>
    </row>
    <row r="14" spans="1:3" x14ac:dyDescent="0.3">
      <c r="A14" s="16">
        <v>8</v>
      </c>
      <c r="B14" s="12">
        <v>123</v>
      </c>
      <c r="C14" s="15">
        <v>14864722.019999996</v>
      </c>
    </row>
    <row r="15" spans="1:3" x14ac:dyDescent="0.3">
      <c r="A15" s="16">
        <v>9</v>
      </c>
      <c r="B15" s="12">
        <v>108</v>
      </c>
      <c r="C15" s="15">
        <v>13563151.479999999</v>
      </c>
    </row>
    <row r="16" spans="1:3" x14ac:dyDescent="0.3">
      <c r="A16" s="14" t="s">
        <v>827</v>
      </c>
      <c r="B16" s="12">
        <v>360</v>
      </c>
      <c r="C16" s="15">
        <v>43585495.160000011</v>
      </c>
    </row>
    <row r="17" spans="1:3" x14ac:dyDescent="0.3">
      <c r="A17" s="16">
        <v>10</v>
      </c>
      <c r="B17" s="12">
        <v>120</v>
      </c>
      <c r="C17" s="15">
        <v>14314723.420000006</v>
      </c>
    </row>
    <row r="18" spans="1:3" x14ac:dyDescent="0.3">
      <c r="A18" s="16">
        <v>11</v>
      </c>
      <c r="B18" s="12">
        <v>120</v>
      </c>
      <c r="C18" s="15">
        <v>15382832.990000002</v>
      </c>
    </row>
    <row r="19" spans="1:3" x14ac:dyDescent="0.3">
      <c r="A19" s="16">
        <v>12</v>
      </c>
      <c r="B19" s="12">
        <v>120</v>
      </c>
      <c r="C19" s="15">
        <v>13887938.75</v>
      </c>
    </row>
    <row r="20" spans="1:3" x14ac:dyDescent="0.3">
      <c r="A20" s="14" t="s">
        <v>821</v>
      </c>
      <c r="B20" s="12">
        <v>1394</v>
      </c>
      <c r="C20" s="15">
        <v>170025898.25000003</v>
      </c>
    </row>
  </sheetData>
  <sortState xmlns:xlrd2="http://schemas.microsoft.com/office/spreadsheetml/2017/richdata2" ref="A3:C28">
    <sortCondition ref="A4" customList="Jan,Feb,Mar,Apr,May,Jun,Jul,Aug,Sep,Oct,Nov,Dec"/>
  </sortState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18754-865F-4573-8CB0-782709F3E9DC}">
  <dimension ref="A1:A12"/>
  <sheetViews>
    <sheetView tabSelected="1" zoomScale="34" workbookViewId="0">
      <selection activeCell="B34" sqref="B34"/>
    </sheetView>
  </sheetViews>
  <sheetFormatPr defaultRowHeight="14.4" x14ac:dyDescent="0.3"/>
  <cols>
    <col min="1" max="1" width="17.44140625" bestFit="1" customWidth="1"/>
  </cols>
  <sheetData>
    <row r="1" spans="1:1" x14ac:dyDescent="0.3">
      <c r="A1" s="19">
        <f>SUM(EV_Sales[Net_Sales])</f>
        <v>170025898.24999982</v>
      </c>
    </row>
    <row r="2" spans="1:1" x14ac:dyDescent="0.3">
      <c r="A2" s="20"/>
    </row>
    <row r="3" spans="1:1" x14ac:dyDescent="0.3">
      <c r="A3" s="20">
        <f>SUM(EV_Sales[Units_Sold])</f>
        <v>1394</v>
      </c>
    </row>
    <row r="4" spans="1:1" x14ac:dyDescent="0.3">
      <c r="A4" s="20"/>
    </row>
    <row r="5" spans="1:1" x14ac:dyDescent="0.3">
      <c r="A5" s="20">
        <f>COUNTA(EV_Sales[Order_ID])</f>
        <v>700</v>
      </c>
    </row>
    <row r="6" spans="1:1" x14ac:dyDescent="0.3">
      <c r="A6" s="20"/>
    </row>
    <row r="7" spans="1:1" x14ac:dyDescent="0.3">
      <c r="A7" s="21">
        <f>AVERAGE(EV_Sales[ASP])</f>
        <v>121603.06751047612</v>
      </c>
    </row>
    <row r="8" spans="1:1" x14ac:dyDescent="0.3">
      <c r="A8" s="20"/>
    </row>
    <row r="9" spans="1:1" x14ac:dyDescent="0.3">
      <c r="A9" s="22">
        <f>AVERAGE(EV_Sales[Customer_Rating])</f>
        <v>4.0982683982684032</v>
      </c>
    </row>
    <row r="10" spans="1:1" x14ac:dyDescent="0.3">
      <c r="A10" s="20"/>
    </row>
    <row r="11" spans="1:1" x14ac:dyDescent="0.3">
      <c r="A11" s="22">
        <f>AVERAGE(EV_Sales[Delivery_Days])</f>
        <v>7.8657142857142857</v>
      </c>
    </row>
    <row r="12" spans="1:1" x14ac:dyDescent="0.3">
      <c r="A12" s="2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Raw_Data</vt:lpstr>
      <vt:lpstr>Cleaned Data</vt:lpstr>
      <vt:lpstr>Pivot_Salesperson_Performance</vt:lpstr>
      <vt:lpstr>Pivot_Channel_Performance</vt:lpstr>
      <vt:lpstr>Pivot_Segment _Performance</vt:lpstr>
      <vt:lpstr>Pivot_Brand_Performance</vt:lpstr>
      <vt:lpstr>Pivot_Montly_Sales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Dibz Amity</cp:lastModifiedBy>
  <dcterms:created xsi:type="dcterms:W3CDTF">2026-09-12T04:54:18Z</dcterms:created>
  <dcterms:modified xsi:type="dcterms:W3CDTF">2026-09-12T09:01:24Z</dcterms:modified>
</cp:coreProperties>
</file>